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jw1/Desktop/Monitoring/Proj2/"/>
    </mc:Choice>
  </mc:AlternateContent>
  <xr:revisionPtr revIDLastSave="0" documentId="8_{E24BCEC6-8514-014B-AE65-E4BF353F5CC1}" xr6:coauthVersionLast="47" xr6:coauthVersionMax="47" xr10:uidLastSave="{00000000-0000-0000-0000-000000000000}"/>
  <bookViews>
    <workbookView xWindow="0" yWindow="660" windowWidth="29400" windowHeight="16760" activeTab="3" xr2:uid="{00000000-000D-0000-FFFF-FFFF00000000}"/>
  </bookViews>
  <sheets>
    <sheet name="Dane" sheetId="1" r:id="rId1"/>
    <sheet name="Wyr. wst. i met. analit.-graf." sheetId="2" r:id="rId2"/>
    <sheet name="Metoda analityczna" sheetId="5" r:id="rId3"/>
    <sheet name="Wartości przemieszczeń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2" l="1"/>
  <c r="E71" i="2"/>
  <c r="F71" i="2" s="1"/>
  <c r="D71" i="2"/>
  <c r="I69" i="2"/>
  <c r="E69" i="2"/>
  <c r="F69" i="2" s="1"/>
  <c r="D69" i="2"/>
  <c r="I67" i="2"/>
  <c r="G67" i="2"/>
  <c r="E67" i="2"/>
  <c r="F67" i="2" s="1"/>
  <c r="D67" i="2"/>
  <c r="I65" i="2"/>
  <c r="E65" i="2"/>
  <c r="F65" i="2" s="1"/>
  <c r="D65" i="2"/>
  <c r="I63" i="2"/>
  <c r="E63" i="2"/>
  <c r="D63" i="2"/>
  <c r="I61" i="2"/>
  <c r="E61" i="2"/>
  <c r="F61" i="2" s="1"/>
  <c r="D61" i="2"/>
  <c r="I59" i="2"/>
  <c r="G59" i="2"/>
  <c r="E59" i="2"/>
  <c r="F59" i="2" s="1"/>
  <c r="D59" i="2"/>
  <c r="I57" i="2"/>
  <c r="E57" i="2"/>
  <c r="D57" i="2"/>
  <c r="I55" i="2"/>
  <c r="G55" i="2"/>
  <c r="E55" i="2"/>
  <c r="F55" i="2" s="1"/>
  <c r="D55" i="2"/>
  <c r="I53" i="2"/>
  <c r="G53" i="2"/>
  <c r="H51" i="2" s="1"/>
  <c r="H65" i="2" s="1"/>
  <c r="H69" i="2" s="1"/>
  <c r="H71" i="2" s="1"/>
  <c r="E53" i="2"/>
  <c r="D53" i="2"/>
  <c r="I51" i="2"/>
  <c r="E51" i="2"/>
  <c r="F51" i="2" s="1"/>
  <c r="D51" i="2"/>
  <c r="I49" i="2"/>
  <c r="F49" i="2"/>
  <c r="E49" i="2"/>
  <c r="D49" i="2"/>
  <c r="I47" i="2"/>
  <c r="G47" i="2"/>
  <c r="H45" i="2" s="1"/>
  <c r="H55" i="2" s="1"/>
  <c r="F47" i="2"/>
  <c r="E47" i="2"/>
  <c r="D47" i="2"/>
  <c r="I45" i="2"/>
  <c r="E45" i="2"/>
  <c r="D45" i="2"/>
  <c r="I43" i="2"/>
  <c r="E43" i="2"/>
  <c r="F43" i="2" s="1"/>
  <c r="D43" i="2"/>
  <c r="H36" i="2"/>
  <c r="D24" i="2"/>
  <c r="D20" i="2"/>
  <c r="C20" i="2"/>
  <c r="F19" i="2"/>
  <c r="C18" i="2"/>
  <c r="H17" i="2"/>
  <c r="C29" i="2" s="1"/>
  <c r="E17" i="2"/>
  <c r="C26" i="2" s="1"/>
  <c r="E16" i="2"/>
  <c r="E19" i="2" s="1"/>
  <c r="D16" i="2"/>
  <c r="C16" i="2"/>
  <c r="H15" i="2"/>
  <c r="H16" i="2" s="1"/>
  <c r="G15" i="2"/>
  <c r="F15" i="2"/>
  <c r="F16" i="2" s="1"/>
  <c r="E15" i="2"/>
  <c r="D15" i="2"/>
  <c r="C15" i="2"/>
  <c r="H14" i="2"/>
  <c r="G14" i="2"/>
  <c r="F14" i="2"/>
  <c r="E14" i="2"/>
  <c r="E18" i="2" s="1"/>
  <c r="D26" i="2" s="1"/>
  <c r="D14" i="2"/>
  <c r="C14" i="2"/>
  <c r="F11" i="2"/>
  <c r="D11" i="2"/>
  <c r="C11" i="2"/>
  <c r="D10" i="2"/>
  <c r="F10" i="2" s="1"/>
  <c r="C10" i="2"/>
  <c r="F9" i="2"/>
  <c r="D9" i="2"/>
  <c r="C9" i="2"/>
  <c r="D8" i="2"/>
  <c r="F8" i="2" s="1"/>
  <c r="C8" i="2"/>
  <c r="D7" i="2"/>
  <c r="F7" i="2" s="1"/>
  <c r="C7" i="2"/>
  <c r="D6" i="2"/>
  <c r="F6" i="2" s="1"/>
  <c r="C6" i="2"/>
  <c r="F5" i="2"/>
  <c r="D5" i="2"/>
  <c r="C5" i="2"/>
  <c r="D4" i="2"/>
  <c r="C4" i="2"/>
  <c r="F4" i="2" s="1"/>
  <c r="H3" i="2"/>
  <c r="D3" i="2"/>
  <c r="F3" i="2" s="1"/>
  <c r="C3" i="2"/>
  <c r="P67" i="6"/>
  <c r="O67" i="6"/>
  <c r="N67" i="6"/>
  <c r="M67" i="6"/>
  <c r="P66" i="6"/>
  <c r="O66" i="6"/>
  <c r="N66" i="6"/>
  <c r="M66" i="6"/>
  <c r="P65" i="6"/>
  <c r="O65" i="6"/>
  <c r="N65" i="6"/>
  <c r="M65" i="6"/>
  <c r="R64" i="6"/>
  <c r="Q64" i="6"/>
  <c r="N64" i="6"/>
  <c r="M64" i="6"/>
  <c r="R63" i="6"/>
  <c r="Q63" i="6"/>
  <c r="N63" i="6"/>
  <c r="M63" i="6"/>
  <c r="R62" i="6"/>
  <c r="Q62" i="6"/>
  <c r="N62" i="6"/>
  <c r="M62" i="6"/>
  <c r="R61" i="6"/>
  <c r="Q61" i="6"/>
  <c r="P61" i="6"/>
  <c r="O61" i="6"/>
  <c r="R60" i="6"/>
  <c r="Q60" i="6"/>
  <c r="P60" i="6"/>
  <c r="O60" i="6"/>
  <c r="R59" i="6"/>
  <c r="Q59" i="6"/>
  <c r="P59" i="6"/>
  <c r="O59" i="6"/>
  <c r="P38" i="6"/>
  <c r="O38" i="6"/>
  <c r="N38" i="6"/>
  <c r="M38" i="6"/>
  <c r="L38" i="6"/>
  <c r="K38" i="6"/>
  <c r="P37" i="6"/>
  <c r="O37" i="6"/>
  <c r="N37" i="6"/>
  <c r="M37" i="6"/>
  <c r="L37" i="6"/>
  <c r="K37" i="6"/>
  <c r="S36" i="6"/>
  <c r="R36" i="6"/>
  <c r="Q36" i="6"/>
  <c r="M36" i="6"/>
  <c r="L36" i="6"/>
  <c r="K36" i="6"/>
  <c r="S35" i="6"/>
  <c r="R35" i="6"/>
  <c r="Q35" i="6"/>
  <c r="M35" i="6"/>
  <c r="L35" i="6"/>
  <c r="K35" i="6"/>
  <c r="S34" i="6"/>
  <c r="R34" i="6"/>
  <c r="Q34" i="6"/>
  <c r="P34" i="6"/>
  <c r="O34" i="6"/>
  <c r="N34" i="6"/>
  <c r="S33" i="6"/>
  <c r="R33" i="6"/>
  <c r="Q33" i="6"/>
  <c r="P33" i="6"/>
  <c r="O33" i="6"/>
  <c r="N33" i="6"/>
  <c r="D12" i="6"/>
  <c r="I10" i="6" s="1"/>
  <c r="H28" i="6" s="1"/>
  <c r="C12" i="6"/>
  <c r="D11" i="6"/>
  <c r="C11" i="6"/>
  <c r="D10" i="6"/>
  <c r="C10" i="6"/>
  <c r="K6" i="6"/>
  <c r="J6" i="6"/>
  <c r="K30" i="6" s="1"/>
  <c r="I6" i="6"/>
  <c r="K27" i="6" s="1"/>
  <c r="T64" i="6" s="1"/>
  <c r="H6" i="6"/>
  <c r="K24" i="6" s="1"/>
  <c r="G6" i="6"/>
  <c r="F6" i="6"/>
  <c r="E6" i="6"/>
  <c r="D6" i="6"/>
  <c r="C6" i="6"/>
  <c r="K5" i="6"/>
  <c r="M26" i="6" s="1"/>
  <c r="V63" i="6" s="1"/>
  <c r="I5" i="6"/>
  <c r="K26" i="6" s="1"/>
  <c r="G5" i="6"/>
  <c r="F5" i="6"/>
  <c r="E5" i="6"/>
  <c r="D5" i="6"/>
  <c r="C5" i="6"/>
  <c r="K4" i="6"/>
  <c r="M28" i="6" s="1"/>
  <c r="N28" i="6" s="1"/>
  <c r="J4" i="6"/>
  <c r="K28" i="6" s="1"/>
  <c r="I4" i="6"/>
  <c r="K25" i="6" s="1"/>
  <c r="H4" i="6"/>
  <c r="K22" i="6" s="1"/>
  <c r="G4" i="6"/>
  <c r="F4" i="6"/>
  <c r="E4" i="6"/>
  <c r="D4" i="6"/>
  <c r="C4" i="6"/>
  <c r="L11" i="6" l="1"/>
  <c r="E23" i="6" s="1"/>
  <c r="I12" i="6"/>
  <c r="H30" i="6" s="1"/>
  <c r="M10" i="6"/>
  <c r="G25" i="6" s="1"/>
  <c r="N10" i="6"/>
  <c r="I28" i="6" s="1"/>
  <c r="R65" i="6" s="1"/>
  <c r="M11" i="6"/>
  <c r="G26" i="6" s="1"/>
  <c r="P63" i="6" s="1"/>
  <c r="H12" i="6"/>
  <c r="F27" i="6" s="1"/>
  <c r="O64" i="6" s="1"/>
  <c r="G10" i="6"/>
  <c r="D22" i="6" s="1"/>
  <c r="M59" i="6" s="1"/>
  <c r="G12" i="6"/>
  <c r="J24" i="6" s="1"/>
  <c r="S61" i="6" s="1"/>
  <c r="V65" i="6"/>
  <c r="H10" i="6"/>
  <c r="F25" i="6" s="1"/>
  <c r="O62" i="6" s="1"/>
  <c r="L10" i="6"/>
  <c r="E22" i="6" s="1"/>
  <c r="N59" i="6" s="1"/>
  <c r="M29" i="6"/>
  <c r="V66" i="6" s="1"/>
  <c r="H11" i="6"/>
  <c r="F26" i="6" s="1"/>
  <c r="O63" i="6" s="1"/>
  <c r="I11" i="6"/>
  <c r="H29" i="6" s="1"/>
  <c r="Q66" i="6" s="1"/>
  <c r="M22" i="6"/>
  <c r="V59" i="6" s="1"/>
  <c r="M25" i="6"/>
  <c r="N25" i="6" s="1"/>
  <c r="Q65" i="6"/>
  <c r="F40" i="6"/>
  <c r="Q37" i="6" s="1"/>
  <c r="E37" i="6"/>
  <c r="P62" i="6"/>
  <c r="G40" i="6"/>
  <c r="Q38" i="6" s="1"/>
  <c r="Q67" i="6"/>
  <c r="T63" i="6"/>
  <c r="J47" i="2"/>
  <c r="K47" i="2" s="1"/>
  <c r="G49" i="2"/>
  <c r="H47" i="2" s="1"/>
  <c r="H57" i="2" s="1"/>
  <c r="H61" i="2" s="1"/>
  <c r="G71" i="2"/>
  <c r="T67" i="6"/>
  <c r="M24" i="6"/>
  <c r="M30" i="6"/>
  <c r="J69" i="2"/>
  <c r="K69" i="2" s="1"/>
  <c r="L12" i="6"/>
  <c r="E24" i="6" s="1"/>
  <c r="J28" i="6"/>
  <c r="S65" i="6" s="1"/>
  <c r="J5" i="6"/>
  <c r="K29" i="6" s="1"/>
  <c r="N60" i="6"/>
  <c r="N26" i="6"/>
  <c r="E38" i="6" s="1"/>
  <c r="O36" i="6" s="1"/>
  <c r="T65" i="6"/>
  <c r="G11" i="6"/>
  <c r="D23" i="6" s="1"/>
  <c r="M23" i="6"/>
  <c r="F20" i="2"/>
  <c r="F18" i="2"/>
  <c r="D27" i="2" s="1"/>
  <c r="G63" i="2"/>
  <c r="D17" i="2"/>
  <c r="C25" i="2" s="1"/>
  <c r="G45" i="2"/>
  <c r="H43" i="2" s="1"/>
  <c r="G61" i="2"/>
  <c r="G65" i="2"/>
  <c r="D19" i="2"/>
  <c r="D18" i="2"/>
  <c r="D25" i="2" s="1"/>
  <c r="N11" i="6"/>
  <c r="M27" i="6"/>
  <c r="H5" i="6"/>
  <c r="K23" i="6" s="1"/>
  <c r="J55" i="2"/>
  <c r="K55" i="2" s="1"/>
  <c r="J65" i="2"/>
  <c r="K65" i="2" s="1"/>
  <c r="J71" i="2"/>
  <c r="K71" i="2" s="1"/>
  <c r="D24" i="6"/>
  <c r="G20" i="2"/>
  <c r="G18" i="2"/>
  <c r="D28" i="2" s="1"/>
  <c r="H20" i="2"/>
  <c r="H18" i="2"/>
  <c r="D29" i="2" s="1"/>
  <c r="H19" i="2"/>
  <c r="M12" i="6"/>
  <c r="G27" i="6" s="1"/>
  <c r="G16" i="2"/>
  <c r="F45" i="2"/>
  <c r="F57" i="2"/>
  <c r="F17" i="2"/>
  <c r="C27" i="2" s="1"/>
  <c r="J23" i="6"/>
  <c r="S60" i="6" s="1"/>
  <c r="N12" i="6"/>
  <c r="I30" i="6" s="1"/>
  <c r="E20" i="2"/>
  <c r="G57" i="2"/>
  <c r="G43" i="2"/>
  <c r="F53" i="2"/>
  <c r="G69" i="2"/>
  <c r="J27" i="6"/>
  <c r="S64" i="6" s="1"/>
  <c r="C17" i="2"/>
  <c r="C24" i="2" s="1"/>
  <c r="F63" i="2"/>
  <c r="C19" i="2"/>
  <c r="D38" i="6" l="1"/>
  <c r="O35" i="6" s="1"/>
  <c r="J22" i="6"/>
  <c r="S59" i="6" s="1"/>
  <c r="L27" i="6"/>
  <c r="N22" i="6"/>
  <c r="B34" i="6" s="1"/>
  <c r="J25" i="6"/>
  <c r="S62" i="6" s="1"/>
  <c r="V62" i="6"/>
  <c r="C34" i="6"/>
  <c r="K34" i="6" s="1"/>
  <c r="D37" i="6"/>
  <c r="N35" i="6" s="1"/>
  <c r="J26" i="6"/>
  <c r="N29" i="6"/>
  <c r="F41" i="6" s="1"/>
  <c r="R37" i="6" s="1"/>
  <c r="L28" i="6"/>
  <c r="R67" i="6"/>
  <c r="H53" i="2"/>
  <c r="J43" i="2"/>
  <c r="K43" i="2" s="1"/>
  <c r="M60" i="6"/>
  <c r="V64" i="6"/>
  <c r="N27" i="6"/>
  <c r="D39" i="6" s="1"/>
  <c r="J30" i="6"/>
  <c r="U65" i="6"/>
  <c r="I40" i="6"/>
  <c r="M61" i="6"/>
  <c r="J61" i="2"/>
  <c r="K61" i="2" s="1"/>
  <c r="N61" i="6"/>
  <c r="T66" i="6"/>
  <c r="V67" i="6"/>
  <c r="N30" i="6"/>
  <c r="F42" i="6" s="1"/>
  <c r="S37" i="6" s="1"/>
  <c r="O47" i="6" s="1"/>
  <c r="F23" i="2" a="1"/>
  <c r="J53" i="2"/>
  <c r="K53" i="2" s="1"/>
  <c r="J57" i="2"/>
  <c r="K57" i="2" s="1"/>
  <c r="G51" i="2"/>
  <c r="G19" i="2"/>
  <c r="G17" i="2"/>
  <c r="C28" i="2" s="1"/>
  <c r="P64" i="6"/>
  <c r="L23" i="6"/>
  <c r="L24" i="6"/>
  <c r="V61" i="6"/>
  <c r="N24" i="6"/>
  <c r="B36" i="6" s="1"/>
  <c r="N36" i="6"/>
  <c r="U64" i="6"/>
  <c r="I29" i="6"/>
  <c r="J29" i="6"/>
  <c r="S66" i="6" s="1"/>
  <c r="J45" i="2"/>
  <c r="K45" i="2" s="1"/>
  <c r="V60" i="6"/>
  <c r="N23" i="6"/>
  <c r="C35" i="6" s="1"/>
  <c r="L34" i="6" s="1"/>
  <c r="L25" i="6" l="1"/>
  <c r="I37" i="6" s="1"/>
  <c r="L22" i="6"/>
  <c r="I34" i="6" s="1"/>
  <c r="I35" i="6"/>
  <c r="S63" i="6"/>
  <c r="L26" i="6"/>
  <c r="I39" i="6"/>
  <c r="E39" i="6"/>
  <c r="P36" i="6" s="1"/>
  <c r="N46" i="6" s="1"/>
  <c r="L29" i="6"/>
  <c r="I41" i="6" s="1"/>
  <c r="M33" i="6"/>
  <c r="U66" i="6"/>
  <c r="C36" i="6"/>
  <c r="L47" i="6" s="1"/>
  <c r="K33" i="6"/>
  <c r="G42" i="6"/>
  <c r="S38" i="6" s="1"/>
  <c r="J51" i="2"/>
  <c r="K51" i="2" s="1"/>
  <c r="H49" i="2"/>
  <c r="P35" i="6"/>
  <c r="M47" i="6"/>
  <c r="I36" i="6"/>
  <c r="G41" i="6"/>
  <c r="R66" i="6"/>
  <c r="K25" i="2"/>
  <c r="G24" i="2"/>
  <c r="I25" i="2"/>
  <c r="K23" i="2"/>
  <c r="K24" i="2"/>
  <c r="F23" i="2"/>
  <c r="B32" i="2" s="1" a="1"/>
  <c r="J24" i="2"/>
  <c r="I24" i="2"/>
  <c r="G25" i="2"/>
  <c r="G23" i="2"/>
  <c r="F28" i="2" s="1" a="1"/>
  <c r="F24" i="2"/>
  <c r="H23" i="2"/>
  <c r="J23" i="2"/>
  <c r="I23" i="2"/>
  <c r="H25" i="2"/>
  <c r="F25" i="2"/>
  <c r="J25" i="2"/>
  <c r="H24" i="2"/>
  <c r="S67" i="6"/>
  <c r="L30" i="6"/>
  <c r="B35" i="6"/>
  <c r="K47" i="6" s="1"/>
  <c r="O46" i="6" l="1"/>
  <c r="N47" i="6"/>
  <c r="I38" i="6"/>
  <c r="U63" i="6"/>
  <c r="M46" i="6"/>
  <c r="L45" i="6"/>
  <c r="L46" i="6"/>
  <c r="C32" i="2"/>
  <c r="B32" i="2"/>
  <c r="B37" i="2" s="1" a="1"/>
  <c r="B33" i="2"/>
  <c r="D32" i="2"/>
  <c r="D33" i="2"/>
  <c r="C33" i="2"/>
  <c r="D34" i="2"/>
  <c r="C34" i="2"/>
  <c r="B34" i="2"/>
  <c r="F28" i="2"/>
  <c r="F30" i="2"/>
  <c r="F29" i="2"/>
  <c r="I42" i="6"/>
  <c r="R46" i="6" s="1"/>
  <c r="U67" i="6"/>
  <c r="N45" i="6"/>
  <c r="P45" i="6"/>
  <c r="O45" i="6"/>
  <c r="M45" i="6"/>
  <c r="H59" i="2"/>
  <c r="J49" i="2"/>
  <c r="K49" i="2" s="1"/>
  <c r="R38" i="6"/>
  <c r="L48" i="6" s="1"/>
  <c r="P47" i="6"/>
  <c r="K46" i="6"/>
  <c r="K45" i="6"/>
  <c r="L33" i="6"/>
  <c r="P46" i="6"/>
  <c r="M34" i="6"/>
  <c r="K44" i="6" s="1"/>
  <c r="R43" i="6" l="1"/>
  <c r="P43" i="6"/>
  <c r="B38" i="2"/>
  <c r="C37" i="2"/>
  <c r="D39" i="2"/>
  <c r="C39" i="2"/>
  <c r="H28" i="2" a="1"/>
  <c r="B37" i="2"/>
  <c r="C38" i="2"/>
  <c r="D37" i="2"/>
  <c r="B39" i="2"/>
  <c r="D38" i="2"/>
  <c r="L43" i="6"/>
  <c r="R45" i="6"/>
  <c r="H63" i="2"/>
  <c r="J59" i="2"/>
  <c r="K59" i="2" s="1"/>
  <c r="N43" i="6"/>
  <c r="N44" i="6"/>
  <c r="M44" i="6"/>
  <c r="L44" i="6"/>
  <c r="O44" i="6"/>
  <c r="R44" i="6"/>
  <c r="P44" i="6"/>
  <c r="M43" i="6"/>
  <c r="K43" i="6"/>
  <c r="O43" i="6"/>
  <c r="P48" i="6"/>
  <c r="O48" i="6"/>
  <c r="N48" i="6"/>
  <c r="R48" i="6"/>
  <c r="M48" i="6"/>
  <c r="K48" i="6"/>
  <c r="R47" i="6"/>
  <c r="H30" i="2" l="1"/>
  <c r="H29" i="2"/>
  <c r="H28" i="2"/>
  <c r="J28" i="2" s="1" a="1"/>
  <c r="H67" i="2"/>
  <c r="J67" i="2" s="1"/>
  <c r="K67" i="2" s="1"/>
  <c r="J63" i="2"/>
  <c r="K63" i="2" s="1"/>
  <c r="G51" i="6"/>
  <c r="D50" i="6"/>
  <c r="C49" i="6"/>
  <c r="G47" i="6"/>
  <c r="F51" i="6"/>
  <c r="C50" i="6"/>
  <c r="B49" i="6"/>
  <c r="F47" i="6"/>
  <c r="E51" i="6"/>
  <c r="B50" i="6"/>
  <c r="E47" i="6"/>
  <c r="B52" i="6"/>
  <c r="F50" i="6"/>
  <c r="E49" i="6"/>
  <c r="B48" i="6"/>
  <c r="B51" i="6"/>
  <c r="G48" i="6"/>
  <c r="F48" i="6"/>
  <c r="G52" i="6"/>
  <c r="G50" i="6"/>
  <c r="E48" i="6"/>
  <c r="G49" i="6"/>
  <c r="C47" i="6"/>
  <c r="D51" i="6"/>
  <c r="C51" i="6"/>
  <c r="D47" i="6"/>
  <c r="F52" i="6"/>
  <c r="E50" i="6"/>
  <c r="B47" i="6"/>
  <c r="E52" i="6"/>
  <c r="D49" i="6"/>
  <c r="D52" i="6"/>
  <c r="D48" i="6"/>
  <c r="C52" i="6"/>
  <c r="F49" i="6"/>
  <c r="C48" i="6"/>
  <c r="I63" i="6" l="1"/>
  <c r="O71" i="6" s="1"/>
  <c r="J28" i="2"/>
  <c r="F33" i="2" s="1" a="1"/>
  <c r="F33" i="2" s="1"/>
  <c r="F36" i="2" s="1"/>
  <c r="G36" i="2" s="1"/>
  <c r="I36" i="2" s="1"/>
  <c r="J30" i="2"/>
  <c r="J33" i="2"/>
  <c r="J31" i="2"/>
  <c r="J29" i="2"/>
  <c r="J32" i="2"/>
  <c r="I64" i="6"/>
  <c r="M72" i="6" s="1"/>
  <c r="I67" i="6"/>
  <c r="O73" i="6" s="1"/>
  <c r="I66" i="6"/>
  <c r="M73" i="6" s="1"/>
  <c r="I65" i="6"/>
  <c r="O72" i="6" s="1"/>
  <c r="I62" i="6"/>
  <c r="H33" i="2" l="1" a="1"/>
  <c r="H33" i="2" s="1"/>
  <c r="C65" i="6"/>
  <c r="D65" i="6" s="1"/>
  <c r="W64" i="6" s="1"/>
  <c r="C66" i="6"/>
  <c r="D66" i="6" s="1"/>
  <c r="W65" i="6" s="1"/>
  <c r="M71" i="6"/>
  <c r="C63" i="6"/>
  <c r="D63" i="6" s="1"/>
  <c r="W62" i="6" s="1"/>
  <c r="C68" i="6"/>
  <c r="D68" i="6" s="1"/>
  <c r="W67" i="6" s="1"/>
  <c r="C67" i="6"/>
  <c r="D67" i="6" s="1"/>
  <c r="W66" i="6" s="1"/>
  <c r="C64" i="6"/>
  <c r="D64" i="6" s="1"/>
  <c r="W63" i="6" s="1"/>
  <c r="C62" i="6"/>
  <c r="D62" i="6" s="1"/>
  <c r="W61" i="6" s="1"/>
  <c r="C60" i="6"/>
  <c r="C61" i="6"/>
  <c r="D61" i="6" s="1"/>
  <c r="W60" i="6" s="1"/>
  <c r="U62" i="6" l="1"/>
  <c r="U61" i="6"/>
  <c r="U60" i="6"/>
  <c r="U59" i="6"/>
  <c r="D60" i="6"/>
  <c r="W59" i="6" s="1"/>
  <c r="D71" i="6" s="1"/>
  <c r="D74" i="6" s="1"/>
  <c r="C71" i="6"/>
  <c r="C74" i="6" s="1"/>
  <c r="U58" i="6"/>
  <c r="U57" i="6"/>
</calcChain>
</file>

<file path=xl/sharedStrings.xml><?xml version="1.0" encoding="utf-8"?>
<sst xmlns="http://schemas.openxmlformats.org/spreadsheetml/2006/main" count="458" uniqueCount="180">
  <si>
    <t>WARTOŚCI PRZEMIESZCZEŃ – NASZE DANE / FORMUŁY</t>
  </si>
  <si>
    <t>Współrzędne przybliżone</t>
  </si>
  <si>
    <t>Stała orientacyjna przemieszczenia</t>
  </si>
  <si>
    <t>Różnice kierunków l</t>
  </si>
  <si>
    <t>Błąd średni</t>
  </si>
  <si>
    <t>St</t>
  </si>
  <si>
    <t>Xs [m]</t>
  </si>
  <si>
    <t>Ys [m]</t>
  </si>
  <si>
    <t>Zs [g]</t>
  </si>
  <si>
    <t>∆Xs [m]</t>
  </si>
  <si>
    <t>∆Ys [m]</t>
  </si>
  <si>
    <t>l1</t>
  </si>
  <si>
    <t>l2</t>
  </si>
  <si>
    <t>l3</t>
  </si>
  <si>
    <t>σlq [g]</t>
  </si>
  <si>
    <t>S2: Metoda analityczna - nasze, wiersz 98 (K-2,3 pominięty)</t>
  </si>
  <si>
    <t>X</t>
  </si>
  <si>
    <t>Y</t>
  </si>
  <si>
    <t>P1</t>
  </si>
  <si>
    <t>P2</t>
  </si>
  <si>
    <t>P3</t>
  </si>
  <si>
    <t>Współczynnik c</t>
  </si>
  <si>
    <t>Współczynnik d</t>
  </si>
  <si>
    <t>St\Pkt</t>
  </si>
  <si>
    <t>Macierz a</t>
  </si>
  <si>
    <t>ΔXP1</t>
  </si>
  <si>
    <t>ΔYP1</t>
  </si>
  <si>
    <t>ΔXP2</t>
  </si>
  <si>
    <t>ΔYP2</t>
  </si>
  <si>
    <t>ΔXP3</t>
  </si>
  <si>
    <t>ΔYP3</t>
  </si>
  <si>
    <t>-Zs+ε  [g]</t>
  </si>
  <si>
    <t>K'- K  [g]</t>
  </si>
  <si>
    <t>K'-K-Zs+ε [g]</t>
  </si>
  <si>
    <t>p</t>
  </si>
  <si>
    <t>St 1</t>
  </si>
  <si>
    <t>St 2</t>
  </si>
  <si>
    <t>St 3</t>
  </si>
  <si>
    <t>A</t>
  </si>
  <si>
    <t>L</t>
  </si>
  <si>
    <t>AT</t>
  </si>
  <si>
    <t>V</t>
  </si>
  <si>
    <t>V [cc]</t>
  </si>
  <si>
    <t>ATA</t>
  </si>
  <si>
    <t>ATL</t>
  </si>
  <si>
    <t>(ATA)^-1</t>
  </si>
  <si>
    <t>VTV stand.</t>
  </si>
  <si>
    <t>VTV [cc²]</t>
  </si>
  <si>
    <t>σ0 stand. [-]</t>
  </si>
  <si>
    <t>σ0 [cc]</t>
  </si>
  <si>
    <t>kontrola AᵀV</t>
  </si>
  <si>
    <t>v [cc]</t>
  </si>
  <si>
    <t>Punkty kontrolowane</t>
  </si>
  <si>
    <t>Przemieszczenie składowe [mm]</t>
  </si>
  <si>
    <t>ΔX [mm]</t>
  </si>
  <si>
    <t>ΔY [mm]</t>
  </si>
  <si>
    <t>ID = 3</t>
  </si>
  <si>
    <t>Układ obserwacji w pomiarze wyjściowym i aktualnym</t>
  </si>
  <si>
    <t>k</t>
  </si>
  <si>
    <t>Pomiar wyjściowy</t>
  </si>
  <si>
    <t>Pomiar aktualny</t>
  </si>
  <si>
    <t>Nr</t>
  </si>
  <si>
    <t>Xo</t>
  </si>
  <si>
    <t>Yo</t>
  </si>
  <si>
    <t>k [g]</t>
  </si>
  <si>
    <t>σk [cc]</t>
  </si>
  <si>
    <t>k' [g]</t>
  </si>
  <si>
    <t>σk' [cc]</t>
  </si>
  <si>
    <t>w metrach</t>
  </si>
  <si>
    <t>St.1</t>
  </si>
  <si>
    <t>St.2</t>
  </si>
  <si>
    <t>K-2,1</t>
  </si>
  <si>
    <t>K-2,2</t>
  </si>
  <si>
    <t>K-2,3</t>
  </si>
  <si>
    <t>K-2,4</t>
  </si>
  <si>
    <t>K-2,5</t>
  </si>
  <si>
    <t>K-2,6</t>
  </si>
  <si>
    <t>St.3</t>
  </si>
  <si>
    <t>Dane dot. Stanowisk pomiarowych 1 i 3:</t>
  </si>
  <si>
    <t>Stan.</t>
  </si>
  <si>
    <t>zs [cc]</t>
  </si>
  <si>
    <t>K</t>
  </si>
  <si>
    <t>K'</t>
  </si>
  <si>
    <t>σl</t>
  </si>
  <si>
    <t>st2-K2,1</t>
  </si>
  <si>
    <t>st2-K2,2</t>
  </si>
  <si>
    <t>st2-K2,3</t>
  </si>
  <si>
    <t>st2-K2,4</t>
  </si>
  <si>
    <t>st2-K2,5</t>
  </si>
  <si>
    <t>st2-K2,6</t>
  </si>
  <si>
    <t>ΔX</t>
  </si>
  <si>
    <t>ΔY</t>
  </si>
  <si>
    <t>Dsc</t>
  </si>
  <si>
    <t>a</t>
  </si>
  <si>
    <t>b</t>
  </si>
  <si>
    <t>c</t>
  </si>
  <si>
    <t>d</t>
  </si>
  <si>
    <t>Zs</t>
  </si>
  <si>
    <t>ΔXs</t>
  </si>
  <si>
    <t>ΔYs</t>
  </si>
  <si>
    <t>VTV</t>
  </si>
  <si>
    <t>VTL</t>
  </si>
  <si>
    <t>σ'l</t>
  </si>
  <si>
    <t>σo</t>
  </si>
  <si>
    <t>σ'o kryt</t>
  </si>
  <si>
    <t>kryterium</t>
  </si>
  <si>
    <t>ATA^-1</t>
  </si>
  <si>
    <t>alfa  [g]</t>
  </si>
  <si>
    <t>alfa' [g]</t>
  </si>
  <si>
    <t>Δ alfa [g]</t>
  </si>
  <si>
    <t>a [m]</t>
  </si>
  <si>
    <t>b [m]</t>
  </si>
  <si>
    <t>c  [m]</t>
  </si>
  <si>
    <t>p  [m]</t>
  </si>
  <si>
    <t>w skali 1:1000</t>
  </si>
  <si>
    <t>Punkt kontrolny</t>
  </si>
  <si>
    <t>Zs [cc]</t>
  </si>
  <si>
    <t>l [cc]</t>
  </si>
  <si>
    <t>Δlie</t>
  </si>
  <si>
    <t>q</t>
  </si>
  <si>
    <t>δq</t>
  </si>
  <si>
    <t>σ0</t>
  </si>
  <si>
    <t>Stałe</t>
  </si>
  <si>
    <t>wartość</t>
  </si>
  <si>
    <t>jedn.</t>
  </si>
  <si>
    <t>Wniosek z grafiki</t>
  </si>
  <si>
    <t>K-2,3 podejrzany</t>
  </si>
  <si>
    <t>Dane St.2 i współczynniki A</t>
  </si>
  <si>
    <t>σk</t>
  </si>
  <si>
    <t>cc</t>
  </si>
  <si>
    <t>Pkt</t>
  </si>
  <si>
    <t>status</t>
  </si>
  <si>
    <t>uwagi</t>
  </si>
  <si>
    <t>σk'</t>
  </si>
  <si>
    <t>stały/kontrolny</t>
  </si>
  <si>
    <t>podejrzany</t>
  </si>
  <si>
    <t>z grafiki</t>
  </si>
  <si>
    <t>Punkt</t>
  </si>
  <si>
    <t>A: -1</t>
  </si>
  <si>
    <t>A: a</t>
  </si>
  <si>
    <t>A: b</t>
  </si>
  <si>
    <t>Aᵀ r1</t>
  </si>
  <si>
    <t>Aᵀ r2</t>
  </si>
  <si>
    <t>Aᵀ r3</t>
  </si>
  <si>
    <t>AᵀA 1</t>
  </si>
  <si>
    <t>AᵀA 2</t>
  </si>
  <si>
    <t>AᵀA 3</t>
  </si>
  <si>
    <t>det(AᵀA)</t>
  </si>
  <si>
    <t>ocena</t>
  </si>
  <si>
    <t>zawiera K-2,3</t>
  </si>
  <si>
    <t>bez K-2,3</t>
  </si>
  <si>
    <t>Baza robocza</t>
  </si>
  <si>
    <t>K-2,1; K-2,4; K-2,6</t>
  </si>
  <si>
    <t>ε [cc]</t>
  </si>
  <si>
    <t>Δεie</t>
  </si>
  <si>
    <t>KRYT |q|/(kσ)</t>
  </si>
  <si>
    <t>speł. kryt.</t>
  </si>
  <si>
    <t>Aᵀ</t>
  </si>
  <si>
    <t>AᵀA</t>
  </si>
  <si>
    <t>SPEŁNIA</t>
  </si>
  <si>
    <t>NIE SPEŁNIA</t>
  </si>
  <si>
    <t>Parametry z bazy roboczej</t>
  </si>
  <si>
    <t>Przyjęte punkty stałe</t>
  </si>
  <si>
    <t>K-2,1, K-2,2, K-2,4, K-2,5, K-2,6</t>
  </si>
  <si>
    <t>Punkt pominięty</t>
  </si>
  <si>
    <t>vTv</t>
  </si>
  <si>
    <t>f</t>
  </si>
  <si>
    <t>(σ0/σl)^2</t>
  </si>
  <si>
    <t>χ²/f</t>
  </si>
  <si>
    <t>wynik</t>
  </si>
  <si>
    <t>Poprawki v [cc]</t>
  </si>
  <si>
    <t>K-2,1: -0.327</t>
  </si>
  <si>
    <t>K-2,2: 0.376</t>
  </si>
  <si>
    <t>K-2,4: -0.057</t>
  </si>
  <si>
    <t>K-2,5: -0.180</t>
  </si>
  <si>
    <t>K-2,6: 0.188</t>
  </si>
  <si>
    <t>WNIOSEK</t>
  </si>
  <si>
    <t>Metoda analityczna potwierdza wniosek z metody graficznej: K-2,3 nie spełnia kryterium. Po jego pominięciu test globalny dla bazy właściwej jest spełniony.</t>
  </si>
  <si>
    <t>Identyfikacja</t>
  </si>
  <si>
    <t xml:space="preserve">OPRACOWANIE WYBRANEJ BAZY ROBOCZEJ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</si>
</sst>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"/>
    <numFmt numFmtId="165" formatCode="0.00000"/>
    <numFmt numFmtId="166" formatCode="0.000"/>
    <numFmt numFmtId="167" formatCode="0.000E+00"/>
    <numFmt numFmtId="168" formatCode="0.000000"/>
    <numFmt numFmtId="169" formatCode="0.0000"/>
    <numFmt numFmtId="170" formatCode="0.0"/>
  </numFmts>
  <fonts count="11" x14ac:knownFonts="1">
    <font>
      <sz val="11"/>
      <color theme="1"/>
      <name val="Aptos Narrow"/>
    </font>
    <font>
      <b/>
      <i/>
      <sz val="11"/>
      <color theme="1"/>
      <name val="Aptos Narrow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9C0006"/>
      <name val="Arial"/>
      <family val="2"/>
    </font>
    <font>
      <b/>
      <sz val="8"/>
      <color rgb="FF006100"/>
      <name val="Arial"/>
      <family val="2"/>
    </font>
    <font>
      <b/>
      <sz val="11"/>
      <color rgb="FF000000"/>
      <name val="Aptos Narrow"/>
    </font>
    <font>
      <sz val="11"/>
      <color rgb="FF000000"/>
      <name val="Aptos Narrow"/>
    </font>
    <font>
      <i/>
      <sz val="11"/>
      <color rgb="FF000000"/>
      <name val="Aptos Narrow"/>
    </font>
    <font>
      <b/>
      <i/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DEBF7"/>
      </patternFill>
    </fill>
    <fill>
      <patternFill patternType="solid">
        <fgColor rgb="FFEAF4F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9DC3E6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63"/>
  </cellStyleXfs>
  <cellXfs count="282"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0" fillId="2" borderId="0" xfId="0" applyFill="1" applyBorder="1"/>
    <xf numFmtId="0" fontId="0" fillId="0" borderId="0" xfId="0" applyBorder="1" applyAlignment="1">
      <alignment vertical="center" wrapText="1"/>
    </xf>
    <xf numFmtId="168" fontId="0" fillId="0" borderId="0" xfId="0" applyNumberFormat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 wrapText="1"/>
    </xf>
    <xf numFmtId="168" fontId="4" fillId="4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68" fontId="3" fillId="0" borderId="0" xfId="0" applyNumberFormat="1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168" fontId="4" fillId="3" borderId="0" xfId="0" applyNumberFormat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168" fontId="4" fillId="7" borderId="0" xfId="0" applyNumberFormat="1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0" fillId="0" borderId="69" xfId="0" applyBorder="1"/>
    <xf numFmtId="0" fontId="0" fillId="0" borderId="95" xfId="0" applyBorder="1"/>
    <xf numFmtId="0" fontId="0" fillId="0" borderId="100" xfId="0" applyBorder="1"/>
    <xf numFmtId="0" fontId="7" fillId="7" borderId="21" xfId="0" applyFont="1" applyFill="1" applyBorder="1" applyAlignment="1">
      <alignment horizontal="center"/>
    </xf>
    <xf numFmtId="0" fontId="7" fillId="7" borderId="22" xfId="0" applyFont="1" applyFill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0" fontId="7" fillId="7" borderId="18" xfId="0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8" fillId="0" borderId="34" xfId="0" applyFont="1" applyBorder="1"/>
    <xf numFmtId="0" fontId="8" fillId="0" borderId="0" xfId="0" applyFont="1" applyBorder="1"/>
    <xf numFmtId="0" fontId="8" fillId="0" borderId="35" xfId="0" applyFont="1" applyBorder="1"/>
    <xf numFmtId="0" fontId="9" fillId="4" borderId="4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165" fontId="8" fillId="0" borderId="4" xfId="0" applyNumberFormat="1" applyFont="1" applyBorder="1"/>
    <xf numFmtId="0" fontId="8" fillId="4" borderId="28" xfId="0" applyFont="1" applyFill="1" applyBorder="1" applyAlignment="1">
      <alignment horizontal="center"/>
    </xf>
    <xf numFmtId="166" fontId="8" fillId="0" borderId="4" xfId="0" applyNumberFormat="1" applyFont="1" applyBorder="1"/>
    <xf numFmtId="166" fontId="8" fillId="0" borderId="6" xfId="0" applyNumberFormat="1" applyFont="1" applyBorder="1"/>
    <xf numFmtId="0" fontId="9" fillId="4" borderId="16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165" fontId="8" fillId="0" borderId="16" xfId="0" applyNumberFormat="1" applyFont="1" applyBorder="1"/>
    <xf numFmtId="0" fontId="8" fillId="4" borderId="29" xfId="0" applyFont="1" applyFill="1" applyBorder="1" applyAlignment="1">
      <alignment horizontal="center"/>
    </xf>
    <xf numFmtId="166" fontId="8" fillId="0" borderId="16" xfId="0" applyNumberFormat="1" applyFont="1" applyBorder="1"/>
    <xf numFmtId="166" fontId="8" fillId="0" borderId="17" xfId="0" applyNumberFormat="1" applyFont="1" applyBorder="1"/>
    <xf numFmtId="0" fontId="9" fillId="4" borderId="7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165" fontId="8" fillId="0" borderId="7" xfId="0" applyNumberFormat="1" applyFont="1" applyBorder="1"/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165" fontId="8" fillId="0" borderId="14" xfId="0" applyNumberFormat="1" applyFont="1" applyBorder="1"/>
    <xf numFmtId="0" fontId="9" fillId="4" borderId="24" xfId="0" applyFont="1" applyFill="1" applyBorder="1" applyAlignment="1">
      <alignment horizontal="center"/>
    </xf>
    <xf numFmtId="0" fontId="9" fillId="4" borderId="25" xfId="0" applyFont="1" applyFill="1" applyBorder="1" applyAlignment="1">
      <alignment horizontal="center"/>
    </xf>
    <xf numFmtId="165" fontId="8" fillId="0" borderId="24" xfId="0" applyNumberFormat="1" applyFont="1" applyBorder="1"/>
    <xf numFmtId="0" fontId="8" fillId="4" borderId="27" xfId="0" applyFont="1" applyFill="1" applyBorder="1" applyAlignment="1">
      <alignment horizontal="center"/>
    </xf>
    <xf numFmtId="166" fontId="8" fillId="0" borderId="7" xfId="0" applyNumberFormat="1" applyFont="1" applyBorder="1"/>
    <xf numFmtId="166" fontId="8" fillId="0" borderId="9" xfId="0" applyNumberFormat="1" applyFont="1" applyBorder="1"/>
    <xf numFmtId="0" fontId="8" fillId="0" borderId="36" xfId="0" applyFont="1" applyBorder="1"/>
    <xf numFmtId="0" fontId="8" fillId="0" borderId="37" xfId="0" applyFont="1" applyBorder="1"/>
    <xf numFmtId="0" fontId="8" fillId="0" borderId="38" xfId="0" applyFont="1" applyBorder="1"/>
    <xf numFmtId="0" fontId="7" fillId="7" borderId="2" xfId="0" applyFont="1" applyFill="1" applyBorder="1" applyAlignment="1">
      <alignment horizontal="center"/>
    </xf>
    <xf numFmtId="0" fontId="7" fillId="7" borderId="23" xfId="0" applyFont="1" applyFill="1" applyBorder="1" applyAlignment="1">
      <alignment horizontal="center"/>
    </xf>
    <xf numFmtId="0" fontId="7" fillId="7" borderId="30" xfId="0" applyFont="1" applyFill="1" applyBorder="1" applyAlignment="1">
      <alignment horizontal="center"/>
    </xf>
    <xf numFmtId="2" fontId="8" fillId="0" borderId="12" xfId="0" applyNumberFormat="1" applyFont="1" applyBorder="1"/>
    <xf numFmtId="2" fontId="8" fillId="0" borderId="3" xfId="0" applyNumberFormat="1" applyFont="1" applyBorder="1"/>
    <xf numFmtId="2" fontId="8" fillId="0" borderId="15" xfId="0" applyNumberFormat="1" applyFont="1" applyBorder="1"/>
    <xf numFmtId="2" fontId="8" fillId="0" borderId="11" xfId="0" applyNumberFormat="1" applyFont="1" applyBorder="1"/>
    <xf numFmtId="2" fontId="8" fillId="0" borderId="8" xfId="0" applyNumberFormat="1" applyFont="1" applyBorder="1"/>
    <xf numFmtId="2" fontId="8" fillId="0" borderId="9" xfId="0" applyNumberFormat="1" applyFont="1" applyBorder="1"/>
    <xf numFmtId="0" fontId="7" fillId="7" borderId="42" xfId="0" applyFont="1" applyFill="1" applyBorder="1" applyAlignment="1">
      <alignment horizontal="center"/>
    </xf>
    <xf numFmtId="0" fontId="7" fillId="7" borderId="44" xfId="0" applyFont="1" applyFill="1" applyBorder="1" applyAlignment="1">
      <alignment horizontal="center"/>
    </xf>
    <xf numFmtId="0" fontId="7" fillId="7" borderId="39" xfId="0" applyFont="1" applyFill="1" applyBorder="1" applyAlignment="1">
      <alignment horizontal="center"/>
    </xf>
    <xf numFmtId="0" fontId="9" fillId="4" borderId="53" xfId="0" applyFont="1" applyFill="1" applyBorder="1" applyAlignment="1">
      <alignment horizontal="center"/>
    </xf>
    <xf numFmtId="0" fontId="8" fillId="0" borderId="4" xfId="0" applyFont="1" applyBorder="1"/>
    <xf numFmtId="0" fontId="8" fillId="0" borderId="6" xfId="0" applyFont="1" applyBorder="1"/>
    <xf numFmtId="0" fontId="8" fillId="0" borderId="26" xfId="0" applyFont="1" applyBorder="1"/>
    <xf numFmtId="165" fontId="8" fillId="0" borderId="2" xfId="0" applyNumberFormat="1" applyFont="1" applyBorder="1"/>
    <xf numFmtId="0" fontId="9" fillId="4" borderId="54" xfId="0" applyFont="1" applyFill="1" applyBorder="1" applyAlignment="1">
      <alignment horizontal="center"/>
    </xf>
    <xf numFmtId="165" fontId="8" fillId="0" borderId="17" xfId="0" applyNumberFormat="1" applyFont="1" applyBorder="1"/>
    <xf numFmtId="165" fontId="8" fillId="0" borderId="29" xfId="0" applyNumberFormat="1" applyFont="1" applyBorder="1"/>
    <xf numFmtId="165" fontId="8" fillId="0" borderId="58" xfId="0" applyNumberFormat="1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29" xfId="0" applyFont="1" applyBorder="1"/>
    <xf numFmtId="0" fontId="9" fillId="4" borderId="55" xfId="0" applyFont="1" applyFill="1" applyBorder="1" applyAlignment="1">
      <alignment horizontal="center"/>
    </xf>
    <xf numFmtId="0" fontId="8" fillId="0" borderId="7" xfId="0" applyFont="1" applyBorder="1"/>
    <xf numFmtId="0" fontId="8" fillId="0" borderId="9" xfId="0" applyFont="1" applyBorder="1"/>
    <xf numFmtId="165" fontId="8" fillId="0" borderId="27" xfId="0" applyNumberFormat="1" applyFont="1" applyBorder="1"/>
    <xf numFmtId="0" fontId="8" fillId="7" borderId="2" xfId="0" applyFont="1" applyFill="1" applyBorder="1"/>
    <xf numFmtId="0" fontId="10" fillId="4" borderId="23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0" fillId="4" borderId="22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/>
    </xf>
    <xf numFmtId="0" fontId="8" fillId="0" borderId="10" xfId="0" applyFont="1" applyBorder="1"/>
    <xf numFmtId="0" fontId="8" fillId="0" borderId="40" xfId="0" applyFont="1" applyBorder="1"/>
    <xf numFmtId="0" fontId="8" fillId="0" borderId="13" xfId="0" applyFont="1" applyBorder="1"/>
    <xf numFmtId="0" fontId="8" fillId="0" borderId="41" xfId="0" applyFont="1" applyBorder="1"/>
    <xf numFmtId="0" fontId="7" fillId="7" borderId="28" xfId="0" applyFont="1" applyFill="1" applyBorder="1" applyAlignment="1">
      <alignment horizontal="center"/>
    </xf>
    <xf numFmtId="166" fontId="8" fillId="0" borderId="14" xfId="0" applyNumberFormat="1" applyFont="1" applyBorder="1"/>
    <xf numFmtId="166" fontId="8" fillId="0" borderId="3" xfId="0" applyNumberFormat="1" applyFont="1" applyBorder="1"/>
    <xf numFmtId="166" fontId="8" fillId="0" borderId="15" xfId="0" applyNumberFormat="1" applyFont="1" applyBorder="1"/>
    <xf numFmtId="165" fontId="8" fillId="0" borderId="1" xfId="0" applyNumberFormat="1" applyFont="1" applyBorder="1"/>
    <xf numFmtId="0" fontId="7" fillId="7" borderId="27" xfId="0" applyFont="1" applyFill="1" applyBorder="1" applyAlignment="1">
      <alignment horizontal="center"/>
    </xf>
    <xf numFmtId="165" fontId="8" fillId="0" borderId="8" xfId="0" applyNumberFormat="1" applyFont="1" applyBorder="1"/>
    <xf numFmtId="165" fontId="8" fillId="0" borderId="9" xfId="0" applyNumberFormat="1" applyFont="1" applyBorder="1"/>
    <xf numFmtId="0" fontId="10" fillId="7" borderId="21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/>
    </xf>
    <xf numFmtId="0" fontId="8" fillId="0" borderId="5" xfId="0" applyFont="1" applyBorder="1"/>
    <xf numFmtId="0" fontId="9" fillId="4" borderId="26" xfId="0" applyFont="1" applyFill="1" applyBorder="1" applyAlignment="1">
      <alignment horizontal="center"/>
    </xf>
    <xf numFmtId="0" fontId="8" fillId="0" borderId="14" xfId="0" applyFont="1" applyBorder="1"/>
    <xf numFmtId="165" fontId="8" fillId="0" borderId="3" xfId="0" applyNumberFormat="1" applyFont="1" applyBorder="1"/>
    <xf numFmtId="165" fontId="8" fillId="0" borderId="15" xfId="0" applyNumberFormat="1" applyFont="1" applyBorder="1"/>
    <xf numFmtId="0" fontId="8" fillId="0" borderId="1" xfId="0" applyFont="1" applyBorder="1"/>
    <xf numFmtId="0" fontId="9" fillId="4" borderId="29" xfId="0" applyFont="1" applyFill="1" applyBorder="1" applyAlignment="1">
      <alignment horizontal="center"/>
    </xf>
    <xf numFmtId="0" fontId="8" fillId="0" borderId="8" xfId="0" applyFont="1" applyBorder="1"/>
    <xf numFmtId="165" fontId="8" fillId="0" borderId="26" xfId="0" applyNumberFormat="1" applyFont="1" applyBorder="1"/>
    <xf numFmtId="0" fontId="9" fillId="4" borderId="27" xfId="0" applyFont="1" applyFill="1" applyBorder="1" applyAlignment="1">
      <alignment horizontal="center"/>
    </xf>
    <xf numFmtId="0" fontId="7" fillId="7" borderId="84" xfId="0" applyFont="1" applyFill="1" applyBorder="1" applyAlignment="1">
      <alignment horizontal="center"/>
    </xf>
    <xf numFmtId="1" fontId="8" fillId="0" borderId="4" xfId="0" applyNumberFormat="1" applyFont="1" applyBorder="1"/>
    <xf numFmtId="165" fontId="8" fillId="0" borderId="5" xfId="0" applyNumberFormat="1" applyFont="1" applyBorder="1"/>
    <xf numFmtId="165" fontId="8" fillId="0" borderId="6" xfId="0" applyNumberFormat="1" applyFont="1" applyBorder="1"/>
    <xf numFmtId="167" fontId="8" fillId="0" borderId="2" xfId="0" applyNumberFormat="1" applyFont="1" applyBorder="1"/>
    <xf numFmtId="0" fontId="8" fillId="0" borderId="2" xfId="0" applyFont="1" applyBorder="1"/>
    <xf numFmtId="0" fontId="7" fillId="7" borderId="43" xfId="0" applyFont="1" applyFill="1" applyBorder="1" applyAlignment="1">
      <alignment horizontal="center"/>
    </xf>
    <xf numFmtId="0" fontId="7" fillId="7" borderId="50" xfId="0" applyFont="1" applyFill="1" applyBorder="1" applyAlignment="1">
      <alignment horizontal="center"/>
    </xf>
    <xf numFmtId="165" fontId="8" fillId="0" borderId="21" xfId="0" applyNumberFormat="1" applyFont="1" applyBorder="1"/>
    <xf numFmtId="165" fontId="8" fillId="0" borderId="30" xfId="0" applyNumberFormat="1" applyFont="1" applyBorder="1"/>
    <xf numFmtId="165" fontId="8" fillId="0" borderId="47" xfId="0" applyNumberFormat="1" applyFont="1" applyBorder="1"/>
    <xf numFmtId="0" fontId="9" fillId="4" borderId="2" xfId="0" applyFont="1" applyFill="1" applyBorder="1"/>
    <xf numFmtId="0" fontId="7" fillId="7" borderId="2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 wrapText="1"/>
    </xf>
    <xf numFmtId="0" fontId="7" fillId="7" borderId="47" xfId="0" applyFont="1" applyFill="1" applyBorder="1" applyAlignment="1">
      <alignment horizontal="center" vertical="center" wrapText="1"/>
    </xf>
    <xf numFmtId="0" fontId="7" fillId="7" borderId="39" xfId="0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8" fillId="0" borderId="27" xfId="0" applyFont="1" applyBorder="1"/>
    <xf numFmtId="0" fontId="8" fillId="0" borderId="51" xfId="0" applyFont="1" applyBorder="1"/>
    <xf numFmtId="0" fontId="8" fillId="0" borderId="11" xfId="0" applyFont="1" applyBorder="1"/>
    <xf numFmtId="0" fontId="8" fillId="0" borderId="57" xfId="0" applyFont="1" applyBorder="1"/>
    <xf numFmtId="0" fontId="7" fillId="7" borderId="47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/>
    </xf>
    <xf numFmtId="166" fontId="8" fillId="3" borderId="12" xfId="0" applyNumberFormat="1" applyFont="1" applyFill="1" applyBorder="1"/>
    <xf numFmtId="166" fontId="8" fillId="3" borderId="3" xfId="0" applyNumberFormat="1" applyFont="1" applyFill="1" applyBorder="1"/>
    <xf numFmtId="169" fontId="8" fillId="3" borderId="3" xfId="0" applyNumberFormat="1" applyFont="1" applyFill="1" applyBorder="1"/>
    <xf numFmtId="0" fontId="8" fillId="3" borderId="3" xfId="0" applyFont="1" applyFill="1" applyBorder="1"/>
    <xf numFmtId="165" fontId="8" fillId="3" borderId="15" xfId="0" applyNumberFormat="1" applyFont="1" applyFill="1" applyBorder="1"/>
    <xf numFmtId="166" fontId="8" fillId="3" borderId="13" xfId="0" applyNumberFormat="1" applyFont="1" applyFill="1" applyBorder="1"/>
    <xf numFmtId="166" fontId="8" fillId="3" borderId="1" xfId="0" applyNumberFormat="1" applyFont="1" applyFill="1" applyBorder="1"/>
    <xf numFmtId="169" fontId="8" fillId="3" borderId="1" xfId="0" applyNumberFormat="1" applyFont="1" applyFill="1" applyBorder="1"/>
    <xf numFmtId="0" fontId="8" fillId="3" borderId="1" xfId="0" applyFont="1" applyFill="1" applyBorder="1"/>
    <xf numFmtId="165" fontId="8" fillId="3" borderId="1" xfId="0" applyNumberFormat="1" applyFont="1" applyFill="1" applyBorder="1"/>
    <xf numFmtId="165" fontId="8" fillId="3" borderId="17" xfId="0" applyNumberFormat="1" applyFont="1" applyFill="1" applyBorder="1"/>
    <xf numFmtId="166" fontId="8" fillId="3" borderId="11" xfId="0" applyNumberFormat="1" applyFont="1" applyFill="1" applyBorder="1"/>
    <xf numFmtId="166" fontId="8" fillId="3" borderId="8" xfId="0" applyNumberFormat="1" applyFont="1" applyFill="1" applyBorder="1"/>
    <xf numFmtId="169" fontId="8" fillId="3" borderId="8" xfId="0" applyNumberFormat="1" applyFont="1" applyFill="1" applyBorder="1"/>
    <xf numFmtId="165" fontId="8" fillId="3" borderId="8" xfId="0" applyNumberFormat="1" applyFont="1" applyFill="1" applyBorder="1"/>
    <xf numFmtId="0" fontId="8" fillId="3" borderId="8" xfId="0" applyFont="1" applyFill="1" applyBorder="1"/>
    <xf numFmtId="165" fontId="8" fillId="3" borderId="9" xfId="0" applyNumberFormat="1" applyFont="1" applyFill="1" applyBorder="1"/>
    <xf numFmtId="166" fontId="8" fillId="3" borderId="4" xfId="0" applyNumberFormat="1" applyFont="1" applyFill="1" applyBorder="1"/>
    <xf numFmtId="166" fontId="8" fillId="3" borderId="6" xfId="0" applyNumberFormat="1" applyFont="1" applyFill="1" applyBorder="1"/>
    <xf numFmtId="166" fontId="8" fillId="3" borderId="16" xfId="0" applyNumberFormat="1" applyFont="1" applyFill="1" applyBorder="1"/>
    <xf numFmtId="166" fontId="8" fillId="3" borderId="17" xfId="0" applyNumberFormat="1" applyFont="1" applyFill="1" applyBorder="1"/>
    <xf numFmtId="166" fontId="8" fillId="3" borderId="7" xfId="0" applyNumberFormat="1" applyFont="1" applyFill="1" applyBorder="1"/>
    <xf numFmtId="166" fontId="8" fillId="3" borderId="9" xfId="0" applyNumberFormat="1" applyFont="1" applyFill="1" applyBorder="1"/>
    <xf numFmtId="0" fontId="7" fillId="7" borderId="6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49" fontId="7" fillId="7" borderId="23" xfId="0" applyNumberFormat="1" applyFont="1" applyFill="1" applyBorder="1" applyAlignment="1">
      <alignment horizontal="center"/>
    </xf>
    <xf numFmtId="0" fontId="9" fillId="4" borderId="85" xfId="0" applyFont="1" applyFill="1" applyBorder="1" applyAlignment="1">
      <alignment horizontal="center" vertical="center"/>
    </xf>
    <xf numFmtId="0" fontId="9" fillId="4" borderId="59" xfId="0" applyFont="1" applyFill="1" applyBorder="1" applyAlignment="1">
      <alignment horizontal="center"/>
    </xf>
    <xf numFmtId="166" fontId="8" fillId="3" borderId="5" xfId="0" applyNumberFormat="1" applyFont="1" applyFill="1" applyBorder="1"/>
    <xf numFmtId="0" fontId="8" fillId="3" borderId="5" xfId="0" applyFont="1" applyFill="1" applyBorder="1"/>
    <xf numFmtId="0" fontId="8" fillId="3" borderId="6" xfId="0" applyFont="1" applyFill="1" applyBorder="1"/>
    <xf numFmtId="168" fontId="8" fillId="0" borderId="56" xfId="0" applyNumberFormat="1" applyFont="1" applyBorder="1"/>
    <xf numFmtId="2" fontId="8" fillId="0" borderId="6" xfId="0" applyNumberFormat="1" applyFont="1" applyBorder="1"/>
    <xf numFmtId="0" fontId="9" fillId="4" borderId="60" xfId="0" applyFont="1" applyFill="1" applyBorder="1" applyAlignment="1">
      <alignment horizontal="center"/>
    </xf>
    <xf numFmtId="0" fontId="8" fillId="3" borderId="17" xfId="0" applyFont="1" applyFill="1" applyBorder="1"/>
    <xf numFmtId="168" fontId="8" fillId="0" borderId="51" xfId="0" applyNumberFormat="1" applyFont="1" applyBorder="1"/>
    <xf numFmtId="2" fontId="8" fillId="0" borderId="17" xfId="0" applyNumberFormat="1" applyFont="1" applyBorder="1"/>
    <xf numFmtId="0" fontId="9" fillId="4" borderId="70" xfId="0" applyFont="1" applyFill="1" applyBorder="1" applyAlignment="1">
      <alignment horizontal="center" vertical="center"/>
    </xf>
    <xf numFmtId="0" fontId="8" fillId="3" borderId="16" xfId="0" applyFont="1" applyFill="1" applyBorder="1"/>
    <xf numFmtId="0" fontId="9" fillId="4" borderId="61" xfId="0" applyFont="1" applyFill="1" applyBorder="1" applyAlignment="1">
      <alignment horizontal="center"/>
    </xf>
    <xf numFmtId="0" fontId="8" fillId="3" borderId="7" xfId="0" applyFont="1" applyFill="1" applyBorder="1"/>
    <xf numFmtId="168" fontId="8" fillId="0" borderId="57" xfId="0" applyNumberFormat="1" applyFont="1" applyBorder="1"/>
    <xf numFmtId="0" fontId="9" fillId="4" borderId="21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  <xf numFmtId="169" fontId="8" fillId="0" borderId="26" xfId="0" applyNumberFormat="1" applyFont="1" applyBorder="1"/>
    <xf numFmtId="169" fontId="8" fillId="0" borderId="29" xfId="0" applyNumberFormat="1" applyFont="1" applyBorder="1"/>
    <xf numFmtId="169" fontId="8" fillId="0" borderId="27" xfId="0" applyNumberFormat="1" applyFont="1" applyBorder="1"/>
    <xf numFmtId="168" fontId="8" fillId="0" borderId="53" xfId="0" applyNumberFormat="1" applyFont="1" applyBorder="1"/>
    <xf numFmtId="168" fontId="8" fillId="0" borderId="26" xfId="0" applyNumberFormat="1" applyFont="1" applyBorder="1"/>
    <xf numFmtId="168" fontId="8" fillId="0" borderId="54" xfId="0" applyNumberFormat="1" applyFont="1" applyBorder="1"/>
    <xf numFmtId="168" fontId="8" fillId="0" borderId="29" xfId="0" applyNumberFormat="1" applyFont="1" applyBorder="1"/>
    <xf numFmtId="168" fontId="8" fillId="0" borderId="55" xfId="0" applyNumberFormat="1" applyFont="1" applyBorder="1"/>
    <xf numFmtId="168" fontId="8" fillId="0" borderId="27" xfId="0" applyNumberFormat="1" applyFont="1" applyBorder="1"/>
    <xf numFmtId="164" fontId="8" fillId="0" borderId="4" xfId="0" applyNumberFormat="1" applyFont="1" applyBorder="1"/>
    <xf numFmtId="164" fontId="8" fillId="0" borderId="5" xfId="0" applyNumberFormat="1" applyFont="1" applyBorder="1"/>
    <xf numFmtId="164" fontId="8" fillId="0" borderId="16" xfId="0" applyNumberFormat="1" applyFont="1" applyBorder="1"/>
    <xf numFmtId="164" fontId="8" fillId="0" borderId="1" xfId="0" applyNumberFormat="1" applyFont="1" applyBorder="1"/>
    <xf numFmtId="168" fontId="8" fillId="0" borderId="46" xfId="0" applyNumberFormat="1" applyFont="1" applyBorder="1"/>
    <xf numFmtId="164" fontId="8" fillId="0" borderId="17" xfId="0" applyNumberFormat="1" applyFont="1" applyBorder="1"/>
    <xf numFmtId="164" fontId="8" fillId="0" borderId="8" xfId="0" applyNumberFormat="1" applyFont="1" applyBorder="1"/>
    <xf numFmtId="164" fontId="8" fillId="0" borderId="9" xfId="0" applyNumberFormat="1" applyFont="1" applyBorder="1"/>
    <xf numFmtId="49" fontId="7" fillId="7" borderId="62" xfId="0" applyNumberFormat="1" applyFont="1" applyFill="1" applyBorder="1" applyAlignment="1">
      <alignment horizontal="center"/>
    </xf>
    <xf numFmtId="0" fontId="8" fillId="0" borderId="56" xfId="0" applyFont="1" applyBorder="1"/>
    <xf numFmtId="169" fontId="8" fillId="0" borderId="4" xfId="0" applyNumberFormat="1" applyFont="1" applyBorder="1"/>
    <xf numFmtId="169" fontId="8" fillId="0" borderId="6" xfId="0" applyNumberFormat="1" applyFont="1" applyBorder="1"/>
    <xf numFmtId="165" fontId="8" fillId="3" borderId="51" xfId="0" applyNumberFormat="1" applyFont="1" applyFill="1" applyBorder="1"/>
    <xf numFmtId="169" fontId="8" fillId="0" borderId="16" xfId="0" applyNumberFormat="1" applyFont="1" applyBorder="1"/>
    <xf numFmtId="169" fontId="8" fillId="0" borderId="17" xfId="0" applyNumberFormat="1" applyFont="1" applyBorder="1"/>
    <xf numFmtId="0" fontId="9" fillId="4" borderId="71" xfId="0" applyFont="1" applyFill="1" applyBorder="1" applyAlignment="1">
      <alignment horizontal="center" vertical="center"/>
    </xf>
    <xf numFmtId="165" fontId="8" fillId="3" borderId="57" xfId="0" applyNumberFormat="1" applyFont="1" applyFill="1" applyBorder="1"/>
    <xf numFmtId="169" fontId="8" fillId="0" borderId="7" xfId="0" applyNumberFormat="1" applyFont="1" applyBorder="1"/>
    <xf numFmtId="169" fontId="8" fillId="0" borderId="9" xfId="0" applyNumberFormat="1" applyFont="1" applyBorder="1"/>
    <xf numFmtId="0" fontId="8" fillId="0" borderId="84" xfId="0" applyFont="1" applyBorder="1" applyAlignment="1">
      <alignment horizontal="center"/>
    </xf>
    <xf numFmtId="165" fontId="8" fillId="0" borderId="84" xfId="0" applyNumberFormat="1" applyFont="1" applyBorder="1" applyAlignment="1">
      <alignment horizontal="center"/>
    </xf>
    <xf numFmtId="0" fontId="9" fillId="4" borderId="70" xfId="0" applyFont="1" applyFill="1" applyBorder="1" applyAlignment="1">
      <alignment horizontal="center" vertical="center"/>
    </xf>
    <xf numFmtId="0" fontId="0" fillId="0" borderId="100" xfId="0" applyBorder="1"/>
    <xf numFmtId="0" fontId="0" fillId="0" borderId="69" xfId="0" applyBorder="1"/>
    <xf numFmtId="0" fontId="7" fillId="7" borderId="84" xfId="0" applyFont="1" applyFill="1" applyBorder="1" applyAlignment="1">
      <alignment horizontal="center" vertical="center"/>
    </xf>
    <xf numFmtId="0" fontId="0" fillId="0" borderId="80" xfId="0" applyBorder="1"/>
    <xf numFmtId="0" fontId="0" fillId="0" borderId="81" xfId="0" applyBorder="1"/>
    <xf numFmtId="0" fontId="7" fillId="7" borderId="52" xfId="0" applyFont="1" applyFill="1" applyBorder="1" applyAlignment="1">
      <alignment horizontal="center"/>
    </xf>
    <xf numFmtId="0" fontId="7" fillId="7" borderId="102" xfId="0" applyFont="1" applyFill="1" applyBorder="1" applyAlignment="1">
      <alignment horizontal="center"/>
    </xf>
    <xf numFmtId="0" fontId="7" fillId="7" borderId="94" xfId="0" applyFont="1" applyFill="1" applyBorder="1" applyAlignment="1">
      <alignment horizontal="center"/>
    </xf>
    <xf numFmtId="0" fontId="7" fillId="7" borderId="72" xfId="0" applyFont="1" applyFill="1" applyBorder="1" applyAlignment="1">
      <alignment horizontal="center" vertical="center"/>
    </xf>
    <xf numFmtId="0" fontId="0" fillId="0" borderId="102" xfId="0" applyBorder="1"/>
    <xf numFmtId="0" fontId="0" fillId="0" borderId="94" xfId="0" applyBorder="1"/>
    <xf numFmtId="0" fontId="7" fillId="7" borderId="84" xfId="0" applyFont="1" applyFill="1" applyBorder="1" applyAlignment="1">
      <alignment horizontal="center"/>
    </xf>
    <xf numFmtId="0" fontId="7" fillId="7" borderId="79" xfId="0" applyFont="1" applyFill="1" applyBorder="1" applyAlignment="1">
      <alignment horizontal="center" wrapText="1"/>
    </xf>
    <xf numFmtId="0" fontId="0" fillId="0" borderId="82" xfId="0" applyBorder="1"/>
    <xf numFmtId="0" fontId="9" fillId="4" borderId="85" xfId="0" applyFont="1" applyFill="1" applyBorder="1" applyAlignment="1">
      <alignment horizontal="center" vertical="center"/>
    </xf>
    <xf numFmtId="0" fontId="7" fillId="7" borderId="72" xfId="0" applyFont="1" applyFill="1" applyBorder="1" applyAlignment="1">
      <alignment horizontal="center"/>
    </xf>
    <xf numFmtId="0" fontId="7" fillId="7" borderId="93" xfId="0" applyFont="1" applyFill="1" applyBorder="1" applyAlignment="1">
      <alignment horizontal="center"/>
    </xf>
    <xf numFmtId="0" fontId="0" fillId="0" borderId="103" xfId="0" applyBorder="1"/>
    <xf numFmtId="169" fontId="8" fillId="0" borderId="77" xfId="0" applyNumberFormat="1" applyFont="1" applyBorder="1" applyAlignment="1">
      <alignment horizontal="center"/>
    </xf>
    <xf numFmtId="0" fontId="0" fillId="0" borderId="77" xfId="0" applyBorder="1"/>
    <xf numFmtId="0" fontId="7" fillId="7" borderId="87" xfId="0" applyFont="1" applyFill="1" applyBorder="1" applyAlignment="1">
      <alignment horizontal="center"/>
    </xf>
    <xf numFmtId="0" fontId="0" fillId="0" borderId="98" xfId="0" applyBorder="1"/>
    <xf numFmtId="0" fontId="0" fillId="0" borderId="88" xfId="0" applyBorder="1"/>
    <xf numFmtId="0" fontId="7" fillId="7" borderId="96" xfId="0" applyFont="1" applyFill="1" applyBorder="1" applyAlignment="1">
      <alignment horizontal="center"/>
    </xf>
    <xf numFmtId="169" fontId="8" fillId="0" borderId="86" xfId="0" applyNumberFormat="1" applyFont="1" applyBorder="1" applyAlignment="1">
      <alignment horizontal="center"/>
    </xf>
    <xf numFmtId="0" fontId="0" fillId="0" borderId="86" xfId="0" applyBorder="1"/>
    <xf numFmtId="169" fontId="8" fillId="0" borderId="88" xfId="0" applyNumberFormat="1" applyFont="1" applyBorder="1" applyAlignment="1">
      <alignment horizontal="center"/>
    </xf>
    <xf numFmtId="169" fontId="8" fillId="0" borderId="90" xfId="0" applyNumberFormat="1" applyFont="1" applyBorder="1" applyAlignment="1">
      <alignment horizontal="center"/>
    </xf>
    <xf numFmtId="169" fontId="8" fillId="0" borderId="78" xfId="0" applyNumberFormat="1" applyFont="1" applyBorder="1" applyAlignment="1">
      <alignment horizontal="center"/>
    </xf>
    <xf numFmtId="169" fontId="8" fillId="0" borderId="89" xfId="0" applyNumberFormat="1" applyFont="1" applyBorder="1" applyAlignment="1">
      <alignment horizontal="center"/>
    </xf>
    <xf numFmtId="0" fontId="7" fillId="7" borderId="91" xfId="0" applyFont="1" applyFill="1" applyBorder="1" applyAlignment="1">
      <alignment horizontal="center" vertical="center"/>
    </xf>
    <xf numFmtId="0" fontId="0" fillId="0" borderId="76" xfId="0" applyBorder="1"/>
    <xf numFmtId="170" fontId="8" fillId="0" borderId="91" xfId="0" applyNumberFormat="1" applyFont="1" applyBorder="1" applyAlignment="1">
      <alignment horizontal="right" vertical="top"/>
    </xf>
    <xf numFmtId="0" fontId="0" fillId="0" borderId="101" xfId="0" applyBorder="1"/>
    <xf numFmtId="0" fontId="7" fillId="7" borderId="87" xfId="0" applyFont="1" applyFill="1" applyBorder="1" applyAlignment="1">
      <alignment horizontal="center" vertical="center"/>
    </xf>
    <xf numFmtId="0" fontId="0" fillId="0" borderId="83" xfId="0" applyBorder="1"/>
    <xf numFmtId="170" fontId="8" fillId="0" borderId="76" xfId="0" applyNumberFormat="1" applyFont="1" applyBorder="1" applyAlignment="1">
      <alignment horizontal="right" vertical="top"/>
    </xf>
    <xf numFmtId="0" fontId="7" fillId="7" borderId="67" xfId="0" applyFont="1" applyFill="1" applyBorder="1" applyAlignment="1">
      <alignment horizontal="center"/>
    </xf>
    <xf numFmtId="0" fontId="0" fillId="0" borderId="73" xfId="0" applyBorder="1"/>
    <xf numFmtId="0" fontId="7" fillId="7" borderId="66" xfId="0" applyFont="1" applyFill="1" applyBorder="1" applyAlignment="1">
      <alignment horizontal="center"/>
    </xf>
    <xf numFmtId="0" fontId="0" fillId="0" borderId="66" xfId="0" applyBorder="1"/>
    <xf numFmtId="0" fontId="7" fillId="7" borderId="85" xfId="0" applyFont="1" applyFill="1" applyBorder="1" applyAlignment="1">
      <alignment horizontal="center" vertical="center"/>
    </xf>
    <xf numFmtId="0" fontId="7" fillId="7" borderId="73" xfId="0" applyFont="1" applyFill="1" applyBorder="1" applyAlignment="1">
      <alignment horizontal="center"/>
    </xf>
    <xf numFmtId="0" fontId="7" fillId="7" borderId="92" xfId="0" applyFont="1" applyFill="1" applyBorder="1" applyAlignment="1">
      <alignment horizontal="center" vertical="center"/>
    </xf>
    <xf numFmtId="0" fontId="0" fillId="0" borderId="97" xfId="0" applyBorder="1"/>
    <xf numFmtId="166" fontId="8" fillId="0" borderId="72" xfId="0" applyNumberFormat="1" applyFont="1" applyBorder="1" applyAlignment="1">
      <alignment horizontal="center" vertical="center"/>
    </xf>
    <xf numFmtId="0" fontId="0" fillId="0" borderId="95" xfId="0" applyBorder="1"/>
    <xf numFmtId="166" fontId="8" fillId="0" borderId="90" xfId="0" applyNumberFormat="1" applyFont="1" applyBorder="1" applyAlignment="1">
      <alignment horizontal="center" vertical="center"/>
    </xf>
    <xf numFmtId="0" fontId="0" fillId="0" borderId="75" xfId="0" applyBorder="1"/>
    <xf numFmtId="166" fontId="8" fillId="0" borderId="85" xfId="0" applyNumberFormat="1" applyFont="1" applyBorder="1" applyAlignment="1">
      <alignment horizontal="center" vertical="center"/>
    </xf>
    <xf numFmtId="169" fontId="8" fillId="0" borderId="74" xfId="0" applyNumberFormat="1" applyFont="1" applyBorder="1" applyAlignment="1">
      <alignment horizontal="center" vertical="center"/>
    </xf>
    <xf numFmtId="0" fontId="0" fillId="0" borderId="99" xfId="0" applyBorder="1"/>
    <xf numFmtId="166" fontId="8" fillId="0" borderId="68" xfId="0" applyNumberFormat="1" applyFont="1" applyBorder="1" applyAlignment="1">
      <alignment horizontal="center" vertical="center"/>
    </xf>
    <xf numFmtId="0" fontId="0" fillId="0" borderId="65" xfId="0" applyBorder="1"/>
    <xf numFmtId="166" fontId="8" fillId="0" borderId="91" xfId="0" applyNumberFormat="1" applyFont="1" applyBorder="1" applyAlignment="1">
      <alignment horizontal="center" vertical="center"/>
    </xf>
    <xf numFmtId="169" fontId="8" fillId="0" borderId="87" xfId="0" applyNumberFormat="1" applyFont="1" applyBorder="1" applyAlignment="1">
      <alignment horizontal="center" vertical="center"/>
    </xf>
    <xf numFmtId="169" fontId="8" fillId="0" borderId="67" xfId="0" applyNumberFormat="1" applyFont="1" applyBorder="1" applyAlignment="1">
      <alignment horizontal="center" vertical="center"/>
    </xf>
    <xf numFmtId="0" fontId="0" fillId="0" borderId="64" xfId="0" applyBorder="1"/>
    <xf numFmtId="166" fontId="8" fillId="0" borderId="74" xfId="0" applyNumberFormat="1" applyFont="1" applyBorder="1" applyAlignment="1">
      <alignment horizontal="center" vertical="center"/>
    </xf>
    <xf numFmtId="169" fontId="8" fillId="0" borderId="90" xfId="0" applyNumberFormat="1" applyFont="1" applyBorder="1" applyAlignment="1">
      <alignment horizontal="center" vertical="center"/>
    </xf>
    <xf numFmtId="0" fontId="9" fillId="4" borderId="7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63502</xdr:colOff>
      <xdr:row>5</xdr:row>
      <xdr:rowOff>112890</xdr:rowOff>
    </xdr:from>
    <xdr:to>
      <xdr:col>17</xdr:col>
      <xdr:colOff>522113</xdr:colOff>
      <xdr:row>19</xdr:row>
      <xdr:rowOff>62624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43</xdr:row>
      <xdr:rowOff>0</xdr:rowOff>
    </xdr:from>
    <xdr:to>
      <xdr:col>22</xdr:col>
      <xdr:colOff>469900</xdr:colOff>
      <xdr:row>66</xdr:row>
      <xdr:rowOff>102870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8919AF-C35E-A84B-B874-6E8B2A57C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10020300"/>
          <a:ext cx="7772400" cy="524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akiet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8"/>
  <sheetViews>
    <sheetView workbookViewId="0"/>
  </sheetViews>
  <sheetFormatPr baseColWidth="10" defaultColWidth="8.83203125" defaultRowHeight="15" x14ac:dyDescent="0.2"/>
  <cols>
    <col min="4" max="4" width="11.5" customWidth="1"/>
    <col min="6" max="6" width="10.83203125" customWidth="1"/>
  </cols>
  <sheetData>
    <row r="2" spans="2:18" x14ac:dyDescent="0.2">
      <c r="B2" s="2" t="s">
        <v>56</v>
      </c>
    </row>
    <row r="4" spans="2:18" x14ac:dyDescent="0.2">
      <c r="B4" s="2" t="s">
        <v>57</v>
      </c>
      <c r="I4" s="2" t="s">
        <v>1</v>
      </c>
    </row>
    <row r="5" spans="2:18" ht="20" customHeight="1" x14ac:dyDescent="0.2"/>
    <row r="6" spans="2:18" ht="20" customHeight="1" x14ac:dyDescent="0.2">
      <c r="B6" s="255" t="s">
        <v>34</v>
      </c>
      <c r="C6" s="251" t="s">
        <v>58</v>
      </c>
      <c r="D6" s="258" t="s">
        <v>59</v>
      </c>
      <c r="E6" s="259"/>
      <c r="F6" s="263" t="s">
        <v>60</v>
      </c>
      <c r="G6" s="259"/>
      <c r="I6" s="262" t="s">
        <v>61</v>
      </c>
      <c r="J6" s="21" t="s">
        <v>62</v>
      </c>
      <c r="K6" s="22" t="s">
        <v>63</v>
      </c>
      <c r="M6" s="23"/>
      <c r="N6" s="24"/>
      <c r="O6" s="24"/>
      <c r="P6" s="24"/>
      <c r="Q6" s="24"/>
      <c r="R6" s="25"/>
    </row>
    <row r="7" spans="2:18" ht="20" customHeight="1" x14ac:dyDescent="0.2">
      <c r="B7" s="256"/>
      <c r="C7" s="252"/>
      <c r="D7" s="26" t="s">
        <v>64</v>
      </c>
      <c r="E7" s="27" t="s">
        <v>65</v>
      </c>
      <c r="F7" s="28" t="s">
        <v>66</v>
      </c>
      <c r="G7" s="27" t="s">
        <v>67</v>
      </c>
      <c r="I7" s="222"/>
      <c r="J7" s="260" t="s">
        <v>68</v>
      </c>
      <c r="K7" s="261"/>
      <c r="M7" s="29"/>
      <c r="N7" s="30"/>
      <c r="O7" s="30"/>
      <c r="P7" s="30"/>
      <c r="Q7" s="30"/>
      <c r="R7" s="31"/>
    </row>
    <row r="8" spans="2:18" x14ac:dyDescent="0.2">
      <c r="B8" s="32" t="s">
        <v>69</v>
      </c>
      <c r="C8" s="33" t="s">
        <v>18</v>
      </c>
      <c r="D8" s="34">
        <v>108.01134</v>
      </c>
      <c r="E8" s="253">
        <v>2</v>
      </c>
      <c r="F8" s="34">
        <v>108.01716</v>
      </c>
      <c r="G8" s="253">
        <v>1.5</v>
      </c>
      <c r="I8" s="35" t="s">
        <v>18</v>
      </c>
      <c r="J8" s="36">
        <v>231.25</v>
      </c>
      <c r="K8" s="37">
        <v>199.36</v>
      </c>
      <c r="M8" s="29"/>
      <c r="N8" s="30"/>
      <c r="O8" s="30"/>
      <c r="P8" s="30"/>
      <c r="Q8" s="30"/>
      <c r="R8" s="31"/>
    </row>
    <row r="9" spans="2:18" x14ac:dyDescent="0.2">
      <c r="B9" s="38" t="s">
        <v>69</v>
      </c>
      <c r="C9" s="39" t="s">
        <v>19</v>
      </c>
      <c r="D9" s="40">
        <v>119.79730000000001</v>
      </c>
      <c r="E9" s="254"/>
      <c r="F9" s="40">
        <v>119.8021</v>
      </c>
      <c r="G9" s="254"/>
      <c r="I9" s="41" t="s">
        <v>19</v>
      </c>
      <c r="J9" s="42">
        <v>230.99</v>
      </c>
      <c r="K9" s="43">
        <v>220.77</v>
      </c>
      <c r="M9" s="29"/>
      <c r="N9" s="30"/>
      <c r="O9" s="30"/>
      <c r="P9" s="30"/>
      <c r="Q9" s="30"/>
      <c r="R9" s="31"/>
    </row>
    <row r="10" spans="2:18" ht="20" customHeight="1" x14ac:dyDescent="0.2">
      <c r="B10" s="44" t="s">
        <v>69</v>
      </c>
      <c r="C10" s="45" t="s">
        <v>20</v>
      </c>
      <c r="D10" s="46">
        <v>130.18516</v>
      </c>
      <c r="E10" s="252"/>
      <c r="F10" s="46">
        <v>130.17578</v>
      </c>
      <c r="G10" s="252"/>
      <c r="I10" s="41" t="s">
        <v>20</v>
      </c>
      <c r="J10" s="42">
        <v>231.13</v>
      </c>
      <c r="K10" s="43">
        <v>253.22</v>
      </c>
      <c r="M10" s="29"/>
      <c r="N10" s="30"/>
      <c r="O10" s="30"/>
      <c r="P10" s="30"/>
      <c r="Q10" s="30"/>
      <c r="R10" s="31"/>
    </row>
    <row r="11" spans="2:18" x14ac:dyDescent="0.2">
      <c r="B11" s="47" t="s">
        <v>70</v>
      </c>
      <c r="C11" s="48" t="s">
        <v>71</v>
      </c>
      <c r="D11" s="49">
        <v>351.41482000000002</v>
      </c>
      <c r="E11" s="257">
        <v>2.5</v>
      </c>
      <c r="F11" s="49">
        <v>168.45464000000001</v>
      </c>
      <c r="G11" s="257">
        <v>2</v>
      </c>
      <c r="I11" s="41" t="s">
        <v>69</v>
      </c>
      <c r="J11" s="42">
        <v>184.51</v>
      </c>
      <c r="K11" s="43">
        <v>152.15</v>
      </c>
      <c r="M11" s="29"/>
      <c r="N11" s="30"/>
      <c r="O11" s="30"/>
      <c r="P11" s="30"/>
      <c r="Q11" s="30"/>
      <c r="R11" s="31"/>
    </row>
    <row r="12" spans="2:18" x14ac:dyDescent="0.2">
      <c r="B12" s="38" t="s">
        <v>70</v>
      </c>
      <c r="C12" s="39" t="s">
        <v>72</v>
      </c>
      <c r="D12" s="40">
        <v>327.89605999999998</v>
      </c>
      <c r="E12" s="254"/>
      <c r="F12" s="40">
        <v>144.93566000000001</v>
      </c>
      <c r="G12" s="254"/>
      <c r="I12" s="41" t="s">
        <v>70</v>
      </c>
      <c r="J12" s="42">
        <v>161.07</v>
      </c>
      <c r="K12" s="43">
        <v>208.17</v>
      </c>
      <c r="M12" s="29"/>
      <c r="N12" s="30"/>
      <c r="O12" s="30"/>
      <c r="P12" s="30"/>
      <c r="Q12" s="30"/>
      <c r="R12" s="31"/>
    </row>
    <row r="13" spans="2:18" x14ac:dyDescent="0.2">
      <c r="B13" s="38" t="s">
        <v>70</v>
      </c>
      <c r="C13" s="39" t="s">
        <v>73</v>
      </c>
      <c r="D13" s="40">
        <v>287.98023999999998</v>
      </c>
      <c r="E13" s="254"/>
      <c r="F13" s="40">
        <v>105.02732</v>
      </c>
      <c r="G13" s="254"/>
      <c r="I13" s="41" t="s">
        <v>71</v>
      </c>
      <c r="J13" s="42">
        <v>71.349999999999994</v>
      </c>
      <c r="K13" s="43">
        <v>106.09</v>
      </c>
      <c r="M13" s="29"/>
      <c r="N13" s="30"/>
      <c r="O13" s="30"/>
      <c r="P13" s="30"/>
      <c r="Q13" s="30"/>
      <c r="R13" s="31"/>
    </row>
    <row r="14" spans="2:18" x14ac:dyDescent="0.2">
      <c r="B14" s="38" t="s">
        <v>70</v>
      </c>
      <c r="C14" s="39" t="s">
        <v>74</v>
      </c>
      <c r="D14" s="40">
        <v>243.66184000000001</v>
      </c>
      <c r="E14" s="254"/>
      <c r="F14" s="40">
        <v>60.707439999999998</v>
      </c>
      <c r="G14" s="254"/>
      <c r="I14" s="41" t="s">
        <v>72</v>
      </c>
      <c r="J14" s="42">
        <v>46.046999999999997</v>
      </c>
      <c r="K14" s="43">
        <v>148.238</v>
      </c>
      <c r="M14" s="29"/>
      <c r="N14" s="30"/>
      <c r="O14" s="30"/>
      <c r="P14" s="30"/>
      <c r="Q14" s="30"/>
      <c r="R14" s="31"/>
    </row>
    <row r="15" spans="2:18" x14ac:dyDescent="0.2">
      <c r="B15" s="38" t="s">
        <v>70</v>
      </c>
      <c r="C15" s="39" t="s">
        <v>75</v>
      </c>
      <c r="D15" s="40">
        <v>215.42282</v>
      </c>
      <c r="E15" s="254"/>
      <c r="F15" s="40">
        <v>32.470619999999997</v>
      </c>
      <c r="G15" s="254"/>
      <c r="I15" s="41" t="s">
        <v>73</v>
      </c>
      <c r="J15" s="42">
        <v>0.40799999999999997</v>
      </c>
      <c r="K15" s="43">
        <v>231.90600000000001</v>
      </c>
      <c r="M15" s="29"/>
      <c r="N15" s="30"/>
      <c r="O15" s="30"/>
      <c r="P15" s="30"/>
      <c r="Q15" s="30"/>
      <c r="R15" s="31"/>
    </row>
    <row r="16" spans="2:18" x14ac:dyDescent="0.2">
      <c r="B16" s="38" t="s">
        <v>70</v>
      </c>
      <c r="C16" s="39" t="s">
        <v>76</v>
      </c>
      <c r="D16" s="40">
        <v>169.74809999999999</v>
      </c>
      <c r="E16" s="254"/>
      <c r="F16" s="40">
        <v>386.79757999999998</v>
      </c>
      <c r="G16" s="254"/>
      <c r="I16" s="41" t="s">
        <v>74</v>
      </c>
      <c r="J16" s="42">
        <v>57.469000000000001</v>
      </c>
      <c r="K16" s="43">
        <v>324.40899999999999</v>
      </c>
      <c r="M16" s="29"/>
      <c r="N16" s="30"/>
      <c r="O16" s="30"/>
      <c r="P16" s="30"/>
      <c r="Q16" s="30"/>
      <c r="R16" s="31"/>
    </row>
    <row r="17" spans="2:18" x14ac:dyDescent="0.2">
      <c r="B17" s="38" t="s">
        <v>70</v>
      </c>
      <c r="C17" s="39" t="s">
        <v>18</v>
      </c>
      <c r="D17" s="40">
        <v>89.366039999999998</v>
      </c>
      <c r="E17" s="254"/>
      <c r="F17" s="40">
        <v>306.42450000000002</v>
      </c>
      <c r="G17" s="254"/>
      <c r="I17" s="41" t="s">
        <v>75</v>
      </c>
      <c r="J17" s="42">
        <v>116.992</v>
      </c>
      <c r="K17" s="43">
        <v>358.95800000000003</v>
      </c>
      <c r="M17" s="29"/>
      <c r="N17" s="30"/>
      <c r="O17" s="30"/>
      <c r="P17" s="30"/>
      <c r="Q17" s="30"/>
      <c r="R17" s="31"/>
    </row>
    <row r="18" spans="2:18" x14ac:dyDescent="0.2">
      <c r="B18" s="38" t="s">
        <v>70</v>
      </c>
      <c r="C18" s="39" t="s">
        <v>19</v>
      </c>
      <c r="D18" s="40">
        <v>108.67044</v>
      </c>
      <c r="E18" s="254"/>
      <c r="F18" s="40">
        <v>325.73602</v>
      </c>
      <c r="G18" s="254"/>
      <c r="I18" s="41" t="s">
        <v>76</v>
      </c>
      <c r="J18" s="42">
        <v>240.304</v>
      </c>
      <c r="K18" s="43">
        <v>379.55099999999999</v>
      </c>
      <c r="M18" s="29"/>
      <c r="N18" s="30"/>
      <c r="O18" s="30"/>
      <c r="P18" s="30"/>
      <c r="Q18" s="30"/>
      <c r="R18" s="31"/>
    </row>
    <row r="19" spans="2:18" ht="20" customHeight="1" x14ac:dyDescent="0.2">
      <c r="B19" s="50" t="s">
        <v>70</v>
      </c>
      <c r="C19" s="51" t="s">
        <v>20</v>
      </c>
      <c r="D19" s="52">
        <v>133.69990000000001</v>
      </c>
      <c r="E19" s="252"/>
      <c r="F19" s="52">
        <v>350.75402000000003</v>
      </c>
      <c r="G19" s="252"/>
      <c r="I19" s="53" t="s">
        <v>77</v>
      </c>
      <c r="J19" s="54">
        <v>170.41</v>
      </c>
      <c r="K19" s="55">
        <v>276.09699999999998</v>
      </c>
      <c r="M19" s="29"/>
      <c r="N19" s="30"/>
      <c r="O19" s="30"/>
      <c r="P19" s="30"/>
      <c r="Q19" s="30"/>
      <c r="R19" s="31"/>
    </row>
    <row r="20" spans="2:18" ht="20" customHeight="1" x14ac:dyDescent="0.2">
      <c r="B20" s="32" t="s">
        <v>77</v>
      </c>
      <c r="C20" s="33" t="s">
        <v>18</v>
      </c>
      <c r="D20" s="34">
        <v>131.67681999999999</v>
      </c>
      <c r="E20" s="253">
        <v>2</v>
      </c>
      <c r="F20" s="34">
        <v>131.67898</v>
      </c>
      <c r="G20" s="253">
        <v>2</v>
      </c>
      <c r="M20" s="56"/>
      <c r="N20" s="57"/>
      <c r="O20" s="57"/>
      <c r="P20" s="57"/>
      <c r="Q20" s="57"/>
      <c r="R20" s="58"/>
    </row>
    <row r="21" spans="2:18" x14ac:dyDescent="0.2">
      <c r="B21" s="38" t="s">
        <v>77</v>
      </c>
      <c r="C21" s="39" t="s">
        <v>19</v>
      </c>
      <c r="D21" s="40">
        <v>141.88193999999999</v>
      </c>
      <c r="E21" s="254"/>
      <c r="F21" s="40">
        <v>141.88785999999999</v>
      </c>
      <c r="G21" s="254"/>
    </row>
    <row r="22" spans="2:18" ht="20" customHeight="1" x14ac:dyDescent="0.2">
      <c r="B22" s="44" t="s">
        <v>77</v>
      </c>
      <c r="C22" s="45" t="s">
        <v>20</v>
      </c>
      <c r="D22" s="46">
        <v>166.06157999999999</v>
      </c>
      <c r="E22" s="252"/>
      <c r="F22" s="46">
        <v>166.07740000000001</v>
      </c>
      <c r="G22" s="252"/>
    </row>
    <row r="24" spans="2:18" x14ac:dyDescent="0.2">
      <c r="B24" s="1" t="s">
        <v>78</v>
      </c>
    </row>
    <row r="25" spans="2:18" ht="20" customHeight="1" x14ac:dyDescent="0.2"/>
    <row r="26" spans="2:18" ht="20" customHeight="1" x14ac:dyDescent="0.2">
      <c r="B26" s="59" t="s">
        <v>79</v>
      </c>
      <c r="C26" s="60" t="s">
        <v>80</v>
      </c>
      <c r="D26" s="61" t="s">
        <v>54</v>
      </c>
      <c r="E26" s="22" t="s">
        <v>55</v>
      </c>
    </row>
    <row r="27" spans="2:18" x14ac:dyDescent="0.2">
      <c r="B27" s="35">
        <v>1</v>
      </c>
      <c r="C27" s="62">
        <v>8.75</v>
      </c>
      <c r="D27" s="63">
        <v>-5.52</v>
      </c>
      <c r="E27" s="64">
        <v>3.45</v>
      </c>
    </row>
    <row r="28" spans="2:18" ht="20" customHeight="1" x14ac:dyDescent="0.2">
      <c r="B28" s="53">
        <v>3</v>
      </c>
      <c r="C28" s="65">
        <v>-12.89</v>
      </c>
      <c r="D28" s="66">
        <v>-4.91</v>
      </c>
      <c r="E28" s="67">
        <v>-3.37</v>
      </c>
    </row>
  </sheetData>
  <mergeCells count="12">
    <mergeCell ref="J7:K7"/>
    <mergeCell ref="G20:G22"/>
    <mergeCell ref="E20:E22"/>
    <mergeCell ref="I6:I7"/>
    <mergeCell ref="F6:G6"/>
    <mergeCell ref="C6:C7"/>
    <mergeCell ref="G8:G10"/>
    <mergeCell ref="B6:B7"/>
    <mergeCell ref="G11:G19"/>
    <mergeCell ref="E11:E19"/>
    <mergeCell ref="D6:E6"/>
    <mergeCell ref="E8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workbookViewId="0">
      <selection activeCell="M44" sqref="M44"/>
    </sheetView>
  </sheetViews>
  <sheetFormatPr baseColWidth="10" defaultColWidth="8.83203125" defaultRowHeight="15" x14ac:dyDescent="0.2"/>
  <cols>
    <col min="2" max="17" width="10.33203125" customWidth="1"/>
  </cols>
  <sheetData>
    <row r="1" spans="2:8" ht="20" customHeight="1" x14ac:dyDescent="0.2"/>
    <row r="2" spans="2:8" ht="20" customHeight="1" x14ac:dyDescent="0.2">
      <c r="C2" s="68" t="s">
        <v>81</v>
      </c>
      <c r="D2" s="69" t="s">
        <v>82</v>
      </c>
      <c r="F2" s="70" t="s">
        <v>39</v>
      </c>
      <c r="H2" s="59" t="s">
        <v>83</v>
      </c>
    </row>
    <row r="3" spans="2:8" ht="20" customHeight="1" x14ac:dyDescent="0.2">
      <c r="B3" s="71" t="s">
        <v>71</v>
      </c>
      <c r="C3" s="72">
        <f>Dane!D11-Dane!$D$11</f>
        <v>0</v>
      </c>
      <c r="D3" s="73">
        <f>Dane!F11-Dane!$F$11</f>
        <v>0</v>
      </c>
      <c r="F3" s="74">
        <f t="shared" ref="F3:F11" si="0">D3-C3</f>
        <v>0</v>
      </c>
      <c r="H3" s="75">
        <f>SQRT((Dane!E11/10000)^2+(Dane!G11/10000)^2)</f>
        <v>3.2015621187164245E-4</v>
      </c>
    </row>
    <row r="4" spans="2:8" x14ac:dyDescent="0.2">
      <c r="B4" s="76" t="s">
        <v>72</v>
      </c>
      <c r="C4" s="40">
        <f>Dane!D12-Dane!$D$11+400</f>
        <v>376.48123999999996</v>
      </c>
      <c r="D4" s="77">
        <f>Dane!F12-Dane!$F$11+400</f>
        <v>376.48102</v>
      </c>
      <c r="F4" s="78">
        <f t="shared" si="0"/>
        <v>-2.1999999995614417E-4</v>
      </c>
    </row>
    <row r="5" spans="2:8" x14ac:dyDescent="0.2">
      <c r="B5" s="76" t="s">
        <v>73</v>
      </c>
      <c r="C5" s="40">
        <f>Dane!D13-Dane!$D$11+400</f>
        <v>336.56541999999996</v>
      </c>
      <c r="D5" s="77">
        <f>Dane!F13-Dane!$F$11+400</f>
        <v>336.57267999999999</v>
      </c>
      <c r="F5" s="78">
        <f t="shared" si="0"/>
        <v>7.2600000000306864E-3</v>
      </c>
    </row>
    <row r="6" spans="2:8" x14ac:dyDescent="0.2">
      <c r="B6" s="76" t="s">
        <v>74</v>
      </c>
      <c r="C6" s="40">
        <f>Dane!D14-Dane!$D$11+400</f>
        <v>292.24702000000002</v>
      </c>
      <c r="D6" s="77">
        <f>Dane!F14-Dane!$F$11+400</f>
        <v>292.25279999999998</v>
      </c>
      <c r="F6" s="78">
        <f t="shared" si="0"/>
        <v>5.7799999999588181E-3</v>
      </c>
    </row>
    <row r="7" spans="2:8" x14ac:dyDescent="0.2">
      <c r="B7" s="76" t="s">
        <v>75</v>
      </c>
      <c r="C7" s="40">
        <f>Dane!D15-Dane!$D$11+400</f>
        <v>264.00799999999998</v>
      </c>
      <c r="D7" s="77">
        <f>Dane!F15-Dane!$F$11+400</f>
        <v>264.01598000000001</v>
      </c>
      <c r="F7" s="78">
        <f t="shared" si="0"/>
        <v>7.9800000000318505E-3</v>
      </c>
    </row>
    <row r="8" spans="2:8" ht="20" customHeight="1" x14ac:dyDescent="0.2">
      <c r="B8" s="76" t="s">
        <v>76</v>
      </c>
      <c r="C8" s="40">
        <f>Dane!D16-Dane!$D$11+400</f>
        <v>218.33327999999997</v>
      </c>
      <c r="D8" s="77">
        <f>Dane!F16-Dane!$F$11</f>
        <v>218.34293999999997</v>
      </c>
      <c r="F8" s="79">
        <f t="shared" si="0"/>
        <v>9.6599999999966712E-3</v>
      </c>
    </row>
    <row r="9" spans="2:8" x14ac:dyDescent="0.2">
      <c r="B9" s="76" t="s">
        <v>18</v>
      </c>
      <c r="C9" s="80">
        <f>Dane!D17-Dane!$D$11+400</f>
        <v>137.95121999999998</v>
      </c>
      <c r="D9" s="81">
        <f>Dane!F17-Dane!$F$11</f>
        <v>137.96986000000001</v>
      </c>
      <c r="F9" s="74">
        <f t="shared" si="0"/>
        <v>1.8640000000033297E-2</v>
      </c>
    </row>
    <row r="10" spans="2:8" x14ac:dyDescent="0.2">
      <c r="B10" s="76" t="s">
        <v>19</v>
      </c>
      <c r="C10" s="80">
        <f>Dane!D18-Dane!$D$11+400</f>
        <v>157.25561999999996</v>
      </c>
      <c r="D10" s="81">
        <f>Dane!F18-Dane!$F$11</f>
        <v>157.28137999999998</v>
      </c>
      <c r="F10" s="82">
        <f t="shared" si="0"/>
        <v>2.5760000000019545E-2</v>
      </c>
    </row>
    <row r="11" spans="2:8" ht="20" customHeight="1" x14ac:dyDescent="0.2">
      <c r="B11" s="83" t="s">
        <v>20</v>
      </c>
      <c r="C11" s="84">
        <f>Dane!D19-Dane!$D$11+400</f>
        <v>182.28507999999999</v>
      </c>
      <c r="D11" s="85">
        <f>Dane!F19-Dane!$F$11</f>
        <v>182.29938000000001</v>
      </c>
      <c r="F11" s="86">
        <f t="shared" si="0"/>
        <v>1.4300000000019963E-2</v>
      </c>
    </row>
    <row r="12" spans="2:8" ht="20" customHeight="1" x14ac:dyDescent="0.2"/>
    <row r="13" spans="2:8" ht="20" customHeight="1" x14ac:dyDescent="0.2">
      <c r="B13" s="87"/>
      <c r="C13" s="88" t="s">
        <v>84</v>
      </c>
      <c r="D13" s="89" t="s">
        <v>85</v>
      </c>
      <c r="E13" s="89" t="s">
        <v>86</v>
      </c>
      <c r="F13" s="89" t="s">
        <v>87</v>
      </c>
      <c r="G13" s="89" t="s">
        <v>88</v>
      </c>
      <c r="H13" s="90" t="s">
        <v>89</v>
      </c>
    </row>
    <row r="14" spans="2:8" x14ac:dyDescent="0.2">
      <c r="B14" s="91" t="s">
        <v>90</v>
      </c>
      <c r="C14" s="72">
        <f>Dane!J13-Dane!$J$12</f>
        <v>-89.72</v>
      </c>
      <c r="D14" s="92">
        <f>Dane!J14-Dane!$J$12</f>
        <v>-115.023</v>
      </c>
      <c r="E14" s="92">
        <f>Dane!J15-Dane!$J$12</f>
        <v>-160.66200000000001</v>
      </c>
      <c r="F14" s="92">
        <f>Dane!J16-Dane!$J$12</f>
        <v>-103.601</v>
      </c>
      <c r="G14" s="92">
        <f>Dane!J17-Dane!$J$12</f>
        <v>-44.077999999999989</v>
      </c>
      <c r="H14" s="93">
        <f>Dane!J18-Dane!$J$12</f>
        <v>79.234000000000009</v>
      </c>
    </row>
    <row r="15" spans="2:8" x14ac:dyDescent="0.2">
      <c r="B15" s="91" t="s">
        <v>91</v>
      </c>
      <c r="C15" s="80">
        <f>Dane!$K13-Dane!$K$12</f>
        <v>-102.07999999999998</v>
      </c>
      <c r="D15" s="94">
        <f>Dane!$K14-Dane!$K$12</f>
        <v>-59.931999999999988</v>
      </c>
      <c r="E15" s="94">
        <f>Dane!$K15-Dane!$K$12</f>
        <v>23.736000000000018</v>
      </c>
      <c r="F15" s="94">
        <f>Dane!$K16-Dane!$K$12</f>
        <v>116.239</v>
      </c>
      <c r="G15" s="94">
        <f>Dane!$K17-Dane!$K$12</f>
        <v>150.78800000000004</v>
      </c>
      <c r="H15" s="95">
        <f>Dane!$K18-Dane!$K$12</f>
        <v>171.381</v>
      </c>
    </row>
    <row r="16" spans="2:8" x14ac:dyDescent="0.2">
      <c r="B16" s="96" t="s">
        <v>92</v>
      </c>
      <c r="C16" s="97">
        <f t="shared" ref="C16:H16" si="1">SQRT(C15^2+C14^2)</f>
        <v>135.90439580822982</v>
      </c>
      <c r="D16" s="98">
        <f t="shared" si="1"/>
        <v>129.70017406696107</v>
      </c>
      <c r="E16" s="98">
        <f t="shared" si="1"/>
        <v>162.40589872292202</v>
      </c>
      <c r="F16" s="98">
        <f t="shared" si="1"/>
        <v>155.70700794119705</v>
      </c>
      <c r="G16" s="98">
        <f t="shared" si="1"/>
        <v>157.09834826630103</v>
      </c>
      <c r="H16" s="99">
        <f t="shared" si="1"/>
        <v>188.81068274067547</v>
      </c>
    </row>
    <row r="17" spans="1:11" x14ac:dyDescent="0.2">
      <c r="B17" s="91" t="s">
        <v>93</v>
      </c>
      <c r="C17" s="40">
        <f t="shared" ref="C17:H17" si="2">C15/C16^2*200/PI()</f>
        <v>-0.35184693814092954</v>
      </c>
      <c r="D17" s="100">
        <f t="shared" si="2"/>
        <v>-0.22680769028733933</v>
      </c>
      <c r="E17" s="100">
        <f t="shared" si="2"/>
        <v>5.7290690677620298E-2</v>
      </c>
      <c r="F17" s="100">
        <f t="shared" si="2"/>
        <v>0.3052218843687422</v>
      </c>
      <c r="G17" s="100">
        <f t="shared" si="2"/>
        <v>0.3889588577472014</v>
      </c>
      <c r="H17" s="77">
        <f t="shared" si="2"/>
        <v>0.30604808772816211</v>
      </c>
    </row>
    <row r="18" spans="1:11" x14ac:dyDescent="0.2">
      <c r="B18" s="91" t="s">
        <v>94</v>
      </c>
      <c r="C18" s="40">
        <f t="shared" ref="C18:H18" si="3">-C14/C16^2*200/PI()</f>
        <v>0.30924478144596595</v>
      </c>
      <c r="D18" s="100">
        <f t="shared" si="3"/>
        <v>0.4352950170179643</v>
      </c>
      <c r="E18" s="100">
        <f t="shared" si="3"/>
        <v>0.38778382817862428</v>
      </c>
      <c r="F18" s="100">
        <f t="shared" si="3"/>
        <v>0.2720368589069595</v>
      </c>
      <c r="G18" s="100">
        <f t="shared" si="3"/>
        <v>0.11369955521514401</v>
      </c>
      <c r="H18" s="77">
        <f t="shared" si="3"/>
        <v>-0.14149418070295539</v>
      </c>
    </row>
    <row r="19" spans="1:11" x14ac:dyDescent="0.2">
      <c r="B19" s="91" t="s">
        <v>95</v>
      </c>
      <c r="C19" s="40">
        <f t="shared" ref="C19:H19" si="4">-C15/C16^2*200/PI()</f>
        <v>0.35184693814092954</v>
      </c>
      <c r="D19" s="100">
        <f t="shared" si="4"/>
        <v>0.22680769028733933</v>
      </c>
      <c r="E19" s="100">
        <f t="shared" si="4"/>
        <v>-5.7290690677620298E-2</v>
      </c>
      <c r="F19" s="100">
        <f t="shared" si="4"/>
        <v>-0.3052218843687422</v>
      </c>
      <c r="G19" s="100">
        <f t="shared" si="4"/>
        <v>-0.3889588577472014</v>
      </c>
      <c r="H19" s="77">
        <f t="shared" si="4"/>
        <v>-0.30604808772816211</v>
      </c>
    </row>
    <row r="20" spans="1:11" ht="20" customHeight="1" x14ac:dyDescent="0.2">
      <c r="B20" s="101" t="s">
        <v>96</v>
      </c>
      <c r="C20" s="46">
        <f t="shared" ref="C20:H20" si="5">C14/C16^2*200/PI()</f>
        <v>-0.30924478144596595</v>
      </c>
      <c r="D20" s="102">
        <f t="shared" si="5"/>
        <v>-0.4352950170179643</v>
      </c>
      <c r="E20" s="102">
        <f t="shared" si="5"/>
        <v>-0.38778382817862428</v>
      </c>
      <c r="F20" s="102">
        <f t="shared" si="5"/>
        <v>-0.2720368589069595</v>
      </c>
      <c r="G20" s="102">
        <f t="shared" si="5"/>
        <v>-0.11369955521514401</v>
      </c>
      <c r="H20" s="103">
        <f t="shared" si="5"/>
        <v>0.14149418070295539</v>
      </c>
    </row>
    <row r="21" spans="1:11" ht="20" customHeight="1" x14ac:dyDescent="0.2"/>
    <row r="22" spans="1:11" ht="20" customHeight="1" x14ac:dyDescent="0.2">
      <c r="A22" s="3"/>
      <c r="B22" s="264" t="s">
        <v>38</v>
      </c>
      <c r="C22" s="224"/>
      <c r="D22" s="265"/>
      <c r="F22" s="223" t="s">
        <v>40</v>
      </c>
      <c r="G22" s="224"/>
      <c r="H22" s="224"/>
      <c r="I22" s="224"/>
      <c r="J22" s="224"/>
      <c r="K22" s="225"/>
    </row>
    <row r="23" spans="1:11" ht="20" customHeight="1" x14ac:dyDescent="0.2">
      <c r="A23" s="3"/>
      <c r="B23" s="104" t="s">
        <v>97</v>
      </c>
      <c r="C23" s="105" t="s">
        <v>98</v>
      </c>
      <c r="D23" s="106" t="s">
        <v>99</v>
      </c>
      <c r="F23" s="72">
        <f t="array" ref="F23:K25">TRANSPOSE(B24:D29)</f>
        <v>-1</v>
      </c>
      <c r="G23" s="107">
        <v>-1</v>
      </c>
      <c r="H23" s="107">
        <v>-1</v>
      </c>
      <c r="I23" s="107">
        <v>-1</v>
      </c>
      <c r="J23" s="107">
        <v>-1</v>
      </c>
      <c r="K23" s="73">
        <v>-1</v>
      </c>
    </row>
    <row r="24" spans="1:11" x14ac:dyDescent="0.2">
      <c r="A24" s="108" t="s">
        <v>71</v>
      </c>
      <c r="B24" s="109">
        <v>-1</v>
      </c>
      <c r="C24" s="110">
        <f>C17</f>
        <v>-0.35184693814092954</v>
      </c>
      <c r="D24" s="111">
        <f>C18</f>
        <v>0.30924478144596595</v>
      </c>
      <c r="F24" s="80">
        <v>-0.35184693814092954</v>
      </c>
      <c r="G24" s="112">
        <v>-0.22680769028733933</v>
      </c>
      <c r="H24" s="112">
        <v>5.7290690677620298E-2</v>
      </c>
      <c r="I24" s="112">
        <v>0.3052218843687422</v>
      </c>
      <c r="J24" s="112">
        <v>0.3889588577472014</v>
      </c>
      <c r="K24" s="81">
        <v>0.30604808772816211</v>
      </c>
    </row>
    <row r="25" spans="1:11" ht="20" customHeight="1" x14ac:dyDescent="0.2">
      <c r="A25" s="113" t="s">
        <v>72</v>
      </c>
      <c r="B25" s="80">
        <v>-1</v>
      </c>
      <c r="C25" s="100">
        <f>D17</f>
        <v>-0.22680769028733933</v>
      </c>
      <c r="D25" s="77">
        <f>D18</f>
        <v>0.4352950170179643</v>
      </c>
      <c r="F25" s="84">
        <v>0.30924478144596595</v>
      </c>
      <c r="G25" s="114">
        <v>0.4352950170179643</v>
      </c>
      <c r="H25" s="114">
        <v>0.38778382817862428</v>
      </c>
      <c r="I25" s="114">
        <v>0.2720368589069595</v>
      </c>
      <c r="J25" s="114">
        <v>0.11369955521514401</v>
      </c>
      <c r="K25" s="85">
        <v>-0.14149418070295539</v>
      </c>
    </row>
    <row r="26" spans="1:11" ht="20" customHeight="1" x14ac:dyDescent="0.2">
      <c r="A26" s="113" t="s">
        <v>73</v>
      </c>
      <c r="B26" s="80">
        <v>-1</v>
      </c>
      <c r="C26" s="100">
        <f>E17</f>
        <v>5.7290690677620298E-2</v>
      </c>
      <c r="D26" s="77">
        <f>E18</f>
        <v>0.38778382817862428</v>
      </c>
    </row>
    <row r="27" spans="1:11" ht="20" customHeight="1" x14ac:dyDescent="0.2">
      <c r="A27" s="113" t="s">
        <v>74</v>
      </c>
      <c r="B27" s="80">
        <v>-1</v>
      </c>
      <c r="C27" s="100">
        <f>F17</f>
        <v>0.3052218843687422</v>
      </c>
      <c r="D27" s="77">
        <f>F18</f>
        <v>0.2720368589069595</v>
      </c>
      <c r="F27" s="70" t="s">
        <v>44</v>
      </c>
      <c r="H27" s="70" t="s">
        <v>16</v>
      </c>
      <c r="J27" s="70" t="s">
        <v>41</v>
      </c>
    </row>
    <row r="28" spans="1:11" x14ac:dyDescent="0.2">
      <c r="A28" s="113" t="s">
        <v>75</v>
      </c>
      <c r="B28" s="80">
        <v>-1</v>
      </c>
      <c r="C28" s="100">
        <f>G17</f>
        <v>0.3889588577472014</v>
      </c>
      <c r="D28" s="77">
        <f>G18</f>
        <v>0.11369955521514401</v>
      </c>
      <c r="F28" s="115">
        <f t="array" ref="F28:F30">MMULT(_xlfn.ANCHORARRAY(F23),F3:F8)</f>
        <v>-3.0460000000061882E-2</v>
      </c>
      <c r="H28" s="115">
        <f t="array" ref="H28:H30">MMULT(_xlfn.ANCHORARRAY(B37),_xlfn.ANCHORARRAY(F28))</f>
        <v>-5.22836950544831E-3</v>
      </c>
      <c r="J28" s="115">
        <f t="array" ref="J28:J33">MMULT(B24:D29,_xlfn.ANCHORARRAY(H28))-F3:F8</f>
        <v>2.6262769773225465E-4</v>
      </c>
    </row>
    <row r="29" spans="1:11" ht="20" customHeight="1" x14ac:dyDescent="0.2">
      <c r="A29" s="116" t="s">
        <v>76</v>
      </c>
      <c r="B29" s="84">
        <v>-1</v>
      </c>
      <c r="C29" s="102">
        <f>H17</f>
        <v>0.30604808772816211</v>
      </c>
      <c r="D29" s="103">
        <f>H18</f>
        <v>-0.14149418070295539</v>
      </c>
      <c r="F29" s="78">
        <v>8.2903268101013911E-3</v>
      </c>
      <c r="H29" s="78">
        <v>1.0363553854352661E-2</v>
      </c>
      <c r="J29" s="78">
        <v>1.240699916247814E-3</v>
      </c>
    </row>
    <row r="30" spans="1:11" ht="20" customHeight="1" x14ac:dyDescent="0.2">
      <c r="F30" s="86">
        <v>3.8324073983652647E-3</v>
      </c>
      <c r="H30" s="86">
        <v>-4.2663844144253497E-3</v>
      </c>
      <c r="J30" s="78">
        <v>-3.0923302170992794E-3</v>
      </c>
    </row>
    <row r="31" spans="1:11" ht="20" customHeight="1" x14ac:dyDescent="0.2">
      <c r="B31" s="232" t="s">
        <v>43</v>
      </c>
      <c r="C31" s="224"/>
      <c r="D31" s="225"/>
      <c r="J31" s="78">
        <v>1.450939126682072E-3</v>
      </c>
    </row>
    <row r="32" spans="1:11" ht="20" customHeight="1" x14ac:dyDescent="0.2">
      <c r="B32" s="118">
        <f t="array" ref="B32:D34">MMULT(_xlfn.ANCHORARRAY(F23),B24:D29)</f>
        <v>6</v>
      </c>
      <c r="C32" s="119">
        <v>-0.47886489209345712</v>
      </c>
      <c r="D32" s="120">
        <v>-1.3765658600617026</v>
      </c>
      <c r="F32" s="59" t="s">
        <v>100</v>
      </c>
      <c r="H32" s="59" t="s">
        <v>101</v>
      </c>
      <c r="J32" s="78">
        <v>7.9427956451009335E-4</v>
      </c>
    </row>
    <row r="33" spans="2:11" ht="20" customHeight="1" x14ac:dyDescent="0.2">
      <c r="B33" s="40">
        <v>-0.47886489209345712</v>
      </c>
      <c r="C33" s="100">
        <v>0.51663504321062181</v>
      </c>
      <c r="D33" s="77">
        <v>-0.101366655153911</v>
      </c>
      <c r="F33" s="121">
        <f t="array" ref="F33">MMULT(TRANSPOSE(_xlfn.ANCHORARRAY(J28)),_xlfn.ANCHORARRAY(J28))</f>
        <v>1.4337539691559775E-5</v>
      </c>
      <c r="H33" s="122">
        <f t="array" ref="H33">MMULT(TRANSPOSE(_xlfn.ANCHORARRAY(J28)),F3:F8)</f>
        <v>-1.4337539691559656E-5</v>
      </c>
      <c r="J33" s="86">
        <v>-6.5621608807293376E-4</v>
      </c>
    </row>
    <row r="34" spans="2:11" ht="20" customHeight="1" x14ac:dyDescent="0.2">
      <c r="B34" s="46">
        <v>-1.3765658600617026</v>
      </c>
      <c r="C34" s="102">
        <v>-0.101366655153911</v>
      </c>
      <c r="D34" s="103">
        <v>0.54244262872198912</v>
      </c>
    </row>
    <row r="35" spans="2:11" ht="20" customHeight="1" x14ac:dyDescent="0.2">
      <c r="F35" s="68" t="s">
        <v>102</v>
      </c>
      <c r="G35" s="123" t="s">
        <v>103</v>
      </c>
      <c r="H35" s="124" t="s">
        <v>104</v>
      </c>
      <c r="I35" s="59" t="s">
        <v>105</v>
      </c>
    </row>
    <row r="36" spans="2:11" ht="20" customHeight="1" x14ac:dyDescent="0.2">
      <c r="B36" s="232" t="s">
        <v>106</v>
      </c>
      <c r="C36" s="224"/>
      <c r="D36" s="225"/>
      <c r="F36" s="125">
        <f>SQRT(F33/(6-3))</f>
        <v>2.1861335497143333E-3</v>
      </c>
      <c r="G36" s="126">
        <f>SQRT(F36^2/H3^2)</f>
        <v>6.8283340089955882</v>
      </c>
      <c r="H36" s="127">
        <f>SQRT(CHIINV(0.05,3)/(6-3))</f>
        <v>1.61397314137619</v>
      </c>
      <c r="I36" s="128" t="b">
        <f>IF(G36^2&lt;=H36^2,TRUE,FALSE)</f>
        <v>0</v>
      </c>
    </row>
    <row r="37" spans="2:11" x14ac:dyDescent="0.2">
      <c r="B37" s="34">
        <f t="array" ref="B37:D39">MINVERSE(_xlfn.ANCHORARRAY(B32))</f>
        <v>0.70524810695594808</v>
      </c>
      <c r="C37" s="119">
        <v>1.043086669535213</v>
      </c>
      <c r="D37" s="120">
        <v>1.9846424610313431</v>
      </c>
    </row>
    <row r="38" spans="2:11" x14ac:dyDescent="0.2">
      <c r="B38" s="40">
        <v>1.043086669535213</v>
      </c>
      <c r="C38" s="100">
        <v>3.5520342103272995</v>
      </c>
      <c r="D38" s="77">
        <v>3.310829994117638</v>
      </c>
    </row>
    <row r="39" spans="2:11" ht="20" customHeight="1" x14ac:dyDescent="0.2">
      <c r="B39" s="46">
        <v>1.9846424610313431</v>
      </c>
      <c r="C39" s="102">
        <v>3.310829994117638</v>
      </c>
      <c r="D39" s="103">
        <v>7.4986710173477995</v>
      </c>
    </row>
    <row r="41" spans="2:11" ht="20" customHeight="1" x14ac:dyDescent="0.2"/>
    <row r="42" spans="2:11" ht="39.25" customHeight="1" x14ac:dyDescent="0.2">
      <c r="B42" s="129" t="s">
        <v>34</v>
      </c>
      <c r="C42" s="130" t="s">
        <v>58</v>
      </c>
      <c r="D42" s="131" t="s">
        <v>107</v>
      </c>
      <c r="E42" s="132" t="s">
        <v>108</v>
      </c>
      <c r="F42" s="132" t="s">
        <v>109</v>
      </c>
      <c r="G42" s="132" t="s">
        <v>110</v>
      </c>
      <c r="H42" s="132" t="s">
        <v>111</v>
      </c>
      <c r="I42" s="132" t="s">
        <v>112</v>
      </c>
      <c r="J42" s="133" t="s">
        <v>113</v>
      </c>
      <c r="K42" s="134" t="s">
        <v>114</v>
      </c>
    </row>
    <row r="43" spans="2:11" x14ac:dyDescent="0.2">
      <c r="B43" s="281" t="s">
        <v>70</v>
      </c>
      <c r="C43" s="135" t="s">
        <v>71</v>
      </c>
      <c r="D43" s="276">
        <f>Dane!D11-Dane!D12</f>
        <v>23.518760000000043</v>
      </c>
      <c r="E43" s="271">
        <f>Dane!F11-Dane!F12</f>
        <v>23.518979999999999</v>
      </c>
      <c r="F43" s="280">
        <f>E43-D43</f>
        <v>2.1999999995614417E-4</v>
      </c>
      <c r="G43" s="268">
        <f>C16</f>
        <v>135.90439580822982</v>
      </c>
      <c r="H43" s="268">
        <f>G45</f>
        <v>129.70017406696107</v>
      </c>
      <c r="I43" s="268">
        <f>SQRT((Dane!J14-Dane!J13)^2+(Dane!K14-Dane!K13)^2)</f>
        <v>49.15989944049926</v>
      </c>
      <c r="J43" s="275">
        <f>F43*PI()/200*G43*H43/I43</f>
        <v>1.2390979401513875E-3</v>
      </c>
      <c r="K43" s="270">
        <f>J43*1000</f>
        <v>1.2390979401513875</v>
      </c>
    </row>
    <row r="44" spans="2:11" ht="20" customHeight="1" x14ac:dyDescent="0.2">
      <c r="B44" s="221"/>
      <c r="C44" s="136" t="s">
        <v>72</v>
      </c>
      <c r="D44" s="256"/>
      <c r="E44" s="272"/>
      <c r="F44" s="269"/>
      <c r="G44" s="269"/>
      <c r="H44" s="269"/>
      <c r="I44" s="269"/>
      <c r="J44" s="252"/>
      <c r="K44" s="222"/>
    </row>
    <row r="45" spans="2:11" x14ac:dyDescent="0.2">
      <c r="B45" s="221"/>
      <c r="C45" s="135" t="s">
        <v>72</v>
      </c>
      <c r="D45" s="276">
        <f>Dane!D12-Dane!D13</f>
        <v>39.915819999999997</v>
      </c>
      <c r="E45" s="271">
        <f>Dane!F12-Dane!F13</f>
        <v>39.90834000000001</v>
      </c>
      <c r="F45" s="280">
        <f>E45-D45</f>
        <v>-7.4799999999868305E-3</v>
      </c>
      <c r="G45" s="268">
        <f>D16</f>
        <v>129.70017406696107</v>
      </c>
      <c r="H45" s="268">
        <f>G47</f>
        <v>162.40589872292202</v>
      </c>
      <c r="I45" s="268">
        <f>SQRT((Dane!J15-Dane!J14)^2+(Dane!K15-Dane!K14)^2)</f>
        <v>95.306099201467688</v>
      </c>
      <c r="J45" s="275">
        <f>F45*PI()/200*G45*H45/I45</f>
        <v>-2.5968277197797807E-2</v>
      </c>
      <c r="K45" s="270">
        <f>J45*1000</f>
        <v>-25.968277197797807</v>
      </c>
    </row>
    <row r="46" spans="2:11" ht="20" customHeight="1" x14ac:dyDescent="0.2">
      <c r="B46" s="221"/>
      <c r="C46" s="136" t="s">
        <v>73</v>
      </c>
      <c r="D46" s="256"/>
      <c r="E46" s="272"/>
      <c r="F46" s="269"/>
      <c r="G46" s="269"/>
      <c r="H46" s="269"/>
      <c r="I46" s="269"/>
      <c r="J46" s="252"/>
      <c r="K46" s="222"/>
    </row>
    <row r="47" spans="2:11" x14ac:dyDescent="0.2">
      <c r="B47" s="221"/>
      <c r="C47" s="135" t="s">
        <v>73</v>
      </c>
      <c r="D47" s="276">
        <f>Dane!D13-Dane!D14</f>
        <v>44.318399999999968</v>
      </c>
      <c r="E47" s="271">
        <f>Dane!F13-Dane!F14</f>
        <v>44.319880000000005</v>
      </c>
      <c r="F47" s="280">
        <f>E47-D47</f>
        <v>1.4800000000363411E-3</v>
      </c>
      <c r="G47" s="268">
        <f>E16</f>
        <v>162.40589872292202</v>
      </c>
      <c r="H47" s="268">
        <f>G49</f>
        <v>155.70700794119705</v>
      </c>
      <c r="I47" s="268">
        <f>SQRT((Dane!J16-Dane!J15)^2+(Dane!K16-Dane!K15)^2)</f>
        <v>108.68653426252949</v>
      </c>
      <c r="J47" s="275">
        <f>F47*PI()/200*G47*H47/I47</f>
        <v>5.408985416952671E-3</v>
      </c>
      <c r="K47" s="270">
        <f>J47*1000</f>
        <v>5.408985416952671</v>
      </c>
    </row>
    <row r="48" spans="2:11" ht="20" customHeight="1" x14ac:dyDescent="0.2">
      <c r="B48" s="221"/>
      <c r="C48" s="136" t="s">
        <v>74</v>
      </c>
      <c r="D48" s="256"/>
      <c r="E48" s="272"/>
      <c r="F48" s="269"/>
      <c r="G48" s="269"/>
      <c r="H48" s="269"/>
      <c r="I48" s="269"/>
      <c r="J48" s="252"/>
      <c r="K48" s="222"/>
    </row>
    <row r="49" spans="2:11" x14ac:dyDescent="0.2">
      <c r="B49" s="221"/>
      <c r="C49" s="135" t="s">
        <v>74</v>
      </c>
      <c r="D49" s="276">
        <f>Dane!D14-Dane!D15</f>
        <v>28.239020000000011</v>
      </c>
      <c r="E49" s="271">
        <f>Dane!F14-Dane!F15</f>
        <v>28.236820000000002</v>
      </c>
      <c r="F49" s="280">
        <f>E49-D49</f>
        <v>-2.2000000000090836E-3</v>
      </c>
      <c r="G49" s="268">
        <f>F16</f>
        <v>155.70700794119705</v>
      </c>
      <c r="H49" s="268">
        <f>G51</f>
        <v>157.09834826630103</v>
      </c>
      <c r="I49" s="268">
        <f>SQRT((Dane!J17-Dane!J16)^2+(Dane!K17-Dane!K16)^2)</f>
        <v>68.823113341376839</v>
      </c>
      <c r="J49" s="275">
        <f>F49*PI()/200*G49*H49/I49</f>
        <v>-1.2282535309149389E-2</v>
      </c>
      <c r="K49" s="270">
        <f>J49*1000</f>
        <v>-12.28253530914939</v>
      </c>
    </row>
    <row r="50" spans="2:11" ht="20" customHeight="1" x14ac:dyDescent="0.2">
      <c r="B50" s="221"/>
      <c r="C50" s="136" t="s">
        <v>75</v>
      </c>
      <c r="D50" s="256"/>
      <c r="E50" s="272"/>
      <c r="F50" s="269"/>
      <c r="G50" s="269"/>
      <c r="H50" s="269"/>
      <c r="I50" s="269"/>
      <c r="J50" s="252"/>
      <c r="K50" s="222"/>
    </row>
    <row r="51" spans="2:11" x14ac:dyDescent="0.2">
      <c r="B51" s="221"/>
      <c r="C51" s="135" t="s">
        <v>75</v>
      </c>
      <c r="D51" s="276">
        <f>Dane!D15-Dane!D16</f>
        <v>45.674720000000008</v>
      </c>
      <c r="E51" s="271">
        <f>Dane!F15-Dane!F16+400</f>
        <v>45.673040000000015</v>
      </c>
      <c r="F51" s="280">
        <f>E51-D51</f>
        <v>-1.6799999999932425E-3</v>
      </c>
      <c r="G51" s="268">
        <f>G16</f>
        <v>157.09834826630103</v>
      </c>
      <c r="H51" s="268">
        <f>G53</f>
        <v>188.81068274067547</v>
      </c>
      <c r="I51" s="268">
        <f>SQRT((Dane!J18-Dane!J17)^2+(Dane!K18-Dane!K17)^2)</f>
        <v>125.01968242240899</v>
      </c>
      <c r="J51" s="275">
        <f>F51*PI()/200*G51*H51/I51</f>
        <v>-6.2610756170143099E-3</v>
      </c>
      <c r="K51" s="270">
        <f>J51*1000</f>
        <v>-6.2610756170143098</v>
      </c>
    </row>
    <row r="52" spans="2:11" ht="20" customHeight="1" x14ac:dyDescent="0.2">
      <c r="B52" s="221"/>
      <c r="C52" s="136" t="s">
        <v>76</v>
      </c>
      <c r="D52" s="256"/>
      <c r="E52" s="272"/>
      <c r="F52" s="269"/>
      <c r="G52" s="269"/>
      <c r="H52" s="269"/>
      <c r="I52" s="269"/>
      <c r="J52" s="252"/>
      <c r="K52" s="222"/>
    </row>
    <row r="53" spans="2:11" x14ac:dyDescent="0.2">
      <c r="B53" s="221"/>
      <c r="C53" s="135" t="s">
        <v>76</v>
      </c>
      <c r="D53" s="277">
        <f>Dane!D16-Dane!D11+400</f>
        <v>218.33327999999997</v>
      </c>
      <c r="E53" s="271">
        <f>Dane!F16-Dane!F11</f>
        <v>218.34293999999997</v>
      </c>
      <c r="F53" s="271">
        <f>E53-D53</f>
        <v>9.6599999999966712E-3</v>
      </c>
      <c r="G53" s="279">
        <f>H16</f>
        <v>188.81068274067547</v>
      </c>
      <c r="H53" s="279">
        <f>G43</f>
        <v>135.90439580822982</v>
      </c>
      <c r="I53" s="279">
        <f>SQRT((Dane!J13-Dane!J18)^2+(Dane!K13-Dane!K18)^2)</f>
        <v>321.44419832530815</v>
      </c>
      <c r="J53" s="273">
        <f>F53*PI()/200*G53*H53/I53</f>
        <v>1.2112993343641573E-2</v>
      </c>
      <c r="K53" s="266">
        <f>J53*1000</f>
        <v>12.112993343641573</v>
      </c>
    </row>
    <row r="54" spans="2:11" ht="20" customHeight="1" x14ac:dyDescent="0.2">
      <c r="B54" s="221"/>
      <c r="C54" s="136" t="s">
        <v>71</v>
      </c>
      <c r="D54" s="278"/>
      <c r="E54" s="272"/>
      <c r="F54" s="272"/>
      <c r="G54" s="272"/>
      <c r="H54" s="272"/>
      <c r="I54" s="272"/>
      <c r="J54" s="274"/>
      <c r="K54" s="267"/>
    </row>
    <row r="55" spans="2:11" x14ac:dyDescent="0.2">
      <c r="B55" s="221"/>
      <c r="C55" s="135" t="s">
        <v>71</v>
      </c>
      <c r="D55" s="276">
        <f>Dane!D11-Dane!D13</f>
        <v>63.434580000000039</v>
      </c>
      <c r="E55" s="271">
        <f>Dane!F11-Dane!F13</f>
        <v>63.427320000000009</v>
      </c>
      <c r="F55" s="280">
        <f>E55-D55</f>
        <v>-7.2600000000306864E-3</v>
      </c>
      <c r="G55" s="268">
        <f>C16</f>
        <v>135.90439580822982</v>
      </c>
      <c r="H55" s="268">
        <f>H45</f>
        <v>162.40589872292202</v>
      </c>
      <c r="I55" s="268">
        <f>SQRT((Dane!J15-Dane!J13)^2+(Dane!K15-Dane!K13)^2)</f>
        <v>144.4383370854151</v>
      </c>
      <c r="J55" s="275">
        <f>F55*PI()/200*G55*H55/I55</f>
        <v>-1.7426465918578014E-2</v>
      </c>
      <c r="K55" s="270">
        <f>J55*1000</f>
        <v>-17.426465918578014</v>
      </c>
    </row>
    <row r="56" spans="2:11" ht="20" customHeight="1" x14ac:dyDescent="0.2">
      <c r="B56" s="221"/>
      <c r="C56" s="136" t="s">
        <v>73</v>
      </c>
      <c r="D56" s="256"/>
      <c r="E56" s="272"/>
      <c r="F56" s="269"/>
      <c r="G56" s="269"/>
      <c r="H56" s="269"/>
      <c r="I56" s="269"/>
      <c r="J56" s="252"/>
      <c r="K56" s="222"/>
    </row>
    <row r="57" spans="2:11" x14ac:dyDescent="0.2">
      <c r="B57" s="221"/>
      <c r="C57" s="135" t="s">
        <v>71</v>
      </c>
      <c r="D57" s="276">
        <f>Dane!D11-Dane!D14</f>
        <v>107.75298000000001</v>
      </c>
      <c r="E57" s="271">
        <f>Dane!F11-Dane!F14</f>
        <v>107.74720000000002</v>
      </c>
      <c r="F57" s="280">
        <f>E57-D57</f>
        <v>-5.7799999999872398E-3</v>
      </c>
      <c r="G57" s="268">
        <f>C16</f>
        <v>135.90439580822982</v>
      </c>
      <c r="H57" s="268">
        <f>H47</f>
        <v>155.70700794119705</v>
      </c>
      <c r="I57" s="268">
        <f>SQRT((Dane!J16-Dane!J13)^2+(Dane!K16-Dane!K13)^2)</f>
        <v>218.75984074322233</v>
      </c>
      <c r="J57" s="275">
        <f>F57*PI()/200*G57*H57/I57</f>
        <v>-8.7825732460513235E-3</v>
      </c>
      <c r="K57" s="270">
        <f>J57*1000</f>
        <v>-8.7825732460513244</v>
      </c>
    </row>
    <row r="58" spans="2:11" ht="20" customHeight="1" x14ac:dyDescent="0.2">
      <c r="B58" s="221"/>
      <c r="C58" s="136" t="s">
        <v>74</v>
      </c>
      <c r="D58" s="256"/>
      <c r="E58" s="272"/>
      <c r="F58" s="269"/>
      <c r="G58" s="269"/>
      <c r="H58" s="269"/>
      <c r="I58" s="269"/>
      <c r="J58" s="252"/>
      <c r="K58" s="222"/>
    </row>
    <row r="59" spans="2:11" x14ac:dyDescent="0.2">
      <c r="B59" s="221"/>
      <c r="C59" s="135" t="s">
        <v>71</v>
      </c>
      <c r="D59" s="276">
        <f>Dane!D11-Dane!D15</f>
        <v>135.99200000000002</v>
      </c>
      <c r="E59" s="271">
        <f>Dane!F11-Dane!F15</f>
        <v>135.98402000000002</v>
      </c>
      <c r="F59" s="280">
        <f>E59-D59</f>
        <v>-7.9800000000034288E-3</v>
      </c>
      <c r="G59" s="268">
        <f>C16</f>
        <v>135.90439580822982</v>
      </c>
      <c r="H59" s="268">
        <f>H49</f>
        <v>157.09834826630103</v>
      </c>
      <c r="I59" s="268">
        <f>SQRT((Dane!J17-Dane!J13)^2+(Dane!K17-Dane!K13)^2)</f>
        <v>256.95411572496755</v>
      </c>
      <c r="J59" s="275">
        <f>F59*PI()/200*G59*H59/I59</f>
        <v>-1.0415312693964335E-2</v>
      </c>
      <c r="K59" s="270">
        <f>J59*1000</f>
        <v>-10.415312693964335</v>
      </c>
    </row>
    <row r="60" spans="2:11" ht="20" customHeight="1" x14ac:dyDescent="0.2">
      <c r="B60" s="221"/>
      <c r="C60" s="136" t="s">
        <v>75</v>
      </c>
      <c r="D60" s="256"/>
      <c r="E60" s="272"/>
      <c r="F60" s="269"/>
      <c r="G60" s="269"/>
      <c r="H60" s="269"/>
      <c r="I60" s="269"/>
      <c r="J60" s="252"/>
      <c r="K60" s="222"/>
    </row>
    <row r="61" spans="2:11" x14ac:dyDescent="0.2">
      <c r="B61" s="221"/>
      <c r="C61" s="135" t="s">
        <v>72</v>
      </c>
      <c r="D61" s="276">
        <f>Dane!D12-Dane!D14</f>
        <v>84.234219999999965</v>
      </c>
      <c r="E61" s="271">
        <f>Dane!F12-Dane!F14</f>
        <v>84.228220000000022</v>
      </c>
      <c r="F61" s="280">
        <f>E61-D61</f>
        <v>-5.999999999943384E-3</v>
      </c>
      <c r="G61" s="268">
        <f>D16</f>
        <v>129.70017406696107</v>
      </c>
      <c r="H61" s="268">
        <f>H57</f>
        <v>155.70700794119705</v>
      </c>
      <c r="I61" s="268">
        <f>SQRT((Dane!J16-Dane!J14)^2+(Dane!K16-Dane!K14)^2)</f>
        <v>176.5408828713621</v>
      </c>
      <c r="J61" s="275">
        <f>F61*PI()/200*G61*H61/I61</f>
        <v>-1.0781384919742152E-2</v>
      </c>
      <c r="K61" s="270">
        <f>J61*1000</f>
        <v>-10.781384919742152</v>
      </c>
    </row>
    <row r="62" spans="2:11" ht="20" customHeight="1" x14ac:dyDescent="0.2">
      <c r="B62" s="221"/>
      <c r="C62" s="136" t="s">
        <v>74</v>
      </c>
      <c r="D62" s="256"/>
      <c r="E62" s="272"/>
      <c r="F62" s="269"/>
      <c r="G62" s="269"/>
      <c r="H62" s="269"/>
      <c r="I62" s="269"/>
      <c r="J62" s="252"/>
      <c r="K62" s="222"/>
    </row>
    <row r="63" spans="2:11" x14ac:dyDescent="0.2">
      <c r="B63" s="221"/>
      <c r="C63" s="135" t="s">
        <v>72</v>
      </c>
      <c r="D63" s="276">
        <f>Dane!D12-Dane!D15</f>
        <v>112.47323999999998</v>
      </c>
      <c r="E63" s="271">
        <f>Dane!F12-Dane!F15</f>
        <v>112.46504000000002</v>
      </c>
      <c r="F63" s="280">
        <f>E63-D63</f>
        <v>-8.199999999959573E-3</v>
      </c>
      <c r="G63" s="268">
        <f>D16</f>
        <v>129.70017406696107</v>
      </c>
      <c r="H63" s="268">
        <f>H59</f>
        <v>157.09834826630103</v>
      </c>
      <c r="I63" s="268">
        <f>SQRT((Dane!J17-Dane!J14)^2+(Dane!K17-Dane!K14)^2)</f>
        <v>222.3423293594812</v>
      </c>
      <c r="J63" s="275">
        <f>F63*PI()/200*G63*H63/I63</f>
        <v>-1.1803852012665608E-2</v>
      </c>
      <c r="K63" s="270">
        <f>J63*1000</f>
        <v>-11.803852012665608</v>
      </c>
    </row>
    <row r="64" spans="2:11" ht="20" customHeight="1" x14ac:dyDescent="0.2">
      <c r="B64" s="221"/>
      <c r="C64" s="136" t="s">
        <v>75</v>
      </c>
      <c r="D64" s="256"/>
      <c r="E64" s="272"/>
      <c r="F64" s="269"/>
      <c r="G64" s="269"/>
      <c r="H64" s="269"/>
      <c r="I64" s="269"/>
      <c r="J64" s="252"/>
      <c r="K64" s="222"/>
    </row>
    <row r="65" spans="2:11" x14ac:dyDescent="0.2">
      <c r="B65" s="221"/>
      <c r="C65" s="135" t="s">
        <v>72</v>
      </c>
      <c r="D65" s="277">
        <f>Dane!D12-Dane!D16</f>
        <v>158.14795999999998</v>
      </c>
      <c r="E65" s="271">
        <f>Dane!F12-Dane!F16+400</f>
        <v>158.13808000000003</v>
      </c>
      <c r="F65" s="271">
        <f>E65-D65</f>
        <v>-9.8799999999528154E-3</v>
      </c>
      <c r="G65" s="279">
        <f>D16</f>
        <v>129.70017406696107</v>
      </c>
      <c r="H65" s="279">
        <f>H51</f>
        <v>188.81068274067547</v>
      </c>
      <c r="I65" s="279">
        <f>SQRT((Dane!J18-Dane!J14)^2+(Dane!K18-Dane!K14)^2)</f>
        <v>302.06205656785164</v>
      </c>
      <c r="J65" s="273">
        <f>F65*PI()/200*G65*H65/I65</f>
        <v>-1.2581944590726018E-2</v>
      </c>
      <c r="K65" s="266">
        <f>J65*1000</f>
        <v>-12.581944590726017</v>
      </c>
    </row>
    <row r="66" spans="2:11" ht="20" customHeight="1" x14ac:dyDescent="0.2">
      <c r="B66" s="221"/>
      <c r="C66" s="136" t="s">
        <v>76</v>
      </c>
      <c r="D66" s="278"/>
      <c r="E66" s="272"/>
      <c r="F66" s="272"/>
      <c r="G66" s="272"/>
      <c r="H66" s="272"/>
      <c r="I66" s="272"/>
      <c r="J66" s="274"/>
      <c r="K66" s="267"/>
    </row>
    <row r="67" spans="2:11" x14ac:dyDescent="0.2">
      <c r="B67" s="221"/>
      <c r="C67" s="135" t="s">
        <v>73</v>
      </c>
      <c r="D67" s="276">
        <f>Dane!D13-Dane!D15</f>
        <v>72.557419999999979</v>
      </c>
      <c r="E67" s="271">
        <f>Dane!F13-Dane!F15</f>
        <v>72.556700000000006</v>
      </c>
      <c r="F67" s="280">
        <f>E67-D67</f>
        <v>-7.1999999997274244E-4</v>
      </c>
      <c r="G67" s="268">
        <f>E16</f>
        <v>162.40589872292202</v>
      </c>
      <c r="H67" s="268">
        <f>H63</f>
        <v>157.09834826630103</v>
      </c>
      <c r="I67" s="268">
        <f>SQRT((Dane!J17-Dane!J15)^2+(Dane!K17-Dane!K15)^2)</f>
        <v>172.43561047533078</v>
      </c>
      <c r="J67" s="275">
        <f>F67*PI()/200*G67*H67/I67</f>
        <v>-1.6733964085372166E-3</v>
      </c>
      <c r="K67" s="270">
        <f>J67*1000</f>
        <v>-1.6733964085372166</v>
      </c>
    </row>
    <row r="68" spans="2:11" ht="20" customHeight="1" x14ac:dyDescent="0.2">
      <c r="B68" s="221"/>
      <c r="C68" s="136" t="s">
        <v>75</v>
      </c>
      <c r="D68" s="256"/>
      <c r="E68" s="272"/>
      <c r="F68" s="269"/>
      <c r="G68" s="269"/>
      <c r="H68" s="269"/>
      <c r="I68" s="269"/>
      <c r="J68" s="252"/>
      <c r="K68" s="222"/>
    </row>
    <row r="69" spans="2:11" x14ac:dyDescent="0.2">
      <c r="B69" s="221"/>
      <c r="C69" s="135" t="s">
        <v>73</v>
      </c>
      <c r="D69" s="276">
        <f>Dane!D13-Dane!D16</f>
        <v>118.23213999999999</v>
      </c>
      <c r="E69" s="271">
        <f>Dane!F13-Dane!F16+400</f>
        <v>118.22973999999999</v>
      </c>
      <c r="F69" s="280">
        <f>E69-D69</f>
        <v>-2.3999999999944066E-3</v>
      </c>
      <c r="G69" s="268">
        <f>E16</f>
        <v>162.40589872292202</v>
      </c>
      <c r="H69" s="268">
        <f>H65</f>
        <v>188.81068274067547</v>
      </c>
      <c r="I69" s="268">
        <f>SQRT((Dane!J18-Dane!J15)^2+(Dane!K18-Dane!K15)^2)</f>
        <v>281.68978831508963</v>
      </c>
      <c r="J69" s="275">
        <f>F69*PI()/200*G69*H69/I69</f>
        <v>-4.1038206937912798E-3</v>
      </c>
      <c r="K69" s="270">
        <f>J69*1000</f>
        <v>-4.1038206937912802</v>
      </c>
    </row>
    <row r="70" spans="2:11" ht="20" customHeight="1" x14ac:dyDescent="0.2">
      <c r="B70" s="221"/>
      <c r="C70" s="136" t="s">
        <v>76</v>
      </c>
      <c r="D70" s="256"/>
      <c r="E70" s="272"/>
      <c r="F70" s="269"/>
      <c r="G70" s="269"/>
      <c r="H70" s="269"/>
      <c r="I70" s="269"/>
      <c r="J70" s="252"/>
      <c r="K70" s="222"/>
    </row>
    <row r="71" spans="2:11" x14ac:dyDescent="0.2">
      <c r="B71" s="221"/>
      <c r="C71" s="135" t="s">
        <v>74</v>
      </c>
      <c r="D71" s="277">
        <f>Dane!D14-Dane!D16</f>
        <v>73.913740000000018</v>
      </c>
      <c r="E71" s="271">
        <f>Dane!F14-Dane!F16+400</f>
        <v>73.909860000000037</v>
      </c>
      <c r="F71" s="271">
        <f>E71-D71</f>
        <v>-3.8799999999810098E-3</v>
      </c>
      <c r="G71" s="279">
        <f>F16</f>
        <v>155.70700794119705</v>
      </c>
      <c r="H71" s="279">
        <f>H69</f>
        <v>188.81068274067547</v>
      </c>
      <c r="I71" s="279">
        <f>SQRT((Dane!J18-Dane!J16)^2+(Dane!K18-Dane!K16)^2)</f>
        <v>190.96931007101639</v>
      </c>
      <c r="J71" s="273">
        <f>F71*PI()/200*G71*H71/I71</f>
        <v>-9.3825901431000211E-3</v>
      </c>
      <c r="K71" s="266">
        <f>J71*1000</f>
        <v>-9.3825901431000212</v>
      </c>
    </row>
    <row r="72" spans="2:11" ht="20" customHeight="1" x14ac:dyDescent="0.2">
      <c r="B72" s="267"/>
      <c r="C72" s="136" t="s">
        <v>76</v>
      </c>
      <c r="D72" s="278"/>
      <c r="E72" s="272"/>
      <c r="F72" s="272"/>
      <c r="G72" s="272"/>
      <c r="H72" s="272"/>
      <c r="I72" s="272"/>
      <c r="J72" s="274"/>
      <c r="K72" s="267"/>
    </row>
  </sheetData>
  <mergeCells count="125">
    <mergeCell ref="K63:K64"/>
    <mergeCell ref="J69:J70"/>
    <mergeCell ref="D61:D62"/>
    <mergeCell ref="F59:F60"/>
    <mergeCell ref="F55:F56"/>
    <mergeCell ref="H59:H60"/>
    <mergeCell ref="H55:H56"/>
    <mergeCell ref="E63:E64"/>
    <mergeCell ref="J59:J60"/>
    <mergeCell ref="I57:I58"/>
    <mergeCell ref="K69:K70"/>
    <mergeCell ref="D67:D68"/>
    <mergeCell ref="F67:F68"/>
    <mergeCell ref="D69:D70"/>
    <mergeCell ref="F69:F70"/>
    <mergeCell ref="J55:J56"/>
    <mergeCell ref="G65:G66"/>
    <mergeCell ref="D47:D48"/>
    <mergeCell ref="H45:H46"/>
    <mergeCell ref="F47:F48"/>
    <mergeCell ref="E49:E50"/>
    <mergeCell ref="J45:J46"/>
    <mergeCell ref="G49:G50"/>
    <mergeCell ref="H49:H50"/>
    <mergeCell ref="J49:J50"/>
    <mergeCell ref="F53:F54"/>
    <mergeCell ref="H53:H54"/>
    <mergeCell ref="K43:K44"/>
    <mergeCell ref="D71:D72"/>
    <mergeCell ref="I67:I68"/>
    <mergeCell ref="F71:F72"/>
    <mergeCell ref="H65:H66"/>
    <mergeCell ref="K61:K62"/>
    <mergeCell ref="H47:H48"/>
    <mergeCell ref="G51:G52"/>
    <mergeCell ref="J47:J48"/>
    <mergeCell ref="I51:I52"/>
    <mergeCell ref="J71:J72"/>
    <mergeCell ref="D63:D64"/>
    <mergeCell ref="F57:F58"/>
    <mergeCell ref="K53:K54"/>
    <mergeCell ref="J51:J52"/>
    <mergeCell ref="F63:F64"/>
    <mergeCell ref="K55:K56"/>
    <mergeCell ref="H63:H64"/>
    <mergeCell ref="J57:J58"/>
    <mergeCell ref="I45:I46"/>
    <mergeCell ref="D49:D50"/>
    <mergeCell ref="H43:H44"/>
    <mergeCell ref="E55:E56"/>
    <mergeCell ref="D45:D46"/>
    <mergeCell ref="K71:K72"/>
    <mergeCell ref="H69:H70"/>
    <mergeCell ref="D53:D54"/>
    <mergeCell ref="B36:D36"/>
    <mergeCell ref="G63:G64"/>
    <mergeCell ref="F61:F62"/>
    <mergeCell ref="K57:K58"/>
    <mergeCell ref="D55:D56"/>
    <mergeCell ref="E57:E58"/>
    <mergeCell ref="K45:K46"/>
    <mergeCell ref="K59:K60"/>
    <mergeCell ref="J65:J66"/>
    <mergeCell ref="K47:K48"/>
    <mergeCell ref="J43:J44"/>
    <mergeCell ref="H67:H68"/>
    <mergeCell ref="E71:E72"/>
    <mergeCell ref="J67:J68"/>
    <mergeCell ref="J61:J62"/>
    <mergeCell ref="G71:G72"/>
    <mergeCell ref="I65:I66"/>
    <mergeCell ref="K67:K68"/>
    <mergeCell ref="H71:H72"/>
    <mergeCell ref="I69:I70"/>
    <mergeCell ref="I43:I44"/>
    <mergeCell ref="B43:B72"/>
    <mergeCell ref="H51:H52"/>
    <mergeCell ref="G55:G56"/>
    <mergeCell ref="H57:H58"/>
    <mergeCell ref="D43:D44"/>
    <mergeCell ref="F43:F44"/>
    <mergeCell ref="I63:I64"/>
    <mergeCell ref="F49:F50"/>
    <mergeCell ref="I71:I72"/>
    <mergeCell ref="F45:F46"/>
    <mergeCell ref="E65:E66"/>
    <mergeCell ref="H61:H62"/>
    <mergeCell ref="E67:E68"/>
    <mergeCell ref="G67:G68"/>
    <mergeCell ref="D65:D66"/>
    <mergeCell ref="G61:G62"/>
    <mergeCell ref="F65:F66"/>
    <mergeCell ref="I61:I62"/>
    <mergeCell ref="E51:E52"/>
    <mergeCell ref="E69:E70"/>
    <mergeCell ref="G69:G70"/>
    <mergeCell ref="E59:E60"/>
    <mergeCell ref="G53:G54"/>
    <mergeCell ref="D57:D58"/>
    <mergeCell ref="I53:I54"/>
    <mergeCell ref="F51:F52"/>
    <mergeCell ref="B22:D22"/>
    <mergeCell ref="K65:K66"/>
    <mergeCell ref="I49:I50"/>
    <mergeCell ref="K49:K50"/>
    <mergeCell ref="E43:E44"/>
    <mergeCell ref="J53:J54"/>
    <mergeCell ref="G43:G44"/>
    <mergeCell ref="G57:G58"/>
    <mergeCell ref="K51:K52"/>
    <mergeCell ref="F22:K22"/>
    <mergeCell ref="J63:J64"/>
    <mergeCell ref="E61:E62"/>
    <mergeCell ref="I55:I56"/>
    <mergeCell ref="E45:E46"/>
    <mergeCell ref="G45:G46"/>
    <mergeCell ref="G59:G60"/>
    <mergeCell ref="I59:I60"/>
    <mergeCell ref="E53:E54"/>
    <mergeCell ref="E47:E48"/>
    <mergeCell ref="D51:D52"/>
    <mergeCell ref="G47:G48"/>
    <mergeCell ref="D59:D60"/>
    <mergeCell ref="B31:D31"/>
    <mergeCell ref="I47:I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5"/>
  <sheetViews>
    <sheetView topLeftCell="A81" workbookViewId="0">
      <selection activeCell="C91" sqref="C91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5" width="9" customWidth="1"/>
    <col min="6" max="6" width="7" bestFit="1" customWidth="1"/>
    <col min="7" max="8" width="9" customWidth="1"/>
    <col min="9" max="9" width="12" customWidth="1"/>
    <col min="10" max="10" width="4" customWidth="1"/>
    <col min="11" max="13" width="10" customWidth="1"/>
    <col min="14" max="14" width="4" customWidth="1"/>
    <col min="15" max="15" width="12" customWidth="1"/>
    <col min="16" max="16" width="13" customWidth="1"/>
    <col min="17" max="17" width="4" customWidth="1"/>
    <col min="18" max="19" width="13" customWidth="1"/>
  </cols>
  <sheetData>
    <row r="1" spans="1:19" x14ac:dyDescent="0.2">
      <c r="A1" s="8"/>
      <c r="B1" s="9"/>
      <c r="C1" s="9"/>
      <c r="D1" s="9"/>
      <c r="E1" s="9"/>
      <c r="F1" s="9"/>
      <c r="G1" s="9"/>
      <c r="H1" s="9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48" customHeight="1" x14ac:dyDescent="0.2">
      <c r="A2" s="14" t="s">
        <v>122</v>
      </c>
      <c r="B2" s="15" t="s">
        <v>123</v>
      </c>
      <c r="C2" s="15" t="s">
        <v>124</v>
      </c>
      <c r="D2" s="15"/>
      <c r="E2" s="15" t="s">
        <v>125</v>
      </c>
      <c r="F2" s="15" t="s">
        <v>126</v>
      </c>
      <c r="G2" s="15"/>
      <c r="H2" s="15"/>
      <c r="I2" s="14" t="s">
        <v>127</v>
      </c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24" customHeight="1" x14ac:dyDescent="0.2">
      <c r="A3" s="8" t="s">
        <v>128</v>
      </c>
      <c r="B3" s="9">
        <v>2.5</v>
      </c>
      <c r="C3" s="9" t="s">
        <v>129</v>
      </c>
      <c r="D3" s="9"/>
      <c r="E3" s="9" t="s">
        <v>58</v>
      </c>
      <c r="F3" s="9">
        <v>2.5</v>
      </c>
      <c r="G3" s="9"/>
      <c r="H3" s="9"/>
      <c r="I3" s="8" t="s">
        <v>130</v>
      </c>
      <c r="J3" s="8" t="s">
        <v>16</v>
      </c>
      <c r="K3" s="8" t="s">
        <v>17</v>
      </c>
      <c r="L3" s="8" t="s">
        <v>64</v>
      </c>
      <c r="M3" s="8" t="s">
        <v>66</v>
      </c>
      <c r="N3" s="8" t="s">
        <v>117</v>
      </c>
      <c r="O3" s="8" t="s">
        <v>93</v>
      </c>
      <c r="P3" s="8" t="s">
        <v>94</v>
      </c>
      <c r="Q3" s="8" t="s">
        <v>131</v>
      </c>
      <c r="R3" s="8" t="s">
        <v>132</v>
      </c>
      <c r="S3" s="8"/>
    </row>
    <row r="4" spans="1:19" x14ac:dyDescent="0.2">
      <c r="A4" s="8" t="s">
        <v>133</v>
      </c>
      <c r="B4" s="9">
        <v>2</v>
      </c>
      <c r="C4" s="9" t="s">
        <v>129</v>
      </c>
      <c r="D4" s="9"/>
      <c r="E4" s="9" t="s">
        <v>83</v>
      </c>
      <c r="F4" s="9">
        <v>3.201562</v>
      </c>
      <c r="G4" s="9" t="s">
        <v>129</v>
      </c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36" customHeight="1" x14ac:dyDescent="0.2">
      <c r="A5" s="8"/>
      <c r="B5" s="9"/>
      <c r="C5" s="9"/>
      <c r="D5" s="9"/>
      <c r="E5" s="9"/>
      <c r="F5" s="9"/>
      <c r="G5" s="9"/>
      <c r="H5" s="9"/>
      <c r="I5" s="8" t="s">
        <v>71</v>
      </c>
      <c r="J5" s="8">
        <v>71.349999999999994</v>
      </c>
      <c r="K5" s="8">
        <v>106.09</v>
      </c>
      <c r="L5" s="8">
        <v>351.41482000000002</v>
      </c>
      <c r="M5" s="8">
        <v>168.45464000000001</v>
      </c>
      <c r="N5" s="8">
        <v>0</v>
      </c>
      <c r="O5" s="8">
        <v>-0.35184700000000002</v>
      </c>
      <c r="P5" s="8">
        <v>0.30924499999999999</v>
      </c>
      <c r="Q5" s="8" t="s">
        <v>134</v>
      </c>
      <c r="R5" s="8"/>
      <c r="S5" s="8"/>
    </row>
    <row r="6" spans="1:19" ht="36" customHeight="1" x14ac:dyDescent="0.2">
      <c r="A6" s="10"/>
      <c r="B6" s="11"/>
      <c r="C6" s="11"/>
      <c r="D6" s="11"/>
      <c r="E6" s="11"/>
      <c r="F6" s="11"/>
      <c r="G6" s="11"/>
      <c r="H6" s="11"/>
      <c r="I6" s="10" t="s">
        <v>72</v>
      </c>
      <c r="J6" s="8">
        <v>46.046999999999997</v>
      </c>
      <c r="K6" s="8">
        <v>148.238</v>
      </c>
      <c r="L6" s="8">
        <v>327.89605999999998</v>
      </c>
      <c r="M6" s="8">
        <v>144.93566000000001</v>
      </c>
      <c r="N6" s="8">
        <v>-2.2000000000000002</v>
      </c>
      <c r="O6" s="8">
        <v>-0.22680800000000001</v>
      </c>
      <c r="P6" s="8">
        <v>0.43529499999999999</v>
      </c>
      <c r="Q6" s="8" t="s">
        <v>134</v>
      </c>
      <c r="R6" s="16"/>
      <c r="S6" s="16"/>
    </row>
    <row r="7" spans="1:19" ht="24" customHeight="1" x14ac:dyDescent="0.2">
      <c r="A7" s="6"/>
      <c r="B7" s="7"/>
      <c r="C7" s="7"/>
      <c r="D7" s="7"/>
      <c r="E7" s="7"/>
      <c r="F7" s="7"/>
      <c r="G7" s="7"/>
      <c r="H7" s="7"/>
      <c r="I7" s="6" t="s">
        <v>73</v>
      </c>
      <c r="J7" s="8">
        <v>0.40799999999999997</v>
      </c>
      <c r="K7" s="8">
        <v>231.90600000000001</v>
      </c>
      <c r="L7" s="8">
        <v>287.98023999999998</v>
      </c>
      <c r="M7" s="8">
        <v>105.02732</v>
      </c>
      <c r="N7" s="8">
        <v>72.599999999999994</v>
      </c>
      <c r="O7" s="8">
        <v>5.7291000000000002E-2</v>
      </c>
      <c r="P7" s="8">
        <v>0.38778400000000002</v>
      </c>
      <c r="Q7" s="8" t="s">
        <v>135</v>
      </c>
      <c r="R7" s="8" t="s">
        <v>136</v>
      </c>
      <c r="S7" s="8"/>
    </row>
    <row r="8" spans="1:19" ht="36" customHeight="1" x14ac:dyDescent="0.2">
      <c r="A8" s="8"/>
      <c r="B8" s="9"/>
      <c r="C8" s="9"/>
      <c r="D8" s="9"/>
      <c r="E8" s="9"/>
      <c r="F8" s="9"/>
      <c r="G8" s="9"/>
      <c r="H8" s="9"/>
      <c r="I8" s="8" t="s">
        <v>74</v>
      </c>
      <c r="J8" s="8">
        <v>57.469000000000001</v>
      </c>
      <c r="K8" s="8">
        <v>324.40899999999999</v>
      </c>
      <c r="L8" s="8">
        <v>243.66184000000001</v>
      </c>
      <c r="M8" s="8">
        <v>60.707439999999998</v>
      </c>
      <c r="N8" s="8">
        <v>57.8</v>
      </c>
      <c r="O8" s="8">
        <v>0.30522199999999999</v>
      </c>
      <c r="P8" s="8">
        <v>0.27203699999999997</v>
      </c>
      <c r="Q8" s="8" t="s">
        <v>134</v>
      </c>
      <c r="R8" s="8"/>
      <c r="S8" s="8"/>
    </row>
    <row r="9" spans="1:19" ht="36" customHeight="1" x14ac:dyDescent="0.2">
      <c r="A9" s="8"/>
      <c r="B9" s="9"/>
      <c r="C9" s="9"/>
      <c r="D9" s="9"/>
      <c r="E9" s="9"/>
      <c r="F9" s="9"/>
      <c r="G9" s="9"/>
      <c r="H9" s="9"/>
      <c r="I9" s="8" t="s">
        <v>75</v>
      </c>
      <c r="J9" s="8">
        <v>116.992</v>
      </c>
      <c r="K9" s="8">
        <v>358.95800000000003</v>
      </c>
      <c r="L9" s="8">
        <v>215.42282</v>
      </c>
      <c r="M9" s="8">
        <v>32.470619999999997</v>
      </c>
      <c r="N9" s="8">
        <v>79.8</v>
      </c>
      <c r="O9" s="8">
        <v>0.388959</v>
      </c>
      <c r="P9" s="8">
        <v>0.1137</v>
      </c>
      <c r="Q9" s="8" t="s">
        <v>134</v>
      </c>
      <c r="R9" s="8"/>
      <c r="S9" s="8"/>
    </row>
    <row r="10" spans="1:19" ht="36" customHeight="1" x14ac:dyDescent="0.2">
      <c r="A10" s="8"/>
      <c r="B10" s="9"/>
      <c r="C10" s="9"/>
      <c r="D10" s="9"/>
      <c r="E10" s="9"/>
      <c r="F10" s="9"/>
      <c r="G10" s="9"/>
      <c r="H10" s="9"/>
      <c r="I10" s="8" t="s">
        <v>76</v>
      </c>
      <c r="J10" s="8">
        <v>240.304</v>
      </c>
      <c r="K10" s="8">
        <v>379.55099999999999</v>
      </c>
      <c r="L10" s="8">
        <v>169.74809999999999</v>
      </c>
      <c r="M10" s="8">
        <v>386.79757999999998</v>
      </c>
      <c r="N10" s="8">
        <v>96.6</v>
      </c>
      <c r="O10" s="8">
        <v>0.30604799999999999</v>
      </c>
      <c r="P10" s="8">
        <v>-0.14149400000000001</v>
      </c>
      <c r="Q10" s="8" t="s">
        <v>134</v>
      </c>
      <c r="R10" s="8"/>
      <c r="S10" s="8"/>
    </row>
    <row r="11" spans="1:19" ht="74" customHeight="1" x14ac:dyDescent="0.2">
      <c r="A11" s="14" t="s">
        <v>178</v>
      </c>
      <c r="B11" s="15"/>
      <c r="C11" s="15"/>
      <c r="D11" s="15"/>
      <c r="E11" s="15"/>
      <c r="F11" s="15"/>
      <c r="G11" s="15"/>
      <c r="H11" s="15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x14ac:dyDescent="0.2">
      <c r="A12" s="8" t="s">
        <v>61</v>
      </c>
      <c r="B12" s="9" t="s">
        <v>137</v>
      </c>
      <c r="C12" s="9" t="s">
        <v>138</v>
      </c>
      <c r="D12" s="9" t="s">
        <v>139</v>
      </c>
      <c r="E12" s="9" t="s">
        <v>140</v>
      </c>
      <c r="F12" s="9"/>
      <c r="G12" s="9" t="s">
        <v>141</v>
      </c>
      <c r="H12" s="9" t="s">
        <v>142</v>
      </c>
      <c r="I12" s="8" t="s">
        <v>143</v>
      </c>
      <c r="J12" s="8"/>
      <c r="K12" s="8" t="s">
        <v>144</v>
      </c>
      <c r="L12" s="8" t="s">
        <v>145</v>
      </c>
      <c r="M12" s="8" t="s">
        <v>146</v>
      </c>
      <c r="N12" s="8"/>
      <c r="O12" s="8" t="s">
        <v>147</v>
      </c>
      <c r="P12" s="8" t="s">
        <v>148</v>
      </c>
      <c r="Q12" s="8"/>
      <c r="R12" s="8"/>
      <c r="S12" s="8"/>
    </row>
    <row r="13" spans="1:19" x14ac:dyDescent="0.2">
      <c r="A13" s="8">
        <v>1</v>
      </c>
      <c r="B13" s="9" t="s">
        <v>71</v>
      </c>
      <c r="C13" s="9">
        <v>-1</v>
      </c>
      <c r="D13" s="9">
        <v>-0.35184700000000002</v>
      </c>
      <c r="E13" s="9">
        <v>0.30924499999999999</v>
      </c>
      <c r="F13" s="9"/>
      <c r="G13" s="9">
        <v>-1</v>
      </c>
      <c r="H13" s="9">
        <v>-1</v>
      </c>
      <c r="I13" s="8">
        <v>-1</v>
      </c>
      <c r="J13" s="8"/>
      <c r="K13" s="8">
        <v>3</v>
      </c>
      <c r="L13" s="8">
        <v>0.52136400000000005</v>
      </c>
      <c r="M13" s="8">
        <v>-1.1323240000000001</v>
      </c>
      <c r="N13" s="8"/>
      <c r="O13" s="8"/>
      <c r="P13" s="8"/>
      <c r="Q13" s="8"/>
      <c r="R13" s="8"/>
      <c r="S13" s="8"/>
    </row>
    <row r="14" spans="1:19" x14ac:dyDescent="0.2">
      <c r="A14" s="10"/>
      <c r="B14" s="11" t="s">
        <v>72</v>
      </c>
      <c r="C14" s="11">
        <v>-1</v>
      </c>
      <c r="D14" s="11">
        <v>-0.22680800000000001</v>
      </c>
      <c r="E14" s="11">
        <v>0.43529499999999999</v>
      </c>
      <c r="F14" s="11"/>
      <c r="G14" s="11">
        <v>-0.35184700000000002</v>
      </c>
      <c r="H14" s="11">
        <v>-0.22680800000000001</v>
      </c>
      <c r="I14" s="10">
        <v>5.7291000000000002E-2</v>
      </c>
      <c r="J14" s="8"/>
      <c r="K14" s="8">
        <v>0.52136400000000005</v>
      </c>
      <c r="L14" s="8">
        <v>0.17852000000000001</v>
      </c>
      <c r="M14" s="8">
        <v>-0.18531900000000001</v>
      </c>
      <c r="N14" s="8"/>
      <c r="O14" s="8">
        <v>1.743E-3</v>
      </c>
      <c r="P14" s="8" t="s">
        <v>149</v>
      </c>
      <c r="Q14" s="8"/>
      <c r="R14" s="8"/>
      <c r="S14" s="8"/>
    </row>
    <row r="15" spans="1:19" x14ac:dyDescent="0.2">
      <c r="A15" s="6"/>
      <c r="B15" s="7" t="s">
        <v>73</v>
      </c>
      <c r="C15" s="7">
        <v>-1</v>
      </c>
      <c r="D15" s="7">
        <v>5.7291000000000002E-2</v>
      </c>
      <c r="E15" s="7">
        <v>0.38778400000000002</v>
      </c>
      <c r="F15" s="7"/>
      <c r="G15" s="7">
        <v>0.30924499999999999</v>
      </c>
      <c r="H15" s="7">
        <v>0.43529499999999999</v>
      </c>
      <c r="I15" s="6">
        <v>0.38778400000000002</v>
      </c>
      <c r="J15" s="8"/>
      <c r="K15" s="8">
        <v>-1.1323240000000001</v>
      </c>
      <c r="L15" s="8">
        <v>-0.18531900000000001</v>
      </c>
      <c r="M15" s="8">
        <v>0.43549100000000002</v>
      </c>
      <c r="N15" s="8"/>
      <c r="O15" s="8"/>
      <c r="P15" s="8"/>
      <c r="Q15" s="8"/>
      <c r="R15" s="8"/>
      <c r="S15" s="8"/>
    </row>
    <row r="16" spans="1:19" x14ac:dyDescent="0.2">
      <c r="A16" s="8">
        <v>2</v>
      </c>
      <c r="B16" s="9" t="s">
        <v>71</v>
      </c>
      <c r="C16" s="9">
        <v>-1</v>
      </c>
      <c r="D16" s="9">
        <v>-0.35184700000000002</v>
      </c>
      <c r="E16" s="9">
        <v>0.30924499999999999</v>
      </c>
      <c r="F16" s="9"/>
      <c r="G16" s="9">
        <v>-1</v>
      </c>
      <c r="H16" s="9">
        <v>-1</v>
      </c>
      <c r="I16" s="12">
        <v>-1</v>
      </c>
      <c r="J16" s="8"/>
      <c r="K16" s="8">
        <v>3</v>
      </c>
      <c r="L16" s="8">
        <v>0.27343299999999998</v>
      </c>
      <c r="M16" s="8">
        <v>-1.0165770000000001</v>
      </c>
      <c r="N16" s="8"/>
      <c r="O16" s="8"/>
      <c r="P16" s="8"/>
      <c r="Q16" s="8"/>
      <c r="R16" s="8"/>
      <c r="S16" s="8"/>
    </row>
    <row r="17" spans="1:19" x14ac:dyDescent="0.2">
      <c r="A17" s="8"/>
      <c r="B17" s="9" t="s">
        <v>72</v>
      </c>
      <c r="C17" s="9">
        <v>-1</v>
      </c>
      <c r="D17" s="9">
        <v>-0.22680800000000001</v>
      </c>
      <c r="E17" s="9">
        <v>0.43529499999999999</v>
      </c>
      <c r="F17" s="9"/>
      <c r="G17" s="9">
        <v>-0.35184700000000002</v>
      </c>
      <c r="H17" s="9">
        <v>-0.22680800000000001</v>
      </c>
      <c r="I17" s="8">
        <v>0.30522199999999999</v>
      </c>
      <c r="J17" s="8"/>
      <c r="K17" s="8">
        <v>0.27343299999999998</v>
      </c>
      <c r="L17" s="8">
        <v>0.268399</v>
      </c>
      <c r="M17" s="8">
        <v>-0.124504</v>
      </c>
      <c r="N17" s="8"/>
      <c r="O17" s="8">
        <v>7.6519999999999999E-3</v>
      </c>
      <c r="P17" s="8" t="s">
        <v>150</v>
      </c>
      <c r="Q17" s="8"/>
      <c r="R17" s="8"/>
      <c r="S17" s="8"/>
    </row>
    <row r="18" spans="1:19" x14ac:dyDescent="0.2">
      <c r="A18" s="8"/>
      <c r="B18" s="9" t="s">
        <v>74</v>
      </c>
      <c r="C18" s="9">
        <v>-1</v>
      </c>
      <c r="D18" s="9">
        <v>0.30522199999999999</v>
      </c>
      <c r="E18" s="9">
        <v>0.27203699999999997</v>
      </c>
      <c r="F18" s="9"/>
      <c r="G18" s="9">
        <v>0.30924499999999999</v>
      </c>
      <c r="H18" s="9">
        <v>0.43529499999999999</v>
      </c>
      <c r="I18" s="8">
        <v>0.27203699999999997</v>
      </c>
      <c r="J18" s="8"/>
      <c r="K18" s="8">
        <v>-1.0165770000000001</v>
      </c>
      <c r="L18" s="8">
        <v>-0.124504</v>
      </c>
      <c r="M18" s="8">
        <v>0.35911799999999999</v>
      </c>
      <c r="N18" s="8"/>
      <c r="O18" s="8"/>
      <c r="P18" s="8"/>
      <c r="Q18" s="8"/>
      <c r="R18" s="8"/>
      <c r="S18" s="8"/>
    </row>
    <row r="19" spans="1:19" x14ac:dyDescent="0.2">
      <c r="A19" s="10">
        <v>3</v>
      </c>
      <c r="B19" s="11" t="s">
        <v>71</v>
      </c>
      <c r="C19" s="11">
        <v>-1</v>
      </c>
      <c r="D19" s="11">
        <v>-0.35184700000000002</v>
      </c>
      <c r="E19" s="11">
        <v>0.30924499999999999</v>
      </c>
      <c r="F19" s="11"/>
      <c r="G19" s="11">
        <v>-1</v>
      </c>
      <c r="H19" s="11">
        <v>-1</v>
      </c>
      <c r="I19" s="10">
        <v>-1</v>
      </c>
      <c r="J19" s="8"/>
      <c r="K19" s="8">
        <v>3</v>
      </c>
      <c r="L19" s="8">
        <v>0.189696</v>
      </c>
      <c r="M19" s="8">
        <v>-0.85824</v>
      </c>
      <c r="N19" s="8"/>
      <c r="O19" s="8"/>
      <c r="P19" s="8"/>
      <c r="Q19" s="8"/>
      <c r="R19" s="8"/>
      <c r="S19" s="8"/>
    </row>
    <row r="20" spans="1:19" x14ac:dyDescent="0.2">
      <c r="A20" s="6"/>
      <c r="B20" s="7" t="s">
        <v>72</v>
      </c>
      <c r="C20" s="7">
        <v>-1</v>
      </c>
      <c r="D20" s="7">
        <v>-0.22680800000000001</v>
      </c>
      <c r="E20" s="7">
        <v>0.43529499999999999</v>
      </c>
      <c r="F20" s="7"/>
      <c r="G20" s="7">
        <v>-0.35184700000000002</v>
      </c>
      <c r="H20" s="7">
        <v>-0.22680800000000001</v>
      </c>
      <c r="I20" s="6">
        <v>0.388959</v>
      </c>
      <c r="J20" s="8"/>
      <c r="K20" s="8">
        <v>0.189696</v>
      </c>
      <c r="L20" s="8">
        <v>0.32652700000000001</v>
      </c>
      <c r="M20" s="8">
        <v>-0.16331100000000001</v>
      </c>
      <c r="N20" s="8"/>
      <c r="O20" s="8">
        <v>1.3884000000000001E-2</v>
      </c>
      <c r="P20" s="8" t="s">
        <v>150</v>
      </c>
      <c r="Q20" s="8"/>
      <c r="R20" s="8"/>
      <c r="S20" s="8"/>
    </row>
    <row r="21" spans="1:19" x14ac:dyDescent="0.2">
      <c r="A21" s="8"/>
      <c r="B21" s="9" t="s">
        <v>75</v>
      </c>
      <c r="C21" s="9">
        <v>-1</v>
      </c>
      <c r="D21" s="9">
        <v>0.388959</v>
      </c>
      <c r="E21" s="9">
        <v>0.1137</v>
      </c>
      <c r="F21" s="9"/>
      <c r="G21" s="9">
        <v>0.30924499999999999</v>
      </c>
      <c r="H21" s="9">
        <v>0.43529499999999999</v>
      </c>
      <c r="I21" s="13">
        <v>0.1137</v>
      </c>
      <c r="J21" s="8"/>
      <c r="K21" s="8">
        <v>-0.85824</v>
      </c>
      <c r="L21" s="8">
        <v>-0.16331100000000001</v>
      </c>
      <c r="M21" s="8">
        <v>0.29804199999999997</v>
      </c>
      <c r="N21" s="8"/>
      <c r="O21" s="8"/>
      <c r="P21" s="8"/>
      <c r="Q21" s="8"/>
      <c r="R21" s="8"/>
      <c r="S21" s="8"/>
    </row>
    <row r="22" spans="1:19" x14ac:dyDescent="0.2">
      <c r="A22" s="8">
        <v>4</v>
      </c>
      <c r="B22" s="9" t="s">
        <v>71</v>
      </c>
      <c r="C22" s="9">
        <v>-1</v>
      </c>
      <c r="D22" s="9">
        <v>-0.35184700000000002</v>
      </c>
      <c r="E22" s="9">
        <v>0.30924499999999999</v>
      </c>
      <c r="F22" s="9"/>
      <c r="G22" s="9">
        <v>-1</v>
      </c>
      <c r="H22" s="9">
        <v>-1</v>
      </c>
      <c r="I22" s="12">
        <v>-1</v>
      </c>
      <c r="J22" s="8"/>
      <c r="K22" s="8">
        <v>3</v>
      </c>
      <c r="L22" s="8">
        <v>0.27260699999999999</v>
      </c>
      <c r="M22" s="8">
        <v>-0.60304599999999997</v>
      </c>
      <c r="N22" s="8"/>
      <c r="O22" s="8"/>
      <c r="P22" s="8"/>
      <c r="Q22" s="8"/>
      <c r="R22" s="8"/>
      <c r="S22" s="8"/>
    </row>
    <row r="23" spans="1:19" x14ac:dyDescent="0.2">
      <c r="A23" s="8"/>
      <c r="B23" s="9" t="s">
        <v>72</v>
      </c>
      <c r="C23" s="9">
        <v>-1</v>
      </c>
      <c r="D23" s="9">
        <v>-0.22680800000000001</v>
      </c>
      <c r="E23" s="9">
        <v>0.43529499999999999</v>
      </c>
      <c r="F23" s="9"/>
      <c r="G23" s="9">
        <v>-0.35184700000000002</v>
      </c>
      <c r="H23" s="9">
        <v>-0.22680800000000001</v>
      </c>
      <c r="I23" s="13">
        <v>0.30604799999999999</v>
      </c>
      <c r="J23" s="8"/>
      <c r="K23" s="8">
        <v>0.27260699999999999</v>
      </c>
      <c r="L23" s="8">
        <v>0.26890399999999998</v>
      </c>
      <c r="M23" s="8">
        <v>-0.25083899999999998</v>
      </c>
      <c r="N23" s="8"/>
      <c r="O23" s="8">
        <v>1.9401000000000002E-2</v>
      </c>
      <c r="P23" s="8" t="s">
        <v>150</v>
      </c>
      <c r="Q23" s="8"/>
      <c r="R23" s="8"/>
      <c r="S23" s="8"/>
    </row>
    <row r="24" spans="1:19" x14ac:dyDescent="0.2">
      <c r="A24" s="8"/>
      <c r="B24" s="9" t="s">
        <v>76</v>
      </c>
      <c r="C24" s="9">
        <v>-1</v>
      </c>
      <c r="D24" s="9">
        <v>0.30604799999999999</v>
      </c>
      <c r="E24" s="9">
        <v>-0.14149400000000001</v>
      </c>
      <c r="F24" s="9"/>
      <c r="G24" s="9">
        <v>0.30924499999999999</v>
      </c>
      <c r="H24" s="9">
        <v>0.43529499999999999</v>
      </c>
      <c r="I24" s="13">
        <v>-0.14149400000000001</v>
      </c>
      <c r="J24" s="8"/>
      <c r="K24" s="8">
        <v>-0.60304599999999997</v>
      </c>
      <c r="L24" s="8">
        <v>-0.25083899999999998</v>
      </c>
      <c r="M24" s="8">
        <v>0.30513499999999999</v>
      </c>
      <c r="N24" s="8"/>
      <c r="O24" s="8"/>
      <c r="P24" s="8"/>
      <c r="Q24" s="8"/>
      <c r="R24" s="8"/>
      <c r="S24" s="8"/>
    </row>
    <row r="25" spans="1:19" x14ac:dyDescent="0.2">
      <c r="A25" s="8">
        <v>5</v>
      </c>
      <c r="B25" s="9" t="s">
        <v>71</v>
      </c>
      <c r="C25" s="9">
        <v>-1</v>
      </c>
      <c r="D25" s="9">
        <v>-0.35184700000000002</v>
      </c>
      <c r="E25" s="9">
        <v>0.30924499999999999</v>
      </c>
      <c r="F25" s="9"/>
      <c r="G25" s="9">
        <v>-1</v>
      </c>
      <c r="H25" s="9">
        <v>-1</v>
      </c>
      <c r="I25" s="12">
        <v>-1</v>
      </c>
      <c r="J25" s="8"/>
      <c r="K25" s="8">
        <v>3</v>
      </c>
      <c r="L25" s="8">
        <v>-1.0666E-2</v>
      </c>
      <c r="M25" s="8">
        <v>-0.96906599999999998</v>
      </c>
      <c r="N25" s="8"/>
      <c r="O25" s="8"/>
      <c r="P25" s="8"/>
      <c r="Q25" s="8"/>
      <c r="R25" s="8"/>
      <c r="S25" s="8"/>
    </row>
    <row r="26" spans="1:19" x14ac:dyDescent="0.2">
      <c r="A26" s="8"/>
      <c r="B26" s="9" t="s">
        <v>73</v>
      </c>
      <c r="C26" s="9">
        <v>-1</v>
      </c>
      <c r="D26" s="9">
        <v>5.7291000000000002E-2</v>
      </c>
      <c r="E26" s="9">
        <v>0.38778400000000002</v>
      </c>
      <c r="F26" s="9"/>
      <c r="G26" s="9">
        <v>-0.35184700000000002</v>
      </c>
      <c r="H26" s="9">
        <v>5.7291000000000002E-2</v>
      </c>
      <c r="I26" s="13">
        <v>0.30522199999999999</v>
      </c>
      <c r="J26" s="8"/>
      <c r="K26" s="8">
        <v>-1.0666E-2</v>
      </c>
      <c r="L26" s="8">
        <v>0.22023899999999999</v>
      </c>
      <c r="M26" s="8">
        <v>-3.5590000000000001E-3</v>
      </c>
      <c r="N26" s="8"/>
      <c r="O26" s="8">
        <v>4.4660000000000004E-3</v>
      </c>
      <c r="P26" s="8" t="s">
        <v>149</v>
      </c>
      <c r="Q26" s="8"/>
      <c r="R26" s="8"/>
      <c r="S26" s="8"/>
    </row>
    <row r="27" spans="1:19" x14ac:dyDescent="0.2">
      <c r="A27" s="8"/>
      <c r="B27" s="9" t="s">
        <v>74</v>
      </c>
      <c r="C27" s="9">
        <v>-1</v>
      </c>
      <c r="D27" s="9">
        <v>0.30522199999999999</v>
      </c>
      <c r="E27" s="9">
        <v>0.27203699999999997</v>
      </c>
      <c r="F27" s="9"/>
      <c r="G27" s="9">
        <v>0.30924499999999999</v>
      </c>
      <c r="H27" s="9">
        <v>0.38778400000000002</v>
      </c>
      <c r="I27" s="13">
        <v>0.27203699999999997</v>
      </c>
      <c r="J27" s="8"/>
      <c r="K27" s="8">
        <v>-0.96906599999999998</v>
      </c>
      <c r="L27" s="8">
        <v>-3.5590000000000001E-3</v>
      </c>
      <c r="M27" s="8">
        <v>0.32001299999999999</v>
      </c>
      <c r="N27" s="8"/>
      <c r="O27" s="8"/>
      <c r="P27" s="8"/>
      <c r="Q27" s="8"/>
      <c r="R27" s="8"/>
      <c r="S27" s="8"/>
    </row>
    <row r="28" spans="1:19" x14ac:dyDescent="0.2">
      <c r="A28" s="8">
        <v>6</v>
      </c>
      <c r="B28" s="9" t="s">
        <v>71</v>
      </c>
      <c r="C28" s="9">
        <v>-1</v>
      </c>
      <c r="D28" s="9">
        <v>-0.35184700000000002</v>
      </c>
      <c r="E28" s="9">
        <v>0.30924499999999999</v>
      </c>
      <c r="F28" s="9"/>
      <c r="G28" s="9">
        <v>-1</v>
      </c>
      <c r="H28" s="9">
        <v>-1</v>
      </c>
      <c r="I28" s="12">
        <v>-1</v>
      </c>
      <c r="J28" s="8"/>
      <c r="K28" s="8">
        <v>3</v>
      </c>
      <c r="L28" s="8">
        <v>-9.4403000000000001E-2</v>
      </c>
      <c r="M28" s="8">
        <v>-0.810728</v>
      </c>
      <c r="N28" s="8"/>
      <c r="O28" s="8"/>
      <c r="P28" s="8"/>
      <c r="Q28" s="8"/>
      <c r="R28" s="8"/>
      <c r="S28" s="8"/>
    </row>
    <row r="29" spans="1:19" x14ac:dyDescent="0.2">
      <c r="A29" s="8"/>
      <c r="B29" s="9" t="s">
        <v>73</v>
      </c>
      <c r="C29" s="9">
        <v>-1</v>
      </c>
      <c r="D29" s="9">
        <v>5.7291000000000002E-2</v>
      </c>
      <c r="E29" s="9">
        <v>0.38778400000000002</v>
      </c>
      <c r="F29" s="9"/>
      <c r="G29" s="9">
        <v>-0.35184700000000002</v>
      </c>
      <c r="H29" s="9">
        <v>5.7291000000000002E-2</v>
      </c>
      <c r="I29" s="13">
        <v>0.388959</v>
      </c>
      <c r="J29" s="8"/>
      <c r="K29" s="8">
        <v>-9.4403000000000001E-2</v>
      </c>
      <c r="L29" s="8">
        <v>0.278368</v>
      </c>
      <c r="M29" s="8">
        <v>-4.2366000000000001E-2</v>
      </c>
      <c r="N29" s="8"/>
      <c r="O29" s="8">
        <v>1.9095999999999998E-2</v>
      </c>
      <c r="P29" s="8" t="s">
        <v>149</v>
      </c>
      <c r="Q29" s="8"/>
      <c r="R29" s="8"/>
      <c r="S29" s="8"/>
    </row>
    <row r="30" spans="1:19" x14ac:dyDescent="0.2">
      <c r="A30" s="8"/>
      <c r="B30" s="9" t="s">
        <v>75</v>
      </c>
      <c r="C30" s="9">
        <v>-1</v>
      </c>
      <c r="D30" s="9">
        <v>0.388959</v>
      </c>
      <c r="E30" s="9">
        <v>0.1137</v>
      </c>
      <c r="F30" s="9"/>
      <c r="G30" s="9">
        <v>0.30924499999999999</v>
      </c>
      <c r="H30" s="9">
        <v>0.38778400000000002</v>
      </c>
      <c r="I30" s="13">
        <v>0.1137</v>
      </c>
      <c r="J30" s="8"/>
      <c r="K30" s="8">
        <v>-0.810728</v>
      </c>
      <c r="L30" s="8">
        <v>-4.2366000000000001E-2</v>
      </c>
      <c r="M30" s="8">
        <v>0.258936</v>
      </c>
      <c r="N30" s="8"/>
      <c r="O30" s="8"/>
      <c r="P30" s="8"/>
      <c r="Q30" s="8"/>
      <c r="R30" s="8"/>
      <c r="S30" s="8"/>
    </row>
    <row r="31" spans="1:19" x14ac:dyDescent="0.2">
      <c r="A31" s="8">
        <v>7</v>
      </c>
      <c r="B31" s="9" t="s">
        <v>71</v>
      </c>
      <c r="C31" s="9">
        <v>-1</v>
      </c>
      <c r="D31" s="9">
        <v>-0.35184700000000002</v>
      </c>
      <c r="E31" s="9">
        <v>0.30924499999999999</v>
      </c>
      <c r="F31" s="9"/>
      <c r="G31" s="9">
        <v>-1</v>
      </c>
      <c r="H31" s="9">
        <v>-1</v>
      </c>
      <c r="I31" s="12">
        <v>-1</v>
      </c>
      <c r="J31" s="8"/>
      <c r="K31" s="8">
        <v>3</v>
      </c>
      <c r="L31" s="8">
        <v>-1.1492E-2</v>
      </c>
      <c r="M31" s="8">
        <v>-0.555535</v>
      </c>
      <c r="N31" s="8"/>
      <c r="O31" s="8"/>
      <c r="P31" s="8"/>
      <c r="Q31" s="8"/>
      <c r="R31" s="8"/>
      <c r="S31" s="8"/>
    </row>
    <row r="32" spans="1:19" x14ac:dyDescent="0.2">
      <c r="A32" s="8"/>
      <c r="B32" s="9" t="s">
        <v>73</v>
      </c>
      <c r="C32" s="9">
        <v>-1</v>
      </c>
      <c r="D32" s="9">
        <v>5.7291000000000002E-2</v>
      </c>
      <c r="E32" s="9">
        <v>0.38778400000000002</v>
      </c>
      <c r="F32" s="9"/>
      <c r="G32" s="9">
        <v>-0.35184700000000002</v>
      </c>
      <c r="H32" s="9">
        <v>5.7291000000000002E-2</v>
      </c>
      <c r="I32" s="13">
        <v>0.30604799999999999</v>
      </c>
      <c r="J32" s="8"/>
      <c r="K32" s="8">
        <v>-1.1492E-2</v>
      </c>
      <c r="L32" s="8">
        <v>0.220744</v>
      </c>
      <c r="M32" s="8">
        <v>-0.12989500000000001</v>
      </c>
      <c r="N32" s="8"/>
      <c r="O32" s="8">
        <v>5.5736000000000001E-2</v>
      </c>
      <c r="P32" s="8" t="s">
        <v>149</v>
      </c>
      <c r="Q32" s="8"/>
      <c r="R32" s="8"/>
      <c r="S32" s="8"/>
    </row>
    <row r="33" spans="1:19" x14ac:dyDescent="0.2">
      <c r="A33" s="8"/>
      <c r="B33" s="9" t="s">
        <v>76</v>
      </c>
      <c r="C33" s="9">
        <v>-1</v>
      </c>
      <c r="D33" s="9">
        <v>0.30604799999999999</v>
      </c>
      <c r="E33" s="9">
        <v>-0.14149400000000001</v>
      </c>
      <c r="F33" s="9"/>
      <c r="G33" s="9">
        <v>0.30924499999999999</v>
      </c>
      <c r="H33" s="9">
        <v>0.38778400000000002</v>
      </c>
      <c r="I33" s="12">
        <v>-0.14149400000000001</v>
      </c>
      <c r="J33" s="8"/>
      <c r="K33" s="8">
        <v>-0.555535</v>
      </c>
      <c r="L33" s="8">
        <v>-0.12989500000000001</v>
      </c>
      <c r="M33" s="8">
        <v>0.26602900000000002</v>
      </c>
      <c r="N33" s="8"/>
      <c r="O33" s="8"/>
      <c r="P33" s="8"/>
      <c r="Q33" s="8"/>
      <c r="R33" s="8"/>
      <c r="S33" s="8"/>
    </row>
    <row r="34" spans="1:19" x14ac:dyDescent="0.2">
      <c r="A34" s="8">
        <v>8</v>
      </c>
      <c r="B34" s="9" t="s">
        <v>71</v>
      </c>
      <c r="C34" s="9">
        <v>-1</v>
      </c>
      <c r="D34" s="9">
        <v>-0.35184700000000002</v>
      </c>
      <c r="E34" s="9">
        <v>0.30924499999999999</v>
      </c>
      <c r="F34" s="9"/>
      <c r="G34" s="9">
        <v>-1</v>
      </c>
      <c r="H34" s="9">
        <v>-1</v>
      </c>
      <c r="I34" s="13">
        <v>-1</v>
      </c>
      <c r="J34" s="8"/>
      <c r="K34" s="8">
        <v>3</v>
      </c>
      <c r="L34" s="8">
        <v>-0.34233400000000003</v>
      </c>
      <c r="M34" s="8">
        <v>-0.69498099999999996</v>
      </c>
      <c r="N34" s="8"/>
      <c r="O34" s="8"/>
      <c r="P34" s="8"/>
      <c r="Q34" s="8"/>
      <c r="R34" s="8"/>
      <c r="S34" s="8"/>
    </row>
    <row r="35" spans="1:19" x14ac:dyDescent="0.2">
      <c r="A35" s="8"/>
      <c r="B35" s="9" t="s">
        <v>74</v>
      </c>
      <c r="C35" s="9">
        <v>-1</v>
      </c>
      <c r="D35" s="9">
        <v>0.30522199999999999</v>
      </c>
      <c r="E35" s="9">
        <v>0.27203699999999997</v>
      </c>
      <c r="F35" s="9"/>
      <c r="G35" s="9">
        <v>-0.35184700000000002</v>
      </c>
      <c r="H35" s="9">
        <v>0.30522199999999999</v>
      </c>
      <c r="I35" s="13">
        <v>0.388959</v>
      </c>
      <c r="J35" s="8"/>
      <c r="K35" s="8">
        <v>-0.34233400000000003</v>
      </c>
      <c r="L35" s="8">
        <v>0.36824600000000002</v>
      </c>
      <c r="M35" s="8">
        <v>1.8449E-2</v>
      </c>
      <c r="N35" s="8"/>
      <c r="O35" s="8">
        <v>1.0185E-2</v>
      </c>
      <c r="P35" s="8" t="s">
        <v>150</v>
      </c>
      <c r="Q35" s="8"/>
      <c r="R35" s="8"/>
      <c r="S35" s="8"/>
    </row>
    <row r="36" spans="1:19" x14ac:dyDescent="0.2">
      <c r="A36" s="8"/>
      <c r="B36" s="9" t="s">
        <v>75</v>
      </c>
      <c r="C36" s="9">
        <v>-1</v>
      </c>
      <c r="D36" s="9">
        <v>0.388959</v>
      </c>
      <c r="E36" s="9">
        <v>0.1137</v>
      </c>
      <c r="F36" s="9"/>
      <c r="G36" s="9">
        <v>0.30924499999999999</v>
      </c>
      <c r="H36" s="9">
        <v>0.27203699999999997</v>
      </c>
      <c r="I36" s="12">
        <v>0.1137</v>
      </c>
      <c r="J36" s="8"/>
      <c r="K36" s="8">
        <v>-0.69498099999999996</v>
      </c>
      <c r="L36" s="8">
        <v>1.8449E-2</v>
      </c>
      <c r="M36" s="8">
        <v>0.182564</v>
      </c>
      <c r="N36" s="8"/>
      <c r="O36" s="8"/>
      <c r="P36" s="8"/>
      <c r="Q36" s="8"/>
      <c r="R36" s="8"/>
      <c r="S36" s="8"/>
    </row>
    <row r="37" spans="1:19" x14ac:dyDescent="0.2">
      <c r="A37" s="8">
        <v>9</v>
      </c>
      <c r="B37" s="9" t="s">
        <v>71</v>
      </c>
      <c r="C37" s="9">
        <v>-1</v>
      </c>
      <c r="D37" s="9">
        <v>-0.35184700000000002</v>
      </c>
      <c r="E37" s="9">
        <v>0.30924499999999999</v>
      </c>
      <c r="F37" s="9"/>
      <c r="G37" s="9">
        <v>-1</v>
      </c>
      <c r="H37" s="9">
        <v>-1</v>
      </c>
      <c r="I37" s="13">
        <v>-1</v>
      </c>
      <c r="J37" s="8"/>
      <c r="K37" s="8">
        <v>3</v>
      </c>
      <c r="L37" s="8">
        <v>-0.25942300000000001</v>
      </c>
      <c r="M37" s="8">
        <v>-0.43978800000000001</v>
      </c>
      <c r="N37" s="8"/>
      <c r="O37" s="8"/>
      <c r="P37" s="8"/>
      <c r="Q37" s="8"/>
      <c r="R37" s="8"/>
      <c r="S37" s="8"/>
    </row>
    <row r="38" spans="1:19" x14ac:dyDescent="0.2">
      <c r="A38" s="8"/>
      <c r="B38" s="9" t="s">
        <v>74</v>
      </c>
      <c r="C38" s="9">
        <v>-1</v>
      </c>
      <c r="D38" s="9">
        <v>0.30522199999999999</v>
      </c>
      <c r="E38" s="9">
        <v>0.27203699999999997</v>
      </c>
      <c r="F38" s="9"/>
      <c r="G38" s="9">
        <v>-0.35184700000000002</v>
      </c>
      <c r="H38" s="9">
        <v>0.30522199999999999</v>
      </c>
      <c r="I38" s="13">
        <v>0.30604799999999999</v>
      </c>
      <c r="J38" s="8"/>
      <c r="K38" s="8">
        <v>-0.25942300000000001</v>
      </c>
      <c r="L38" s="8">
        <v>0.31062200000000001</v>
      </c>
      <c r="M38" s="8">
        <v>-6.9079000000000002E-2</v>
      </c>
      <c r="N38" s="8"/>
      <c r="O38" s="8">
        <v>7.3814000000000005E-2</v>
      </c>
      <c r="P38" s="8" t="s">
        <v>150</v>
      </c>
      <c r="Q38" s="8"/>
      <c r="R38" s="8"/>
      <c r="S38" s="8"/>
    </row>
    <row r="39" spans="1:19" x14ac:dyDescent="0.2">
      <c r="A39" s="8"/>
      <c r="B39" s="9" t="s">
        <v>76</v>
      </c>
      <c r="C39" s="9">
        <v>-1</v>
      </c>
      <c r="D39" s="9">
        <v>0.30604799999999999</v>
      </c>
      <c r="E39" s="9">
        <v>-0.14149400000000001</v>
      </c>
      <c r="F39" s="9"/>
      <c r="G39" s="9">
        <v>0.30924499999999999</v>
      </c>
      <c r="H39" s="9">
        <v>0.27203699999999997</v>
      </c>
      <c r="I39" s="13">
        <v>-0.14149400000000001</v>
      </c>
      <c r="J39" s="8"/>
      <c r="K39" s="8">
        <v>-0.43978800000000001</v>
      </c>
      <c r="L39" s="8">
        <v>-6.9079000000000002E-2</v>
      </c>
      <c r="M39" s="8">
        <v>0.18965699999999999</v>
      </c>
      <c r="N39" s="8"/>
      <c r="O39" s="8"/>
      <c r="P39" s="8"/>
      <c r="Q39" s="8"/>
      <c r="R39" s="8"/>
      <c r="S39" s="8"/>
    </row>
    <row r="40" spans="1:19" x14ac:dyDescent="0.2">
      <c r="A40" s="8">
        <v>10</v>
      </c>
      <c r="B40" s="9" t="s">
        <v>71</v>
      </c>
      <c r="C40" s="9">
        <v>-1</v>
      </c>
      <c r="D40" s="9">
        <v>-0.35184700000000002</v>
      </c>
      <c r="E40" s="9">
        <v>0.30924499999999999</v>
      </c>
      <c r="F40" s="9"/>
      <c r="G40" s="9">
        <v>-1</v>
      </c>
      <c r="H40" s="9">
        <v>-1</v>
      </c>
      <c r="I40" s="12">
        <v>-1</v>
      </c>
      <c r="J40" s="8"/>
      <c r="K40" s="8">
        <v>3</v>
      </c>
      <c r="L40" s="8">
        <v>-0.34316000000000002</v>
      </c>
      <c r="M40" s="8">
        <v>-0.28144999999999998</v>
      </c>
      <c r="N40" s="8"/>
      <c r="O40" s="8"/>
      <c r="P40" s="8"/>
      <c r="Q40" s="8"/>
      <c r="R40" s="8"/>
      <c r="S40" s="8"/>
    </row>
    <row r="41" spans="1:19" x14ac:dyDescent="0.2">
      <c r="A41" s="8"/>
      <c r="B41" s="9" t="s">
        <v>75</v>
      </c>
      <c r="C41" s="9">
        <v>-1</v>
      </c>
      <c r="D41" s="9">
        <v>0.388959</v>
      </c>
      <c r="E41" s="9">
        <v>0.1137</v>
      </c>
      <c r="F41" s="9"/>
      <c r="G41" s="9">
        <v>-0.35184700000000002</v>
      </c>
      <c r="H41" s="9">
        <v>0.388959</v>
      </c>
      <c r="I41" s="13">
        <v>0.30604799999999999</v>
      </c>
      <c r="J41" s="8"/>
      <c r="K41" s="8">
        <v>-0.34316000000000002</v>
      </c>
      <c r="L41" s="8">
        <v>0.368751</v>
      </c>
      <c r="M41" s="8">
        <v>-0.107886</v>
      </c>
      <c r="N41" s="8"/>
      <c r="O41" s="8">
        <v>4.2132000000000003E-2</v>
      </c>
      <c r="P41" s="8" t="s">
        <v>150</v>
      </c>
      <c r="Q41" s="8"/>
      <c r="R41" s="8"/>
      <c r="S41" s="8"/>
    </row>
    <row r="42" spans="1:19" x14ac:dyDescent="0.2">
      <c r="A42" s="8"/>
      <c r="B42" s="9" t="s">
        <v>76</v>
      </c>
      <c r="C42" s="9">
        <v>-1</v>
      </c>
      <c r="D42" s="9">
        <v>0.30604799999999999</v>
      </c>
      <c r="E42" s="9">
        <v>-0.14149400000000001</v>
      </c>
      <c r="F42" s="9"/>
      <c r="G42" s="9">
        <v>0.30924499999999999</v>
      </c>
      <c r="H42" s="9">
        <v>0.1137</v>
      </c>
      <c r="I42" s="12">
        <v>-0.14149400000000001</v>
      </c>
      <c r="J42" s="8"/>
      <c r="K42" s="8">
        <v>-0.28144999999999998</v>
      </c>
      <c r="L42" s="8">
        <v>-0.107886</v>
      </c>
      <c r="M42" s="8">
        <v>0.128581</v>
      </c>
      <c r="N42" s="8"/>
      <c r="O42" s="8"/>
      <c r="P42" s="8"/>
      <c r="Q42" s="8"/>
      <c r="R42" s="8"/>
      <c r="S42" s="8"/>
    </row>
    <row r="43" spans="1:19" x14ac:dyDescent="0.2">
      <c r="A43" s="8">
        <v>11</v>
      </c>
      <c r="B43" s="9" t="s">
        <v>72</v>
      </c>
      <c r="C43" s="9">
        <v>-1</v>
      </c>
      <c r="D43" s="9">
        <v>-0.22680800000000001</v>
      </c>
      <c r="E43" s="9">
        <v>0.43529499999999999</v>
      </c>
      <c r="F43" s="9"/>
      <c r="G43" s="9">
        <v>-1</v>
      </c>
      <c r="H43" s="9">
        <v>-1</v>
      </c>
      <c r="I43" s="13">
        <v>-1</v>
      </c>
      <c r="J43" s="8"/>
      <c r="K43" s="8">
        <v>3</v>
      </c>
      <c r="L43" s="8">
        <v>-0.13570499999999999</v>
      </c>
      <c r="M43" s="8">
        <v>-1.095116</v>
      </c>
      <c r="N43" s="8"/>
      <c r="O43" s="8"/>
      <c r="P43" s="8"/>
      <c r="Q43" s="8"/>
      <c r="R43" s="8"/>
      <c r="S43" s="8"/>
    </row>
    <row r="44" spans="1:19" x14ac:dyDescent="0.2">
      <c r="A44" s="8"/>
      <c r="B44" s="9" t="s">
        <v>73</v>
      </c>
      <c r="C44" s="9">
        <v>-1</v>
      </c>
      <c r="D44" s="9">
        <v>5.7291000000000002E-2</v>
      </c>
      <c r="E44" s="9">
        <v>0.38778400000000002</v>
      </c>
      <c r="F44" s="9"/>
      <c r="G44" s="9">
        <v>-0.22680800000000001</v>
      </c>
      <c r="H44" s="9">
        <v>5.7291000000000002E-2</v>
      </c>
      <c r="I44" s="13">
        <v>0.30522199999999999</v>
      </c>
      <c r="J44" s="8"/>
      <c r="K44" s="8">
        <v>-0.13570499999999999</v>
      </c>
      <c r="L44" s="8">
        <v>0.14788399999999999</v>
      </c>
      <c r="M44" s="8">
        <v>6.5199999999999998E-3</v>
      </c>
      <c r="N44" s="8"/>
      <c r="O44" s="8">
        <v>4.4499999999999997E-4</v>
      </c>
      <c r="P44" s="8" t="s">
        <v>149</v>
      </c>
      <c r="Q44" s="8"/>
      <c r="R44" s="8"/>
      <c r="S44" s="8"/>
    </row>
    <row r="45" spans="1:19" x14ac:dyDescent="0.2">
      <c r="A45" s="8"/>
      <c r="B45" s="9" t="s">
        <v>74</v>
      </c>
      <c r="C45" s="9">
        <v>-1</v>
      </c>
      <c r="D45" s="9">
        <v>0.30522199999999999</v>
      </c>
      <c r="E45" s="9">
        <v>0.27203699999999997</v>
      </c>
      <c r="F45" s="9"/>
      <c r="G45" s="9">
        <v>0.43529499999999999</v>
      </c>
      <c r="H45" s="9">
        <v>0.38778400000000002</v>
      </c>
      <c r="I45" s="13">
        <v>0.27203699999999997</v>
      </c>
      <c r="J45" s="8"/>
      <c r="K45" s="8">
        <v>-1.095116</v>
      </c>
      <c r="L45" s="8">
        <v>6.5199999999999998E-3</v>
      </c>
      <c r="M45" s="8">
        <v>0.41386200000000001</v>
      </c>
      <c r="N45" s="8"/>
      <c r="O45" s="8"/>
      <c r="P45" s="8"/>
      <c r="Q45" s="8"/>
      <c r="R45" s="8"/>
      <c r="S45" s="8"/>
    </row>
    <row r="46" spans="1:19" x14ac:dyDescent="0.2">
      <c r="A46" s="8">
        <v>12</v>
      </c>
      <c r="B46" s="9" t="s">
        <v>72</v>
      </c>
      <c r="C46" s="9">
        <v>-1</v>
      </c>
      <c r="D46" s="9">
        <v>-0.22680800000000001</v>
      </c>
      <c r="E46" s="9">
        <v>0.43529499999999999</v>
      </c>
      <c r="F46" s="9"/>
      <c r="G46" s="9">
        <v>-1</v>
      </c>
      <c r="H46" s="9">
        <v>-1</v>
      </c>
      <c r="I46" s="12">
        <v>-1</v>
      </c>
      <c r="J46" s="8"/>
      <c r="K46" s="8">
        <v>3</v>
      </c>
      <c r="L46" s="8">
        <v>-0.219442</v>
      </c>
      <c r="M46" s="8">
        <v>-0.93677900000000003</v>
      </c>
      <c r="N46" s="8"/>
      <c r="O46" s="8"/>
      <c r="P46" s="8"/>
      <c r="Q46" s="8"/>
      <c r="R46" s="8"/>
      <c r="S46" s="8"/>
    </row>
    <row r="47" spans="1:19" x14ac:dyDescent="0.2">
      <c r="A47" s="8"/>
      <c r="B47" s="9" t="s">
        <v>73</v>
      </c>
      <c r="C47" s="9">
        <v>-1</v>
      </c>
      <c r="D47" s="9">
        <v>5.7291000000000002E-2</v>
      </c>
      <c r="E47" s="9">
        <v>0.38778400000000002</v>
      </c>
      <c r="F47" s="9"/>
      <c r="G47" s="9">
        <v>-0.22680800000000001</v>
      </c>
      <c r="H47" s="9">
        <v>5.7291000000000002E-2</v>
      </c>
      <c r="I47" s="13">
        <v>0.388959</v>
      </c>
      <c r="J47" s="8"/>
      <c r="K47" s="8">
        <v>-0.219442</v>
      </c>
      <c r="L47" s="8">
        <v>0.206013</v>
      </c>
      <c r="M47" s="8">
        <v>-3.2287000000000003E-2</v>
      </c>
      <c r="N47" s="8"/>
      <c r="O47" s="8">
        <v>3.8579999999999999E-3</v>
      </c>
      <c r="P47" s="8" t="s">
        <v>149</v>
      </c>
      <c r="Q47" s="8"/>
      <c r="R47" s="8"/>
      <c r="S47" s="8"/>
    </row>
    <row r="48" spans="1:19" x14ac:dyDescent="0.2">
      <c r="A48" s="8"/>
      <c r="B48" s="9" t="s">
        <v>75</v>
      </c>
      <c r="C48" s="9">
        <v>-1</v>
      </c>
      <c r="D48" s="9">
        <v>0.388959</v>
      </c>
      <c r="E48" s="9">
        <v>0.1137</v>
      </c>
      <c r="F48" s="9"/>
      <c r="G48" s="9">
        <v>0.43529499999999999</v>
      </c>
      <c r="H48" s="9">
        <v>0.38778400000000002</v>
      </c>
      <c r="I48" s="13">
        <v>0.1137</v>
      </c>
      <c r="J48" s="8"/>
      <c r="K48" s="8">
        <v>-0.93677900000000003</v>
      </c>
      <c r="L48" s="8">
        <v>-3.2287000000000003E-2</v>
      </c>
      <c r="M48" s="8">
        <v>0.35278599999999999</v>
      </c>
      <c r="N48" s="8"/>
      <c r="O48" s="8"/>
      <c r="P48" s="8"/>
      <c r="Q48" s="8"/>
      <c r="R48" s="8"/>
      <c r="S48" s="8"/>
    </row>
    <row r="49" spans="1:19" x14ac:dyDescent="0.2">
      <c r="A49" s="8">
        <v>13</v>
      </c>
      <c r="B49" s="9" t="s">
        <v>72</v>
      </c>
      <c r="C49" s="9">
        <v>-1</v>
      </c>
      <c r="D49" s="9">
        <v>-0.22680800000000001</v>
      </c>
      <c r="E49" s="9">
        <v>0.43529499999999999</v>
      </c>
      <c r="F49" s="9"/>
      <c r="G49" s="9">
        <v>-1</v>
      </c>
      <c r="H49" s="9">
        <v>-1</v>
      </c>
      <c r="I49" s="13">
        <v>-1</v>
      </c>
      <c r="J49" s="8"/>
      <c r="K49" s="8">
        <v>3</v>
      </c>
      <c r="L49" s="8">
        <v>-0.13653100000000001</v>
      </c>
      <c r="M49" s="8">
        <v>-0.681585</v>
      </c>
      <c r="N49" s="8"/>
      <c r="O49" s="8"/>
      <c r="P49" s="8"/>
      <c r="Q49" s="8"/>
      <c r="R49" s="8"/>
      <c r="S49" s="8"/>
    </row>
    <row r="50" spans="1:19" x14ac:dyDescent="0.2">
      <c r="A50" s="8"/>
      <c r="B50" s="9" t="s">
        <v>73</v>
      </c>
      <c r="C50" s="9">
        <v>-1</v>
      </c>
      <c r="D50" s="9">
        <v>5.7291000000000002E-2</v>
      </c>
      <c r="E50" s="9">
        <v>0.38778400000000002</v>
      </c>
      <c r="F50" s="9"/>
      <c r="G50" s="9">
        <v>-0.22680800000000001</v>
      </c>
      <c r="H50" s="9">
        <v>5.7291000000000002E-2</v>
      </c>
      <c r="I50" s="12">
        <v>0.30604799999999999</v>
      </c>
      <c r="J50" s="8"/>
      <c r="K50" s="8">
        <v>-0.13653100000000001</v>
      </c>
      <c r="L50" s="8">
        <v>0.14838899999999999</v>
      </c>
      <c r="M50" s="8">
        <v>-0.11981600000000001</v>
      </c>
      <c r="N50" s="8"/>
      <c r="O50" s="8">
        <v>1.9196000000000001E-2</v>
      </c>
      <c r="P50" s="8" t="s">
        <v>149</v>
      </c>
      <c r="Q50" s="8"/>
      <c r="R50" s="8"/>
      <c r="S50" s="8"/>
    </row>
    <row r="51" spans="1:19" x14ac:dyDescent="0.2">
      <c r="A51" s="8"/>
      <c r="B51" s="9" t="s">
        <v>76</v>
      </c>
      <c r="C51" s="9">
        <v>-1</v>
      </c>
      <c r="D51" s="9">
        <v>0.30604799999999999</v>
      </c>
      <c r="E51" s="9">
        <v>-0.14149400000000001</v>
      </c>
      <c r="F51" s="9"/>
      <c r="G51" s="9">
        <v>0.43529499999999999</v>
      </c>
      <c r="H51" s="9">
        <v>0.38778400000000002</v>
      </c>
      <c r="I51" s="8">
        <v>-0.14149400000000001</v>
      </c>
      <c r="J51" s="8"/>
      <c r="K51" s="8">
        <v>-0.681585</v>
      </c>
      <c r="L51" s="8">
        <v>-0.11981600000000001</v>
      </c>
      <c r="M51" s="8">
        <v>0.359879</v>
      </c>
      <c r="N51" s="8"/>
      <c r="O51" s="8"/>
      <c r="P51" s="8"/>
      <c r="Q51" s="8"/>
      <c r="R51" s="8"/>
      <c r="S51" s="8"/>
    </row>
    <row r="52" spans="1:19" x14ac:dyDescent="0.2">
      <c r="A52" s="10">
        <v>14</v>
      </c>
      <c r="B52" s="11" t="s">
        <v>72</v>
      </c>
      <c r="C52" s="11">
        <v>-1</v>
      </c>
      <c r="D52" s="11">
        <v>-0.22680800000000001</v>
      </c>
      <c r="E52" s="11">
        <v>0.43529499999999999</v>
      </c>
      <c r="F52" s="11"/>
      <c r="G52" s="11">
        <v>-1</v>
      </c>
      <c r="H52" s="11">
        <v>-1</v>
      </c>
      <c r="I52" s="10">
        <v>-1</v>
      </c>
      <c r="J52" s="8"/>
      <c r="K52" s="8">
        <v>3</v>
      </c>
      <c r="L52" s="8">
        <v>-0.46737299999999998</v>
      </c>
      <c r="M52" s="8">
        <v>-0.82103199999999998</v>
      </c>
      <c r="N52" s="8"/>
      <c r="O52" s="8"/>
      <c r="P52" s="8"/>
      <c r="Q52" s="8"/>
      <c r="R52" s="8"/>
      <c r="S52" s="8"/>
    </row>
    <row r="53" spans="1:19" x14ac:dyDescent="0.2">
      <c r="A53" s="6"/>
      <c r="B53" s="7" t="s">
        <v>74</v>
      </c>
      <c r="C53" s="7">
        <v>-1</v>
      </c>
      <c r="D53" s="7">
        <v>0.30522199999999999</v>
      </c>
      <c r="E53" s="7">
        <v>0.27203699999999997</v>
      </c>
      <c r="F53" s="7"/>
      <c r="G53" s="7">
        <v>-0.22680800000000001</v>
      </c>
      <c r="H53" s="7">
        <v>0.30522199999999999</v>
      </c>
      <c r="I53" s="6">
        <v>0.388959</v>
      </c>
      <c r="J53" s="8"/>
      <c r="K53" s="8">
        <v>-0.46737299999999998</v>
      </c>
      <c r="L53" s="8">
        <v>0.29589100000000002</v>
      </c>
      <c r="M53" s="8">
        <v>2.8528000000000001E-2</v>
      </c>
      <c r="N53" s="8"/>
      <c r="O53" s="8">
        <v>4.9800000000000001E-3</v>
      </c>
      <c r="P53" s="8" t="s">
        <v>150</v>
      </c>
      <c r="Q53" s="8"/>
      <c r="R53" s="8"/>
      <c r="S53" s="8"/>
    </row>
    <row r="54" spans="1:19" x14ac:dyDescent="0.2">
      <c r="A54" s="8"/>
      <c r="B54" s="9" t="s">
        <v>75</v>
      </c>
      <c r="C54" s="9">
        <v>-1</v>
      </c>
      <c r="D54" s="9">
        <v>0.388959</v>
      </c>
      <c r="E54" s="9">
        <v>0.1137</v>
      </c>
      <c r="F54" s="9"/>
      <c r="G54" s="9">
        <v>0.43529499999999999</v>
      </c>
      <c r="H54" s="9">
        <v>0.27203699999999997</v>
      </c>
      <c r="I54" s="8">
        <v>0.1137</v>
      </c>
      <c r="J54" s="8"/>
      <c r="K54" s="8">
        <v>-0.82103199999999998</v>
      </c>
      <c r="L54" s="8">
        <v>2.8528000000000001E-2</v>
      </c>
      <c r="M54" s="8">
        <v>0.27641399999999999</v>
      </c>
      <c r="N54" s="8"/>
      <c r="O54" s="8"/>
      <c r="P54" s="8"/>
      <c r="Q54" s="8"/>
      <c r="R54" s="8"/>
      <c r="S54" s="8"/>
    </row>
    <row r="55" spans="1:19" x14ac:dyDescent="0.2">
      <c r="A55" s="8">
        <v>15</v>
      </c>
      <c r="B55" s="9" t="s">
        <v>72</v>
      </c>
      <c r="C55" s="9">
        <v>-1</v>
      </c>
      <c r="D55" s="9">
        <v>-0.22680800000000001</v>
      </c>
      <c r="E55" s="9">
        <v>0.43529499999999999</v>
      </c>
      <c r="F55" s="9"/>
      <c r="G55" s="9">
        <v>-1</v>
      </c>
      <c r="H55" s="9">
        <v>-1</v>
      </c>
      <c r="I55" s="8">
        <v>-1</v>
      </c>
      <c r="J55" s="8"/>
      <c r="K55" s="8">
        <v>3</v>
      </c>
      <c r="L55" s="8">
        <v>-0.38446200000000003</v>
      </c>
      <c r="M55" s="8">
        <v>-0.56583799999999995</v>
      </c>
      <c r="N55" s="8"/>
      <c r="O55" s="8"/>
      <c r="P55" s="8"/>
      <c r="Q55" s="8"/>
      <c r="R55" s="8"/>
      <c r="S55" s="8"/>
    </row>
    <row r="56" spans="1:19" x14ac:dyDescent="0.2">
      <c r="A56" s="10"/>
      <c r="B56" s="11" t="s">
        <v>74</v>
      </c>
      <c r="C56" s="11">
        <v>-1</v>
      </c>
      <c r="D56" s="11">
        <v>0.30522199999999999</v>
      </c>
      <c r="E56" s="11">
        <v>0.27203699999999997</v>
      </c>
      <c r="F56" s="11"/>
      <c r="G56" s="11">
        <v>-0.22680800000000001</v>
      </c>
      <c r="H56" s="11">
        <v>0.30522199999999999</v>
      </c>
      <c r="I56" s="10">
        <v>0.30604799999999999</v>
      </c>
      <c r="J56" s="8"/>
      <c r="K56" s="8">
        <v>-0.38446200000000003</v>
      </c>
      <c r="L56" s="8">
        <v>0.23826800000000001</v>
      </c>
      <c r="M56" s="8">
        <v>-5.9000999999999998E-2</v>
      </c>
      <c r="N56" s="8"/>
      <c r="O56" s="8">
        <v>4.8344999999999999E-2</v>
      </c>
      <c r="P56" s="8" t="s">
        <v>150</v>
      </c>
      <c r="Q56" s="8"/>
      <c r="R56" s="8"/>
      <c r="S56" s="8"/>
    </row>
    <row r="57" spans="1:19" x14ac:dyDescent="0.2">
      <c r="A57" s="6"/>
      <c r="B57" s="7" t="s">
        <v>76</v>
      </c>
      <c r="C57" s="7">
        <v>-1</v>
      </c>
      <c r="D57" s="7">
        <v>0.30604799999999999</v>
      </c>
      <c r="E57" s="7">
        <v>-0.14149400000000001</v>
      </c>
      <c r="F57" s="7"/>
      <c r="G57" s="7">
        <v>0.43529499999999999</v>
      </c>
      <c r="H57" s="7">
        <v>0.27203699999999997</v>
      </c>
      <c r="I57" s="6">
        <v>-0.14149400000000001</v>
      </c>
      <c r="J57" s="8"/>
      <c r="K57" s="8">
        <v>-0.56583799999999995</v>
      </c>
      <c r="L57" s="8">
        <v>-5.9000999999999998E-2</v>
      </c>
      <c r="M57" s="8">
        <v>0.28350700000000001</v>
      </c>
      <c r="N57" s="8"/>
      <c r="O57" s="8"/>
      <c r="P57" s="8"/>
      <c r="Q57" s="8"/>
      <c r="R57" s="8"/>
      <c r="S57" s="8"/>
    </row>
    <row r="58" spans="1:19" x14ac:dyDescent="0.2">
      <c r="A58" s="8">
        <v>16</v>
      </c>
      <c r="B58" s="9" t="s">
        <v>72</v>
      </c>
      <c r="C58" s="9">
        <v>-1</v>
      </c>
      <c r="D58" s="9">
        <v>-0.22680800000000001</v>
      </c>
      <c r="E58" s="9">
        <v>0.43529499999999999</v>
      </c>
      <c r="F58" s="9"/>
      <c r="G58" s="9">
        <v>-1</v>
      </c>
      <c r="H58" s="9">
        <v>-1</v>
      </c>
      <c r="I58" s="13">
        <v>-1</v>
      </c>
      <c r="J58" s="8"/>
      <c r="K58" s="8">
        <v>3</v>
      </c>
      <c r="L58" s="8">
        <v>-0.46819899999999998</v>
      </c>
      <c r="M58" s="8">
        <v>-0.407501</v>
      </c>
      <c r="N58" s="8"/>
      <c r="O58" s="8"/>
      <c r="P58" s="8"/>
      <c r="Q58" s="8"/>
      <c r="R58" s="8"/>
      <c r="S58" s="8"/>
    </row>
    <row r="59" spans="1:19" x14ac:dyDescent="0.2">
      <c r="A59" s="8"/>
      <c r="B59" s="9" t="s">
        <v>75</v>
      </c>
      <c r="C59" s="9">
        <v>-1</v>
      </c>
      <c r="D59" s="9">
        <v>0.388959</v>
      </c>
      <c r="E59" s="9">
        <v>0.1137</v>
      </c>
      <c r="F59" s="9"/>
      <c r="G59" s="9">
        <v>-0.22680800000000001</v>
      </c>
      <c r="H59" s="9">
        <v>0.388959</v>
      </c>
      <c r="I59" s="8">
        <v>0.30604799999999999</v>
      </c>
      <c r="J59" s="8"/>
      <c r="K59" s="8">
        <v>-0.46819899999999998</v>
      </c>
      <c r="L59" s="8">
        <v>0.29639599999999999</v>
      </c>
      <c r="M59" s="8">
        <v>-9.7808000000000006E-2</v>
      </c>
      <c r="N59" s="8"/>
      <c r="O59" s="8">
        <v>3.3784000000000002E-2</v>
      </c>
      <c r="P59" s="8" t="s">
        <v>150</v>
      </c>
      <c r="Q59" s="8"/>
      <c r="R59" s="8"/>
      <c r="S59" s="8"/>
    </row>
    <row r="60" spans="1:19" x14ac:dyDescent="0.2">
      <c r="A60" s="8"/>
      <c r="B60" s="9" t="s">
        <v>76</v>
      </c>
      <c r="C60" s="9">
        <v>-1</v>
      </c>
      <c r="D60" s="9">
        <v>0.30604799999999999</v>
      </c>
      <c r="E60" s="9">
        <v>-0.14149400000000001</v>
      </c>
      <c r="F60" s="9"/>
      <c r="G60" s="9">
        <v>0.43529499999999999</v>
      </c>
      <c r="H60" s="9">
        <v>0.1137</v>
      </c>
      <c r="I60" s="8">
        <v>-0.14149400000000001</v>
      </c>
      <c r="J60" s="8"/>
      <c r="K60" s="8">
        <v>-0.407501</v>
      </c>
      <c r="L60" s="8">
        <v>-9.7808000000000006E-2</v>
      </c>
      <c r="M60" s="8">
        <v>0.22242999999999999</v>
      </c>
      <c r="N60" s="8"/>
      <c r="O60" s="8"/>
      <c r="P60" s="8"/>
      <c r="Q60" s="8"/>
      <c r="R60" s="8"/>
      <c r="S60" s="8"/>
    </row>
    <row r="61" spans="1:19" x14ac:dyDescent="0.2">
      <c r="A61" s="10">
        <v>17</v>
      </c>
      <c r="B61" s="11" t="s">
        <v>73</v>
      </c>
      <c r="C61" s="11">
        <v>-1</v>
      </c>
      <c r="D61" s="11">
        <v>5.7291000000000002E-2</v>
      </c>
      <c r="E61" s="11">
        <v>0.38778400000000002</v>
      </c>
      <c r="F61" s="11"/>
      <c r="G61" s="11">
        <v>-1</v>
      </c>
      <c r="H61" s="11">
        <v>-1</v>
      </c>
      <c r="I61" s="10">
        <v>-1</v>
      </c>
      <c r="J61" s="8"/>
      <c r="K61" s="8">
        <v>3</v>
      </c>
      <c r="L61" s="8">
        <v>-0.75147200000000003</v>
      </c>
      <c r="M61" s="8">
        <v>-0.77352100000000001</v>
      </c>
      <c r="N61" s="8"/>
      <c r="O61" s="8"/>
      <c r="P61" s="8"/>
      <c r="Q61" s="8"/>
      <c r="R61" s="8"/>
      <c r="S61" s="8"/>
    </row>
    <row r="62" spans="1:19" x14ac:dyDescent="0.2">
      <c r="A62" s="8"/>
      <c r="B62" s="9" t="s">
        <v>74</v>
      </c>
      <c r="C62" s="9">
        <v>-1</v>
      </c>
      <c r="D62" s="9">
        <v>0.30522199999999999</v>
      </c>
      <c r="E62" s="9">
        <v>0.27203699999999997</v>
      </c>
      <c r="F62" s="9"/>
      <c r="G62" s="9">
        <v>5.7291000000000002E-2</v>
      </c>
      <c r="H62" s="9">
        <v>0.30522199999999999</v>
      </c>
      <c r="I62" s="8">
        <v>0.388959</v>
      </c>
      <c r="J62" s="8"/>
      <c r="K62" s="8">
        <v>-0.75147200000000003</v>
      </c>
      <c r="L62" s="8">
        <v>0.24773200000000001</v>
      </c>
      <c r="M62" s="8">
        <v>0.14947299999999999</v>
      </c>
      <c r="N62" s="8"/>
      <c r="O62" s="8">
        <v>8.7399999999999999E-4</v>
      </c>
      <c r="P62" s="8" t="s">
        <v>149</v>
      </c>
      <c r="Q62" s="8"/>
      <c r="R62" s="8"/>
      <c r="S62" s="8"/>
    </row>
    <row r="63" spans="1:19" x14ac:dyDescent="0.2">
      <c r="A63" s="8"/>
      <c r="B63" s="9" t="s">
        <v>75</v>
      </c>
      <c r="C63" s="9">
        <v>-1</v>
      </c>
      <c r="D63" s="9">
        <v>0.388959</v>
      </c>
      <c r="E63" s="9">
        <v>0.1137</v>
      </c>
      <c r="F63" s="9"/>
      <c r="G63" s="9">
        <v>0.38778400000000002</v>
      </c>
      <c r="H63" s="9">
        <v>0.27203699999999997</v>
      </c>
      <c r="I63" s="8">
        <v>0.1137</v>
      </c>
      <c r="J63" s="8"/>
      <c r="K63" s="8">
        <v>-0.77352100000000001</v>
      </c>
      <c r="L63" s="8">
        <v>0.14947299999999999</v>
      </c>
      <c r="M63" s="8">
        <v>0.23730799999999999</v>
      </c>
      <c r="N63" s="8"/>
      <c r="O63" s="8"/>
      <c r="P63" s="8"/>
      <c r="Q63" s="8"/>
      <c r="R63" s="8"/>
      <c r="S63" s="8"/>
    </row>
    <row r="64" spans="1:19" x14ac:dyDescent="0.2">
      <c r="A64" s="8">
        <v>18</v>
      </c>
      <c r="B64" s="9" t="s">
        <v>73</v>
      </c>
      <c r="C64" s="9">
        <v>-1</v>
      </c>
      <c r="D64" s="9">
        <v>5.7291000000000002E-2</v>
      </c>
      <c r="E64" s="9">
        <v>0.38778400000000002</v>
      </c>
      <c r="F64" s="9"/>
      <c r="G64" s="9">
        <v>-1</v>
      </c>
      <c r="H64" s="9">
        <v>-1</v>
      </c>
      <c r="I64" s="8">
        <v>-1</v>
      </c>
      <c r="J64" s="8"/>
      <c r="K64" s="8">
        <v>3</v>
      </c>
      <c r="L64" s="8">
        <v>-0.66856099999999996</v>
      </c>
      <c r="M64" s="8">
        <v>-0.51832699999999998</v>
      </c>
      <c r="N64" s="8"/>
      <c r="O64" s="8"/>
      <c r="P64" s="8"/>
      <c r="Q64" s="8"/>
      <c r="R64" s="8"/>
      <c r="S64" s="8"/>
    </row>
    <row r="65" spans="1:19" x14ac:dyDescent="0.2">
      <c r="A65" s="8"/>
      <c r="B65" s="9" t="s">
        <v>74</v>
      </c>
      <c r="C65" s="9">
        <v>-1</v>
      </c>
      <c r="D65" s="9">
        <v>0.30522199999999999</v>
      </c>
      <c r="E65" s="9">
        <v>0.27203699999999997</v>
      </c>
      <c r="F65" s="9"/>
      <c r="G65" s="9">
        <v>5.7291000000000002E-2</v>
      </c>
      <c r="H65" s="9">
        <v>0.30522199999999999</v>
      </c>
      <c r="I65" s="8">
        <v>0.30604799999999999</v>
      </c>
      <c r="J65" s="8"/>
      <c r="K65" s="8">
        <v>-0.66856099999999996</v>
      </c>
      <c r="L65" s="8">
        <v>0.190108</v>
      </c>
      <c r="M65" s="8">
        <v>6.1943999999999999E-2</v>
      </c>
      <c r="N65" s="8"/>
      <c r="O65" s="8">
        <v>1.0492E-2</v>
      </c>
      <c r="P65" s="8" t="s">
        <v>149</v>
      </c>
      <c r="Q65" s="8"/>
      <c r="R65" s="8"/>
      <c r="S65" s="8"/>
    </row>
    <row r="66" spans="1:19" x14ac:dyDescent="0.2">
      <c r="A66" s="8"/>
      <c r="B66" s="9" t="s">
        <v>76</v>
      </c>
      <c r="C66" s="9">
        <v>-1</v>
      </c>
      <c r="D66" s="9">
        <v>0.30604799999999999</v>
      </c>
      <c r="E66" s="9">
        <v>-0.14149400000000001</v>
      </c>
      <c r="F66" s="9"/>
      <c r="G66" s="9">
        <v>0.38778400000000002</v>
      </c>
      <c r="H66" s="9">
        <v>0.27203699999999997</v>
      </c>
      <c r="I66" s="8">
        <v>-0.14149400000000001</v>
      </c>
      <c r="J66" s="8"/>
      <c r="K66" s="8">
        <v>-0.51832699999999998</v>
      </c>
      <c r="L66" s="8">
        <v>6.1943999999999999E-2</v>
      </c>
      <c r="M66" s="8">
        <v>0.24440100000000001</v>
      </c>
      <c r="N66" s="8"/>
      <c r="O66" s="8"/>
      <c r="P66" s="8"/>
      <c r="Q66" s="8"/>
      <c r="R66" s="8"/>
      <c r="S66" s="8"/>
    </row>
    <row r="67" spans="1:19" x14ac:dyDescent="0.2">
      <c r="A67" s="8">
        <v>19</v>
      </c>
      <c r="B67" s="9" t="s">
        <v>73</v>
      </c>
      <c r="C67" s="9">
        <v>-1</v>
      </c>
      <c r="D67" s="9">
        <v>5.7291000000000002E-2</v>
      </c>
      <c r="E67" s="9">
        <v>0.38778400000000002</v>
      </c>
      <c r="F67" s="9"/>
      <c r="G67" s="9">
        <v>-1</v>
      </c>
      <c r="H67" s="9">
        <v>-1</v>
      </c>
      <c r="I67" s="8">
        <v>-1</v>
      </c>
      <c r="J67" s="8"/>
      <c r="K67" s="8">
        <v>3</v>
      </c>
      <c r="L67" s="8">
        <v>-0.75229800000000002</v>
      </c>
      <c r="M67" s="8">
        <v>-0.359989</v>
      </c>
      <c r="N67" s="8"/>
      <c r="O67" s="8"/>
      <c r="P67" s="8"/>
      <c r="Q67" s="8"/>
      <c r="R67" s="8"/>
      <c r="S67" s="8"/>
    </row>
    <row r="68" spans="1:19" x14ac:dyDescent="0.2">
      <c r="A68" s="8"/>
      <c r="B68" s="9" t="s">
        <v>75</v>
      </c>
      <c r="C68" s="9">
        <v>-1</v>
      </c>
      <c r="D68" s="9">
        <v>0.388959</v>
      </c>
      <c r="E68" s="9">
        <v>0.1137</v>
      </c>
      <c r="F68" s="9"/>
      <c r="G68" s="9">
        <v>5.7291000000000002E-2</v>
      </c>
      <c r="H68" s="9">
        <v>0.388959</v>
      </c>
      <c r="I68" s="8">
        <v>0.30604799999999999</v>
      </c>
      <c r="J68" s="8"/>
      <c r="K68" s="8">
        <v>-0.75229800000000002</v>
      </c>
      <c r="L68" s="8">
        <v>0.24823700000000001</v>
      </c>
      <c r="M68" s="8">
        <v>2.3137000000000001E-2</v>
      </c>
      <c r="N68" s="8"/>
      <c r="O68" s="8">
        <v>1.1527000000000001E-2</v>
      </c>
      <c r="P68" s="8" t="s">
        <v>149</v>
      </c>
      <c r="Q68" s="8"/>
      <c r="R68" s="8"/>
      <c r="S68" s="8"/>
    </row>
    <row r="69" spans="1:19" x14ac:dyDescent="0.2">
      <c r="A69" s="8"/>
      <c r="B69" s="9" t="s">
        <v>76</v>
      </c>
      <c r="C69" s="9">
        <v>-1</v>
      </c>
      <c r="D69" s="9">
        <v>0.30604799999999999</v>
      </c>
      <c r="E69" s="9">
        <v>-0.14149400000000001</v>
      </c>
      <c r="F69" s="9"/>
      <c r="G69" s="9">
        <v>0.38778400000000002</v>
      </c>
      <c r="H69" s="9">
        <v>0.1137</v>
      </c>
      <c r="I69" s="8">
        <v>-0.14149400000000001</v>
      </c>
      <c r="J69" s="8"/>
      <c r="K69" s="8">
        <v>-0.359989</v>
      </c>
      <c r="L69" s="8">
        <v>2.3137000000000001E-2</v>
      </c>
      <c r="M69" s="8">
        <v>0.18332499999999999</v>
      </c>
      <c r="N69" s="8"/>
      <c r="O69" s="8"/>
      <c r="P69" s="8"/>
      <c r="Q69" s="8"/>
      <c r="R69" s="8"/>
      <c r="S69" s="8"/>
    </row>
    <row r="70" spans="1:19" x14ac:dyDescent="0.2">
      <c r="A70" s="8">
        <v>20</v>
      </c>
      <c r="B70" s="9" t="s">
        <v>74</v>
      </c>
      <c r="C70" s="9">
        <v>-1</v>
      </c>
      <c r="D70" s="9">
        <v>0.30522199999999999</v>
      </c>
      <c r="E70" s="9">
        <v>0.27203699999999997</v>
      </c>
      <c r="F70" s="9"/>
      <c r="G70" s="9">
        <v>-1</v>
      </c>
      <c r="H70" s="9">
        <v>-1</v>
      </c>
      <c r="I70" s="8">
        <v>-1</v>
      </c>
      <c r="J70" s="8"/>
      <c r="K70" s="8">
        <v>3</v>
      </c>
      <c r="L70" s="8">
        <v>-1.000229</v>
      </c>
      <c r="M70" s="8">
        <v>-0.24424199999999999</v>
      </c>
      <c r="N70" s="8"/>
      <c r="O70" s="8"/>
      <c r="P70" s="8"/>
      <c r="Q70" s="8"/>
      <c r="R70" s="8"/>
      <c r="S70" s="8"/>
    </row>
    <row r="71" spans="1:19" x14ac:dyDescent="0.2">
      <c r="A71" s="8"/>
      <c r="B71" s="9" t="s">
        <v>75</v>
      </c>
      <c r="C71" s="9">
        <v>-1</v>
      </c>
      <c r="D71" s="9">
        <v>0.388959</v>
      </c>
      <c r="E71" s="9">
        <v>0.1137</v>
      </c>
      <c r="F71" s="9"/>
      <c r="G71" s="9">
        <v>0.30522199999999999</v>
      </c>
      <c r="H71" s="9">
        <v>0.388959</v>
      </c>
      <c r="I71" s="8">
        <v>0.30604799999999999</v>
      </c>
      <c r="J71" s="8"/>
      <c r="K71" s="8">
        <v>-1.000229</v>
      </c>
      <c r="L71" s="8">
        <v>0.338115</v>
      </c>
      <c r="M71" s="8">
        <v>8.3951999999999999E-2</v>
      </c>
      <c r="N71" s="8"/>
      <c r="O71" s="8">
        <v>1.1900000000000001E-3</v>
      </c>
      <c r="P71" s="8" t="s">
        <v>150</v>
      </c>
      <c r="Q71" s="8"/>
      <c r="R71" s="8"/>
      <c r="S71" s="8"/>
    </row>
    <row r="72" spans="1:19" x14ac:dyDescent="0.2">
      <c r="A72" s="14"/>
      <c r="B72" s="15" t="s">
        <v>76</v>
      </c>
      <c r="C72" s="15">
        <v>-1</v>
      </c>
      <c r="D72" s="15">
        <v>0.30604799999999999</v>
      </c>
      <c r="E72" s="15">
        <v>-0.14149400000000001</v>
      </c>
      <c r="F72" s="15"/>
      <c r="G72" s="15">
        <v>0.27203699999999997</v>
      </c>
      <c r="H72" s="15">
        <v>0.1137</v>
      </c>
      <c r="I72" s="14">
        <v>-0.14149400000000001</v>
      </c>
      <c r="J72" s="14"/>
      <c r="K72" s="14">
        <v>-0.24424199999999999</v>
      </c>
      <c r="L72" s="14">
        <v>8.3951999999999999E-2</v>
      </c>
      <c r="M72" s="14">
        <v>0.10695200000000001</v>
      </c>
      <c r="N72" s="14"/>
      <c r="O72" s="14"/>
      <c r="P72" s="14"/>
      <c r="Q72" s="14"/>
      <c r="R72" s="14"/>
      <c r="S72" s="14"/>
    </row>
    <row r="73" spans="1:19" x14ac:dyDescent="0.2">
      <c r="A73" s="14"/>
      <c r="B73" s="15"/>
      <c r="C73" s="15"/>
      <c r="D73" s="15"/>
      <c r="E73" s="15"/>
      <c r="F73" s="15"/>
      <c r="G73" s="15"/>
      <c r="H73" s="15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72" customHeight="1" x14ac:dyDescent="0.2">
      <c r="A74" s="8" t="s">
        <v>179</v>
      </c>
      <c r="B74" s="9"/>
      <c r="C74" s="9"/>
      <c r="D74" s="9"/>
      <c r="E74" s="9"/>
      <c r="F74" s="9"/>
      <c r="G74" s="9"/>
      <c r="H74" s="9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ht="24" customHeight="1" x14ac:dyDescent="0.2">
      <c r="A75" s="8" t="s">
        <v>151</v>
      </c>
      <c r="B75" s="9" t="s">
        <v>152</v>
      </c>
      <c r="C75" s="9"/>
      <c r="D75" s="9"/>
      <c r="E75" s="9" t="s">
        <v>147</v>
      </c>
      <c r="F75" s="9">
        <v>7.3814000000000005E-2</v>
      </c>
      <c r="G75" s="9"/>
      <c r="H75" s="9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ht="24" customHeight="1" x14ac:dyDescent="0.2">
      <c r="A76" s="8" t="s">
        <v>115</v>
      </c>
      <c r="B76" s="9" t="s">
        <v>116</v>
      </c>
      <c r="C76" s="9" t="s">
        <v>93</v>
      </c>
      <c r="D76" s="9" t="s">
        <v>94</v>
      </c>
      <c r="E76" s="9" t="s">
        <v>117</v>
      </c>
      <c r="F76" s="9" t="s">
        <v>153</v>
      </c>
      <c r="G76" s="9" t="s">
        <v>118</v>
      </c>
      <c r="H76" s="9" t="s">
        <v>154</v>
      </c>
      <c r="I76" s="8" t="s">
        <v>119</v>
      </c>
      <c r="J76" s="8" t="s">
        <v>120</v>
      </c>
      <c r="K76" s="8" t="s">
        <v>155</v>
      </c>
      <c r="L76" s="8" t="s">
        <v>156</v>
      </c>
      <c r="M76" s="8"/>
      <c r="N76" s="8" t="s">
        <v>157</v>
      </c>
      <c r="O76" s="8"/>
      <c r="P76" s="8"/>
      <c r="Q76" s="8" t="s">
        <v>158</v>
      </c>
      <c r="R76" s="8"/>
      <c r="S76" s="8"/>
    </row>
    <row r="77" spans="1:19" x14ac:dyDescent="0.2">
      <c r="A77" s="8" t="s">
        <v>71</v>
      </c>
      <c r="B77" s="9">
        <v>-1</v>
      </c>
      <c r="C77" s="9">
        <v>-0.35184700000000002</v>
      </c>
      <c r="D77" s="9">
        <v>0.30924499999999999</v>
      </c>
      <c r="E77" s="9">
        <v>0</v>
      </c>
      <c r="F77" s="9">
        <v>-58.048766999999998</v>
      </c>
      <c r="G77" s="9" t="s">
        <v>16</v>
      </c>
      <c r="H77" s="9" t="s">
        <v>16</v>
      </c>
      <c r="I77" s="8" t="s">
        <v>16</v>
      </c>
      <c r="J77" s="8" t="s">
        <v>16</v>
      </c>
      <c r="K77" s="8" t="s">
        <v>16</v>
      </c>
      <c r="L77" s="17" t="s">
        <v>16</v>
      </c>
      <c r="M77" s="8"/>
      <c r="N77" s="8">
        <v>-1</v>
      </c>
      <c r="O77" s="8">
        <v>-1</v>
      </c>
      <c r="P77" s="8">
        <v>-1</v>
      </c>
      <c r="Q77" s="8"/>
      <c r="R77" s="8">
        <v>3</v>
      </c>
      <c r="S77" s="8">
        <v>-0.25942300000000001</v>
      </c>
    </row>
    <row r="78" spans="1:19" x14ac:dyDescent="0.2">
      <c r="A78" s="8" t="s">
        <v>74</v>
      </c>
      <c r="B78" s="9">
        <v>-1</v>
      </c>
      <c r="C78" s="9">
        <v>0.30522199999999999</v>
      </c>
      <c r="D78" s="9">
        <v>0.27203699999999997</v>
      </c>
      <c r="E78" s="9">
        <v>57.8</v>
      </c>
      <c r="F78" s="9">
        <v>-0.24876699999999999</v>
      </c>
      <c r="G78" s="9" t="s">
        <v>16</v>
      </c>
      <c r="H78" s="9" t="s">
        <v>16</v>
      </c>
      <c r="I78" s="8" t="s">
        <v>16</v>
      </c>
      <c r="J78" s="8" t="s">
        <v>16</v>
      </c>
      <c r="K78" s="8" t="s">
        <v>16</v>
      </c>
      <c r="L78" s="16" t="s">
        <v>16</v>
      </c>
      <c r="M78" s="8"/>
      <c r="N78" s="8">
        <v>-0.35184700000000002</v>
      </c>
      <c r="O78" s="8">
        <v>0.30522199999999999</v>
      </c>
      <c r="P78" s="8">
        <v>0.30604799999999999</v>
      </c>
      <c r="Q78" s="8"/>
      <c r="R78" s="8">
        <v>-0.25942300000000001</v>
      </c>
      <c r="S78" s="8">
        <v>0.31062200000000001</v>
      </c>
    </row>
    <row r="79" spans="1:19" x14ac:dyDescent="0.2">
      <c r="A79" s="8" t="s">
        <v>76</v>
      </c>
      <c r="B79" s="9">
        <v>-1</v>
      </c>
      <c r="C79" s="9">
        <v>0.30604799999999999</v>
      </c>
      <c r="D79" s="9">
        <v>-0.14149400000000001</v>
      </c>
      <c r="E79" s="9">
        <v>96.6</v>
      </c>
      <c r="F79" s="9">
        <v>38.551233000000003</v>
      </c>
      <c r="G79" s="9" t="s">
        <v>16</v>
      </c>
      <c r="H79" s="9" t="s">
        <v>16</v>
      </c>
      <c r="I79" s="8" t="s">
        <v>16</v>
      </c>
      <c r="J79" s="8" t="s">
        <v>16</v>
      </c>
      <c r="K79" s="8" t="s">
        <v>16</v>
      </c>
      <c r="L79" s="17" t="s">
        <v>16</v>
      </c>
      <c r="M79" s="8"/>
      <c r="N79" s="8">
        <v>0.30924499999999999</v>
      </c>
      <c r="O79" s="8">
        <v>0.27203699999999997</v>
      </c>
      <c r="P79" s="8">
        <v>-0.14149400000000001</v>
      </c>
      <c r="Q79" s="8"/>
      <c r="R79" s="8">
        <v>-0.43978800000000001</v>
      </c>
      <c r="S79" s="8">
        <v>-6.9079000000000002E-2</v>
      </c>
    </row>
    <row r="80" spans="1:19" x14ac:dyDescent="0.2">
      <c r="A80" s="8" t="s">
        <v>72</v>
      </c>
      <c r="B80" s="9">
        <v>-1</v>
      </c>
      <c r="C80" s="9">
        <v>-0.22680800000000001</v>
      </c>
      <c r="D80" s="9">
        <v>0.43529499999999999</v>
      </c>
      <c r="E80" s="9">
        <v>-2.2000000000000002</v>
      </c>
      <c r="F80" s="9">
        <v>-59.51867</v>
      </c>
      <c r="G80" s="9"/>
      <c r="H80" s="9"/>
      <c r="I80" s="8">
        <v>0.730097</v>
      </c>
      <c r="J80" s="8">
        <v>4.5519239999999996</v>
      </c>
      <c r="K80" s="8">
        <v>6.4157000000000006E-2</v>
      </c>
      <c r="L80" s="17" t="s">
        <v>159</v>
      </c>
      <c r="M80" s="8"/>
      <c r="N80" s="8"/>
      <c r="O80" s="8"/>
      <c r="P80" s="8"/>
      <c r="Q80" s="8"/>
      <c r="R80" s="8"/>
      <c r="S80" s="8"/>
    </row>
    <row r="81" spans="1:19" x14ac:dyDescent="0.2">
      <c r="A81" s="8" t="s">
        <v>73</v>
      </c>
      <c r="B81" s="9">
        <v>-1</v>
      </c>
      <c r="C81" s="9">
        <v>5.7291000000000002E-2</v>
      </c>
      <c r="D81" s="9">
        <v>0.38778400000000002</v>
      </c>
      <c r="E81" s="9">
        <v>72.599999999999994</v>
      </c>
      <c r="F81" s="9">
        <v>-31.584394</v>
      </c>
      <c r="G81" s="9"/>
      <c r="H81" s="9"/>
      <c r="I81" s="8">
        <v>-46.135626999999999</v>
      </c>
      <c r="J81" s="8">
        <v>4.4795949999999998</v>
      </c>
      <c r="K81" s="8">
        <v>4.1196250000000001</v>
      </c>
      <c r="L81" s="17" t="s">
        <v>160</v>
      </c>
      <c r="M81" s="8"/>
      <c r="N81" s="8"/>
      <c r="O81" s="8"/>
      <c r="P81" s="8"/>
      <c r="Q81" s="8"/>
      <c r="R81" s="8"/>
      <c r="S81" s="8"/>
    </row>
    <row r="82" spans="1:19" x14ac:dyDescent="0.2">
      <c r="A82" s="14" t="s">
        <v>75</v>
      </c>
      <c r="B82" s="15">
        <v>-1</v>
      </c>
      <c r="C82" s="15">
        <v>0.388959</v>
      </c>
      <c r="D82" s="15">
        <v>0.1137</v>
      </c>
      <c r="E82" s="15">
        <v>79.8</v>
      </c>
      <c r="F82" s="15">
        <v>21.503176</v>
      </c>
      <c r="G82" s="15"/>
      <c r="H82" s="15"/>
      <c r="I82" s="14">
        <v>-0.248057</v>
      </c>
      <c r="J82" s="14">
        <v>4.2047860000000004</v>
      </c>
      <c r="K82" s="14">
        <v>2.3598000000000001E-2</v>
      </c>
      <c r="L82" s="14" t="s">
        <v>159</v>
      </c>
      <c r="M82" s="14"/>
      <c r="N82" s="14"/>
      <c r="O82" s="14"/>
      <c r="P82" s="14"/>
      <c r="Q82" s="14"/>
      <c r="R82" s="14"/>
      <c r="S82" s="14"/>
    </row>
    <row r="83" spans="1:19" x14ac:dyDescent="0.2">
      <c r="A83" s="8"/>
      <c r="B83" s="9"/>
      <c r="C83" s="9"/>
      <c r="D83" s="9"/>
      <c r="E83" s="9"/>
      <c r="F83" s="9"/>
      <c r="G83" s="9"/>
      <c r="H83" s="9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ht="36" customHeight="1" x14ac:dyDescent="0.2">
      <c r="A84" s="14" t="s">
        <v>161</v>
      </c>
      <c r="B84" s="15" t="s">
        <v>116</v>
      </c>
      <c r="C84" s="15">
        <v>-58.048766999999998</v>
      </c>
      <c r="D84" s="15" t="s">
        <v>98</v>
      </c>
      <c r="E84" s="15">
        <v>82.662653000000006</v>
      </c>
      <c r="F84" s="15" t="s">
        <v>99</v>
      </c>
      <c r="G84" s="15">
        <v>-93.660900999999996</v>
      </c>
      <c r="H84" s="15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x14ac:dyDescent="0.2">
      <c r="A85" s="8"/>
      <c r="B85" s="9"/>
      <c r="C85" s="9"/>
      <c r="D85" s="9"/>
      <c r="E85" s="9"/>
      <c r="F85" s="9"/>
      <c r="G85" s="9"/>
      <c r="H85" s="9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ht="36" customHeight="1" x14ac:dyDescent="0.2">
      <c r="A86" s="14" t="s">
        <v>162</v>
      </c>
      <c r="B86" s="15" t="s">
        <v>163</v>
      </c>
      <c r="C86" s="15" t="s">
        <v>164</v>
      </c>
      <c r="D86" s="15" t="s">
        <v>73</v>
      </c>
      <c r="E86" s="15"/>
      <c r="F86" s="15"/>
      <c r="G86" s="15"/>
      <c r="H86" s="15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x14ac:dyDescent="0.2">
      <c r="A87" s="8" t="s">
        <v>80</v>
      </c>
      <c r="B87" s="9" t="s">
        <v>98</v>
      </c>
      <c r="C87" s="9" t="s">
        <v>99</v>
      </c>
      <c r="D87" s="9" t="s">
        <v>165</v>
      </c>
      <c r="E87" s="9" t="s">
        <v>166</v>
      </c>
      <c r="F87" s="9" t="s">
        <v>121</v>
      </c>
      <c r="G87" s="9" t="s">
        <v>167</v>
      </c>
      <c r="H87" s="9" t="s">
        <v>168</v>
      </c>
      <c r="I87" s="8" t="s">
        <v>169</v>
      </c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x14ac:dyDescent="0.2">
      <c r="A88" s="8">
        <v>-58.037371999999998</v>
      </c>
      <c r="B88" s="9">
        <v>83.040278999999998</v>
      </c>
      <c r="C88" s="9">
        <v>-94.25179</v>
      </c>
      <c r="D88" s="9">
        <v>0.31899</v>
      </c>
      <c r="E88" s="9">
        <v>2</v>
      </c>
      <c r="F88" s="9">
        <v>0.399368</v>
      </c>
      <c r="G88" s="9">
        <v>1.5561E-2</v>
      </c>
      <c r="H88" s="9">
        <v>2.9957319999999998</v>
      </c>
      <c r="I88" s="8" t="s">
        <v>159</v>
      </c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ht="36" customHeight="1" x14ac:dyDescent="0.2">
      <c r="A89" s="8" t="s">
        <v>170</v>
      </c>
      <c r="B89" s="9" t="s">
        <v>171</v>
      </c>
      <c r="C89" s="9" t="s">
        <v>172</v>
      </c>
      <c r="D89" s="9" t="s">
        <v>173</v>
      </c>
      <c r="E89" s="9" t="s">
        <v>174</v>
      </c>
      <c r="F89" s="9" t="s">
        <v>175</v>
      </c>
      <c r="G89" s="9"/>
      <c r="H89" s="9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x14ac:dyDescent="0.2">
      <c r="A90" s="8"/>
      <c r="B90" s="9"/>
      <c r="C90" s="9"/>
      <c r="D90" s="9"/>
      <c r="E90" s="9"/>
      <c r="F90" s="9"/>
      <c r="G90" s="9"/>
      <c r="H90" s="9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ht="108" customHeight="1" x14ac:dyDescent="0.2">
      <c r="A91" s="8" t="s">
        <v>176</v>
      </c>
      <c r="B91" s="9" t="s">
        <v>177</v>
      </c>
      <c r="C91" s="9"/>
      <c r="D91" s="9"/>
      <c r="E91" s="9"/>
      <c r="F91" s="9"/>
      <c r="G91" s="9"/>
      <c r="H91" s="9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ht="32" customHeight="1" x14ac:dyDescent="0.2">
      <c r="A92" s="4"/>
      <c r="B92" s="5"/>
      <c r="C92" s="5"/>
      <c r="D92" s="5"/>
      <c r="E92" s="5"/>
      <c r="F92" s="5"/>
      <c r="G92" s="5"/>
      <c r="H92" s="5"/>
      <c r="I92" s="4"/>
    </row>
    <row r="93" spans="1:19" ht="96" customHeight="1" x14ac:dyDescent="0.2">
      <c r="A93" s="4"/>
      <c r="B93" s="5"/>
      <c r="C93" s="5"/>
      <c r="D93" s="5"/>
      <c r="E93" s="5"/>
      <c r="F93" s="5"/>
      <c r="G93" s="5"/>
      <c r="H93" s="5"/>
      <c r="I93" s="4"/>
    </row>
    <row r="94" spans="1:19" x14ac:dyDescent="0.2">
      <c r="A94" s="4"/>
      <c r="B94" s="5"/>
      <c r="C94" s="5"/>
      <c r="D94" s="5"/>
      <c r="E94" s="5"/>
      <c r="F94" s="5"/>
      <c r="G94" s="5"/>
      <c r="H94" s="5"/>
      <c r="I94" s="4"/>
    </row>
    <row r="95" spans="1:19" x14ac:dyDescent="0.2">
      <c r="A95" s="4"/>
      <c r="B95" s="5"/>
      <c r="C95" s="5"/>
      <c r="D95" s="5"/>
      <c r="E95" s="5"/>
      <c r="F95" s="5"/>
      <c r="G95" s="5"/>
      <c r="H95" s="5"/>
      <c r="I95" s="4"/>
    </row>
    <row r="96" spans="1:19" x14ac:dyDescent="0.2">
      <c r="A96" s="4"/>
      <c r="B96" s="5"/>
      <c r="C96" s="5"/>
      <c r="D96" s="5"/>
      <c r="E96" s="5"/>
      <c r="F96" s="5"/>
      <c r="G96" s="5"/>
      <c r="H96" s="5"/>
      <c r="I96" s="4"/>
    </row>
    <row r="97" spans="1:9" x14ac:dyDescent="0.2">
      <c r="A97" s="4"/>
      <c r="B97" s="5"/>
      <c r="C97" s="5"/>
      <c r="D97" s="5"/>
      <c r="E97" s="5"/>
      <c r="F97" s="5"/>
      <c r="G97" s="5"/>
      <c r="H97" s="5"/>
      <c r="I97" s="4"/>
    </row>
    <row r="98" spans="1:9" x14ac:dyDescent="0.2">
      <c r="A98" s="4"/>
      <c r="B98" s="5"/>
      <c r="C98" s="5"/>
      <c r="D98" s="5"/>
      <c r="E98" s="5"/>
      <c r="F98" s="5"/>
      <c r="G98" s="5"/>
      <c r="H98" s="5"/>
      <c r="I98" s="4"/>
    </row>
    <row r="99" spans="1:9" x14ac:dyDescent="0.2">
      <c r="A99" s="4"/>
      <c r="B99" s="5"/>
      <c r="C99" s="5"/>
      <c r="D99" s="5"/>
      <c r="E99" s="5"/>
      <c r="F99" s="5"/>
      <c r="G99" s="5"/>
      <c r="H99" s="5"/>
      <c r="I99" s="4"/>
    </row>
    <row r="100" spans="1:9" x14ac:dyDescent="0.2">
      <c r="A100" s="4"/>
      <c r="B100" s="5"/>
      <c r="C100" s="5"/>
      <c r="D100" s="5"/>
      <c r="E100" s="5"/>
      <c r="F100" s="5"/>
      <c r="G100" s="5"/>
      <c r="H100" s="5"/>
      <c r="I100" s="4"/>
    </row>
    <row r="101" spans="1:9" x14ac:dyDescent="0.2">
      <c r="A101" s="4"/>
      <c r="B101" s="5"/>
      <c r="C101" s="5"/>
      <c r="D101" s="5"/>
      <c r="E101" s="5"/>
      <c r="F101" s="5"/>
      <c r="G101" s="5"/>
      <c r="H101" s="5"/>
      <c r="I101" s="4"/>
    </row>
    <row r="102" spans="1:9" x14ac:dyDescent="0.2">
      <c r="A102" s="4"/>
      <c r="B102" s="5"/>
      <c r="C102" s="5"/>
      <c r="D102" s="5"/>
      <c r="E102" s="5"/>
      <c r="F102" s="5"/>
      <c r="G102" s="5"/>
      <c r="H102" s="5"/>
      <c r="I102" s="4"/>
    </row>
    <row r="103" spans="1:9" x14ac:dyDescent="0.2">
      <c r="A103" s="4"/>
      <c r="B103" s="5"/>
      <c r="C103" s="5"/>
      <c r="D103" s="5"/>
      <c r="E103" s="5"/>
      <c r="F103" s="5"/>
      <c r="G103" s="5"/>
      <c r="H103" s="5"/>
      <c r="I103" s="4"/>
    </row>
    <row r="104" spans="1:9" x14ac:dyDescent="0.2">
      <c r="A104" s="4"/>
      <c r="B104" s="5"/>
      <c r="C104" s="5"/>
      <c r="D104" s="5"/>
      <c r="E104" s="5"/>
      <c r="F104" s="5"/>
      <c r="G104" s="5"/>
      <c r="H104" s="5"/>
      <c r="I104" s="4"/>
    </row>
    <row r="105" spans="1:9" x14ac:dyDescent="0.2">
      <c r="A105" s="4"/>
      <c r="B105" s="5"/>
      <c r="C105" s="5"/>
      <c r="D105" s="5"/>
      <c r="E105" s="5"/>
      <c r="F105" s="5"/>
      <c r="G105" s="5"/>
      <c r="H105" s="5"/>
      <c r="I105" s="4"/>
    </row>
    <row r="106" spans="1:9" x14ac:dyDescent="0.2">
      <c r="A106" s="4"/>
      <c r="B106" s="5"/>
      <c r="C106" s="5"/>
      <c r="D106" s="5"/>
      <c r="E106" s="5"/>
      <c r="F106" s="5"/>
      <c r="G106" s="5"/>
      <c r="H106" s="5"/>
      <c r="I106" s="4"/>
    </row>
    <row r="107" spans="1:9" x14ac:dyDescent="0.2">
      <c r="A107" s="4"/>
      <c r="B107" s="5"/>
      <c r="C107" s="5"/>
      <c r="D107" s="5"/>
      <c r="E107" s="5"/>
      <c r="F107" s="5"/>
      <c r="G107" s="5"/>
      <c r="H107" s="5"/>
      <c r="I107" s="4"/>
    </row>
    <row r="108" spans="1:9" x14ac:dyDescent="0.2">
      <c r="A108" s="4"/>
      <c r="B108" s="5"/>
      <c r="C108" s="5"/>
      <c r="D108" s="5"/>
      <c r="E108" s="5"/>
      <c r="F108" s="5"/>
      <c r="G108" s="5"/>
      <c r="H108" s="5"/>
      <c r="I108" s="4"/>
    </row>
    <row r="109" spans="1:9" x14ac:dyDescent="0.2">
      <c r="A109" s="4"/>
      <c r="B109" s="5"/>
      <c r="C109" s="5"/>
      <c r="D109" s="5"/>
      <c r="E109" s="5"/>
      <c r="F109" s="5"/>
      <c r="G109" s="5"/>
      <c r="H109" s="5"/>
      <c r="I109" s="4"/>
    </row>
    <row r="110" spans="1:9" x14ac:dyDescent="0.2">
      <c r="A110" s="4"/>
      <c r="B110" s="5"/>
      <c r="C110" s="5"/>
      <c r="D110" s="5"/>
      <c r="E110" s="5"/>
      <c r="F110" s="5"/>
      <c r="G110" s="5"/>
      <c r="H110" s="5"/>
      <c r="I110" s="4"/>
    </row>
    <row r="111" spans="1:9" x14ac:dyDescent="0.2">
      <c r="A111" s="4"/>
      <c r="B111" s="5"/>
      <c r="C111" s="5"/>
      <c r="D111" s="5"/>
      <c r="E111" s="5"/>
      <c r="F111" s="5"/>
      <c r="G111" s="5"/>
      <c r="H111" s="5"/>
      <c r="I111" s="4"/>
    </row>
    <row r="112" spans="1:9" x14ac:dyDescent="0.2">
      <c r="A112" s="4"/>
      <c r="B112" s="5"/>
      <c r="C112" s="5"/>
      <c r="D112" s="5"/>
      <c r="E112" s="5"/>
      <c r="F112" s="5"/>
      <c r="G112" s="5"/>
      <c r="H112" s="5"/>
      <c r="I112" s="4"/>
    </row>
    <row r="113" spans="1:9" x14ac:dyDescent="0.2">
      <c r="A113" s="4"/>
      <c r="B113" s="5"/>
      <c r="C113" s="5"/>
      <c r="D113" s="5"/>
      <c r="E113" s="5"/>
      <c r="F113" s="5"/>
      <c r="G113" s="5"/>
      <c r="H113" s="5"/>
      <c r="I113" s="4"/>
    </row>
    <row r="114" spans="1:9" x14ac:dyDescent="0.2">
      <c r="A114" s="4"/>
      <c r="B114" s="5"/>
      <c r="C114" s="5"/>
      <c r="D114" s="5"/>
      <c r="E114" s="5"/>
      <c r="F114" s="5"/>
      <c r="G114" s="5"/>
      <c r="H114" s="5"/>
      <c r="I114" s="4"/>
    </row>
    <row r="115" spans="1:9" x14ac:dyDescent="0.2">
      <c r="A115" s="4"/>
      <c r="B115" s="5"/>
      <c r="C115" s="5"/>
      <c r="D115" s="5"/>
      <c r="E115" s="5"/>
      <c r="F115" s="5"/>
      <c r="G115" s="5"/>
      <c r="H115" s="5"/>
      <c r="I115" s="4"/>
    </row>
    <row r="116" spans="1:9" x14ac:dyDescent="0.2">
      <c r="A116" s="4"/>
      <c r="B116" s="5"/>
      <c r="C116" s="5"/>
      <c r="D116" s="5"/>
      <c r="E116" s="5"/>
      <c r="F116" s="5"/>
      <c r="G116" s="5"/>
      <c r="H116" s="5"/>
      <c r="I116" s="4"/>
    </row>
    <row r="117" spans="1:9" x14ac:dyDescent="0.2">
      <c r="A117" s="4"/>
      <c r="B117" s="5"/>
      <c r="C117" s="5"/>
      <c r="D117" s="5"/>
      <c r="E117" s="5"/>
      <c r="F117" s="5"/>
      <c r="G117" s="5"/>
      <c r="H117" s="5"/>
      <c r="I117" s="4"/>
    </row>
    <row r="118" spans="1:9" x14ac:dyDescent="0.2">
      <c r="A118" s="4"/>
      <c r="B118" s="5"/>
      <c r="C118" s="5"/>
      <c r="D118" s="5"/>
      <c r="E118" s="5"/>
      <c r="F118" s="5"/>
      <c r="G118" s="5"/>
      <c r="H118" s="5"/>
      <c r="I118" s="4"/>
    </row>
    <row r="119" spans="1:9" x14ac:dyDescent="0.2">
      <c r="A119" s="4"/>
      <c r="B119" s="5"/>
      <c r="C119" s="5"/>
      <c r="D119" s="5"/>
      <c r="E119" s="5"/>
      <c r="F119" s="5"/>
      <c r="G119" s="5"/>
      <c r="H119" s="5"/>
      <c r="I119" s="4"/>
    </row>
    <row r="120" spans="1:9" x14ac:dyDescent="0.2">
      <c r="A120" s="4"/>
      <c r="B120" s="5"/>
      <c r="C120" s="5"/>
      <c r="D120" s="5"/>
      <c r="E120" s="5"/>
      <c r="F120" s="5"/>
      <c r="G120" s="5"/>
      <c r="H120" s="5"/>
      <c r="I120" s="4"/>
    </row>
    <row r="121" spans="1:9" x14ac:dyDescent="0.2">
      <c r="A121" s="4"/>
      <c r="B121" s="5"/>
      <c r="C121" s="5"/>
      <c r="D121" s="5"/>
      <c r="E121" s="5"/>
      <c r="F121" s="5"/>
      <c r="G121" s="5"/>
      <c r="H121" s="5"/>
      <c r="I121" s="4"/>
    </row>
    <row r="122" spans="1:9" x14ac:dyDescent="0.2">
      <c r="A122" s="4"/>
      <c r="B122" s="5"/>
      <c r="C122" s="5"/>
      <c r="D122" s="5"/>
      <c r="E122" s="5"/>
      <c r="F122" s="5"/>
      <c r="G122" s="5"/>
      <c r="H122" s="5"/>
      <c r="I122" s="4"/>
    </row>
    <row r="123" spans="1:9" x14ac:dyDescent="0.2">
      <c r="A123" s="4"/>
      <c r="B123" s="5"/>
      <c r="C123" s="5"/>
      <c r="D123" s="5"/>
      <c r="E123" s="5"/>
      <c r="F123" s="5"/>
      <c r="G123" s="5"/>
      <c r="H123" s="5"/>
      <c r="I123" s="4"/>
    </row>
    <row r="124" spans="1:9" x14ac:dyDescent="0.2">
      <c r="A124" s="4"/>
      <c r="B124" s="5"/>
      <c r="C124" s="5"/>
      <c r="D124" s="5"/>
      <c r="E124" s="5"/>
      <c r="F124" s="5"/>
      <c r="G124" s="5"/>
      <c r="H124" s="5"/>
      <c r="I124" s="4"/>
    </row>
    <row r="125" spans="1:9" x14ac:dyDescent="0.2">
      <c r="A125" s="4"/>
      <c r="B125" s="5"/>
      <c r="C125" s="5"/>
      <c r="D125" s="5"/>
      <c r="E125" s="5"/>
      <c r="F125" s="5"/>
      <c r="G125" s="5"/>
      <c r="H125" s="5"/>
      <c r="I125" s="4"/>
    </row>
    <row r="126" spans="1:9" x14ac:dyDescent="0.2">
      <c r="A126" s="4"/>
      <c r="B126" s="5"/>
      <c r="C126" s="5"/>
      <c r="D126" s="5"/>
      <c r="E126" s="5"/>
      <c r="F126" s="5"/>
      <c r="G126" s="5"/>
      <c r="H126" s="5"/>
      <c r="I126" s="4"/>
    </row>
    <row r="127" spans="1:9" x14ac:dyDescent="0.2">
      <c r="A127" s="4"/>
      <c r="B127" s="5"/>
      <c r="C127" s="5"/>
      <c r="D127" s="5"/>
      <c r="E127" s="5"/>
      <c r="F127" s="5"/>
      <c r="G127" s="5"/>
      <c r="H127" s="5"/>
      <c r="I127" s="4"/>
    </row>
    <row r="128" spans="1:9" x14ac:dyDescent="0.2">
      <c r="A128" s="4"/>
      <c r="B128" s="5"/>
      <c r="C128" s="5"/>
      <c r="D128" s="5"/>
      <c r="E128" s="5"/>
      <c r="F128" s="5"/>
      <c r="G128" s="5"/>
      <c r="H128" s="5"/>
      <c r="I128" s="4"/>
    </row>
    <row r="129" spans="1:9" x14ac:dyDescent="0.2">
      <c r="A129" s="4"/>
      <c r="B129" s="5"/>
      <c r="C129" s="5"/>
      <c r="D129" s="5"/>
      <c r="E129" s="5"/>
      <c r="F129" s="5"/>
      <c r="G129" s="5"/>
      <c r="H129" s="5"/>
      <c r="I129" s="4"/>
    </row>
    <row r="130" spans="1:9" x14ac:dyDescent="0.2">
      <c r="A130" s="4"/>
      <c r="B130" s="5"/>
      <c r="C130" s="5"/>
      <c r="D130" s="5"/>
      <c r="E130" s="5"/>
      <c r="F130" s="5"/>
      <c r="G130" s="5"/>
      <c r="H130" s="5"/>
      <c r="I130" s="4"/>
    </row>
    <row r="131" spans="1:9" x14ac:dyDescent="0.2">
      <c r="A131" s="4"/>
      <c r="B131" s="5"/>
      <c r="C131" s="5"/>
      <c r="D131" s="5"/>
      <c r="E131" s="5"/>
      <c r="F131" s="5"/>
      <c r="G131" s="5"/>
      <c r="H131" s="5"/>
      <c r="I131" s="4"/>
    </row>
    <row r="132" spans="1:9" x14ac:dyDescent="0.2">
      <c r="A132" s="4"/>
      <c r="B132" s="5"/>
      <c r="C132" s="5"/>
      <c r="D132" s="5"/>
      <c r="E132" s="5"/>
      <c r="F132" s="5"/>
      <c r="G132" s="5"/>
      <c r="H132" s="5"/>
      <c r="I132" s="4"/>
    </row>
    <row r="133" spans="1:9" x14ac:dyDescent="0.2">
      <c r="A133" s="4"/>
      <c r="B133" s="5"/>
      <c r="C133" s="5"/>
      <c r="D133" s="5"/>
      <c r="E133" s="5"/>
      <c r="F133" s="5"/>
      <c r="G133" s="5"/>
      <c r="H133" s="5"/>
      <c r="I133" s="4"/>
    </row>
    <row r="134" spans="1:9" x14ac:dyDescent="0.2">
      <c r="A134" s="4"/>
      <c r="B134" s="5"/>
      <c r="C134" s="5"/>
      <c r="D134" s="5"/>
      <c r="E134" s="5"/>
      <c r="F134" s="5"/>
      <c r="G134" s="5"/>
      <c r="H134" s="5"/>
      <c r="I134" s="4"/>
    </row>
    <row r="135" spans="1:9" x14ac:dyDescent="0.2">
      <c r="A135" s="4"/>
      <c r="B135" s="5"/>
      <c r="C135" s="5"/>
      <c r="D135" s="5"/>
      <c r="E135" s="5"/>
      <c r="F135" s="5"/>
      <c r="G135" s="5"/>
      <c r="H135" s="5"/>
      <c r="I135" s="4"/>
    </row>
    <row r="136" spans="1:9" x14ac:dyDescent="0.2">
      <c r="A136" s="4"/>
      <c r="B136" s="5"/>
      <c r="C136" s="5"/>
      <c r="D136" s="5"/>
      <c r="E136" s="5"/>
      <c r="F136" s="5"/>
      <c r="G136" s="5"/>
      <c r="H136" s="5"/>
      <c r="I136" s="4"/>
    </row>
    <row r="137" spans="1:9" x14ac:dyDescent="0.2">
      <c r="A137" s="4"/>
      <c r="B137" s="5"/>
      <c r="C137" s="5"/>
      <c r="D137" s="5"/>
      <c r="E137" s="5"/>
      <c r="F137" s="5"/>
      <c r="G137" s="5"/>
      <c r="H137" s="5"/>
      <c r="I137" s="4"/>
    </row>
    <row r="138" spans="1:9" x14ac:dyDescent="0.2">
      <c r="A138" s="4"/>
      <c r="B138" s="5"/>
      <c r="C138" s="5"/>
      <c r="D138" s="5"/>
      <c r="E138" s="5"/>
      <c r="F138" s="5"/>
      <c r="G138" s="5"/>
      <c r="H138" s="5"/>
      <c r="I138" s="4"/>
    </row>
    <row r="139" spans="1:9" x14ac:dyDescent="0.2">
      <c r="A139" s="4"/>
      <c r="B139" s="5"/>
      <c r="C139" s="5"/>
      <c r="D139" s="5"/>
      <c r="E139" s="5"/>
      <c r="F139" s="5"/>
      <c r="G139" s="5"/>
      <c r="H139" s="5"/>
      <c r="I139" s="4"/>
    </row>
    <row r="140" spans="1:9" x14ac:dyDescent="0.2">
      <c r="A140" s="4"/>
      <c r="B140" s="5"/>
      <c r="C140" s="5"/>
      <c r="D140" s="5"/>
      <c r="E140" s="5"/>
      <c r="F140" s="5"/>
      <c r="G140" s="5"/>
      <c r="H140" s="5"/>
      <c r="I140" s="4"/>
    </row>
    <row r="141" spans="1:9" x14ac:dyDescent="0.2">
      <c r="A141" s="4"/>
      <c r="B141" s="5"/>
      <c r="C141" s="5"/>
      <c r="D141" s="5"/>
      <c r="E141" s="5"/>
      <c r="F141" s="5"/>
      <c r="G141" s="5"/>
      <c r="H141" s="5"/>
      <c r="I141" s="4"/>
    </row>
    <row r="142" spans="1:9" x14ac:dyDescent="0.2">
      <c r="A142" s="4"/>
      <c r="B142" s="5"/>
      <c r="C142" s="5"/>
      <c r="D142" s="5"/>
      <c r="E142" s="5"/>
      <c r="F142" s="5"/>
      <c r="G142" s="5"/>
      <c r="H142" s="5"/>
      <c r="I142" s="4"/>
    </row>
    <row r="143" spans="1:9" x14ac:dyDescent="0.2">
      <c r="A143" s="4"/>
      <c r="B143" s="5"/>
      <c r="C143" s="5"/>
      <c r="D143" s="5"/>
      <c r="E143" s="5"/>
      <c r="F143" s="5"/>
      <c r="G143" s="5"/>
      <c r="H143" s="5"/>
      <c r="I143" s="4"/>
    </row>
    <row r="144" spans="1:9" x14ac:dyDescent="0.2">
      <c r="A144" s="4"/>
      <c r="B144" s="5"/>
      <c r="C144" s="5"/>
      <c r="D144" s="5"/>
      <c r="E144" s="5"/>
      <c r="F144" s="5"/>
      <c r="G144" s="5"/>
      <c r="H144" s="5"/>
      <c r="I144" s="4"/>
    </row>
    <row r="145" spans="1:9" x14ac:dyDescent="0.2">
      <c r="A145" s="4"/>
      <c r="B145" s="5"/>
      <c r="C145" s="5"/>
      <c r="D145" s="5"/>
      <c r="E145" s="5"/>
      <c r="F145" s="5"/>
      <c r="G145" s="5"/>
      <c r="H145" s="5"/>
      <c r="I145" s="4"/>
    </row>
    <row r="146" spans="1:9" x14ac:dyDescent="0.2">
      <c r="A146" s="4"/>
      <c r="B146" s="5"/>
      <c r="C146" s="5"/>
      <c r="D146" s="5"/>
      <c r="E146" s="5"/>
      <c r="F146" s="5"/>
      <c r="G146" s="5"/>
      <c r="H146" s="5"/>
      <c r="I146" s="4"/>
    </row>
    <row r="147" spans="1:9" x14ac:dyDescent="0.2">
      <c r="A147" s="4"/>
      <c r="B147" s="5"/>
      <c r="C147" s="5"/>
      <c r="D147" s="5"/>
      <c r="E147" s="5"/>
      <c r="F147" s="5"/>
      <c r="G147" s="5"/>
      <c r="H147" s="5"/>
      <c r="I147" s="4"/>
    </row>
    <row r="148" spans="1:9" x14ac:dyDescent="0.2">
      <c r="A148" s="4"/>
      <c r="B148" s="5"/>
      <c r="C148" s="5"/>
      <c r="D148" s="5"/>
      <c r="E148" s="5"/>
      <c r="F148" s="5"/>
      <c r="G148" s="5"/>
      <c r="H148" s="5"/>
      <c r="I148" s="4"/>
    </row>
    <row r="149" spans="1:9" x14ac:dyDescent="0.2">
      <c r="A149" s="4"/>
      <c r="B149" s="5"/>
      <c r="C149" s="5"/>
      <c r="D149" s="5"/>
      <c r="E149" s="5"/>
      <c r="F149" s="5"/>
      <c r="G149" s="5"/>
      <c r="H149" s="5"/>
      <c r="I149" s="4"/>
    </row>
    <row r="150" spans="1:9" x14ac:dyDescent="0.2">
      <c r="A150" s="4"/>
      <c r="B150" s="5"/>
      <c r="C150" s="5"/>
      <c r="D150" s="5"/>
      <c r="E150" s="5"/>
      <c r="F150" s="5"/>
      <c r="G150" s="5"/>
      <c r="H150" s="5"/>
      <c r="I150" s="4"/>
    </row>
    <row r="151" spans="1:9" x14ac:dyDescent="0.2">
      <c r="A151" s="4"/>
      <c r="B151" s="5"/>
      <c r="C151" s="5"/>
      <c r="D151" s="5"/>
      <c r="E151" s="5"/>
      <c r="F151" s="5"/>
      <c r="G151" s="5"/>
      <c r="H151" s="5"/>
      <c r="I151" s="4"/>
    </row>
    <row r="152" spans="1:9" x14ac:dyDescent="0.2">
      <c r="A152" s="4"/>
      <c r="B152" s="5"/>
      <c r="C152" s="5"/>
      <c r="D152" s="5"/>
      <c r="E152" s="5"/>
      <c r="F152" s="5"/>
      <c r="G152" s="5"/>
      <c r="H152" s="5"/>
      <c r="I152" s="4"/>
    </row>
    <row r="153" spans="1:9" x14ac:dyDescent="0.2">
      <c r="A153" s="4"/>
      <c r="B153" s="5"/>
      <c r="C153" s="5"/>
      <c r="D153" s="5"/>
      <c r="E153" s="5"/>
      <c r="F153" s="5"/>
      <c r="G153" s="5"/>
      <c r="H153" s="5"/>
      <c r="I153" s="4"/>
    </row>
    <row r="154" spans="1:9" x14ac:dyDescent="0.2">
      <c r="A154" s="4"/>
      <c r="B154" s="5"/>
      <c r="C154" s="5"/>
      <c r="D154" s="5"/>
      <c r="E154" s="5"/>
      <c r="F154" s="5"/>
      <c r="G154" s="5"/>
      <c r="H154" s="5"/>
      <c r="I154" s="4"/>
    </row>
    <row r="155" spans="1:9" x14ac:dyDescent="0.2">
      <c r="A155" s="4"/>
      <c r="B155" s="5"/>
      <c r="C155" s="5"/>
      <c r="D155" s="5"/>
      <c r="E155" s="5"/>
      <c r="F155" s="5"/>
      <c r="G155" s="5"/>
      <c r="H155" s="5"/>
      <c r="I155" s="4"/>
    </row>
    <row r="156" spans="1:9" x14ac:dyDescent="0.2">
      <c r="A156" s="4"/>
      <c r="B156" s="5"/>
      <c r="C156" s="5"/>
      <c r="D156" s="5"/>
      <c r="E156" s="5"/>
      <c r="F156" s="5"/>
      <c r="G156" s="5"/>
      <c r="H156" s="5"/>
      <c r="I156" s="4"/>
    </row>
    <row r="157" spans="1:9" x14ac:dyDescent="0.2">
      <c r="A157" s="4"/>
      <c r="B157" s="5"/>
      <c r="C157" s="5"/>
      <c r="D157" s="5"/>
      <c r="E157" s="5"/>
      <c r="F157" s="5"/>
      <c r="G157" s="5"/>
      <c r="H157" s="5"/>
      <c r="I157" s="4"/>
    </row>
    <row r="158" spans="1:9" x14ac:dyDescent="0.2">
      <c r="A158" s="4"/>
      <c r="B158" s="5"/>
      <c r="C158" s="5"/>
      <c r="D158" s="5"/>
      <c r="E158" s="5"/>
      <c r="F158" s="5"/>
      <c r="G158" s="5"/>
      <c r="H158" s="5"/>
      <c r="I158" s="4"/>
    </row>
    <row r="159" spans="1:9" x14ac:dyDescent="0.2">
      <c r="A159" s="4"/>
      <c r="B159" s="5"/>
      <c r="C159" s="5"/>
      <c r="D159" s="5"/>
      <c r="E159" s="5"/>
      <c r="F159" s="5"/>
      <c r="G159" s="5"/>
      <c r="H159" s="5"/>
      <c r="I159" s="4"/>
    </row>
    <row r="160" spans="1:9" x14ac:dyDescent="0.2">
      <c r="A160" s="4"/>
      <c r="B160" s="5"/>
      <c r="C160" s="5"/>
      <c r="D160" s="5"/>
      <c r="E160" s="5"/>
      <c r="F160" s="5"/>
      <c r="G160" s="5"/>
      <c r="H160" s="5"/>
      <c r="I160" s="4"/>
    </row>
    <row r="161" spans="1:9" x14ac:dyDescent="0.2">
      <c r="A161" s="4"/>
      <c r="B161" s="5"/>
      <c r="C161" s="5"/>
      <c r="D161" s="5"/>
      <c r="E161" s="5"/>
      <c r="F161" s="5"/>
      <c r="G161" s="5"/>
      <c r="H161" s="5"/>
      <c r="I161" s="4"/>
    </row>
    <row r="162" spans="1:9" x14ac:dyDescent="0.2">
      <c r="A162" s="4"/>
      <c r="B162" s="5"/>
      <c r="C162" s="5"/>
      <c r="D162" s="5"/>
      <c r="E162" s="5"/>
      <c r="F162" s="5"/>
      <c r="G162" s="5"/>
      <c r="H162" s="5"/>
      <c r="I162" s="4"/>
    </row>
    <row r="163" spans="1:9" x14ac:dyDescent="0.2">
      <c r="A163" s="4"/>
      <c r="B163" s="5"/>
      <c r="C163" s="5"/>
      <c r="D163" s="5"/>
      <c r="E163" s="5"/>
      <c r="F163" s="5"/>
      <c r="G163" s="5"/>
      <c r="H163" s="5"/>
      <c r="I163" s="4"/>
    </row>
    <row r="164" spans="1:9" x14ac:dyDescent="0.2">
      <c r="A164" s="4"/>
      <c r="B164" s="5"/>
      <c r="C164" s="5"/>
      <c r="D164" s="5"/>
      <c r="E164" s="5"/>
      <c r="F164" s="5"/>
      <c r="G164" s="5"/>
      <c r="H164" s="5"/>
      <c r="I164" s="4"/>
    </row>
    <row r="165" spans="1:9" x14ac:dyDescent="0.2">
      <c r="A165" s="4"/>
      <c r="B165" s="5"/>
      <c r="C165" s="5"/>
      <c r="D165" s="5"/>
      <c r="E165" s="5"/>
      <c r="F165" s="5"/>
      <c r="G165" s="5"/>
      <c r="H165" s="5"/>
      <c r="I165" s="4"/>
    </row>
    <row r="166" spans="1:9" x14ac:dyDescent="0.2">
      <c r="A166" s="4"/>
      <c r="B166" s="5"/>
      <c r="C166" s="5"/>
      <c r="D166" s="5"/>
      <c r="E166" s="5"/>
      <c r="F166" s="5"/>
      <c r="G166" s="5"/>
      <c r="H166" s="5"/>
      <c r="I166" s="4"/>
    </row>
    <row r="167" spans="1:9" x14ac:dyDescent="0.2">
      <c r="A167" s="4"/>
      <c r="B167" s="5"/>
      <c r="C167" s="5"/>
      <c r="D167" s="5"/>
      <c r="E167" s="5"/>
      <c r="F167" s="5"/>
      <c r="G167" s="5"/>
      <c r="H167" s="5"/>
      <c r="I167" s="4"/>
    </row>
    <row r="168" spans="1:9" x14ac:dyDescent="0.2">
      <c r="A168" s="4"/>
      <c r="B168" s="5"/>
      <c r="C168" s="5"/>
      <c r="D168" s="5"/>
      <c r="E168" s="5"/>
      <c r="F168" s="5"/>
      <c r="G168" s="5"/>
      <c r="H168" s="5"/>
      <c r="I168" s="4"/>
    </row>
    <row r="169" spans="1:9" x14ac:dyDescent="0.2">
      <c r="A169" s="4"/>
      <c r="B169" s="5"/>
      <c r="C169" s="5"/>
      <c r="D169" s="5"/>
      <c r="E169" s="5"/>
      <c r="F169" s="5"/>
      <c r="G169" s="5"/>
      <c r="H169" s="5"/>
      <c r="I169" s="4"/>
    </row>
    <row r="170" spans="1:9" x14ac:dyDescent="0.2">
      <c r="A170" s="4"/>
      <c r="B170" s="5"/>
      <c r="C170" s="5"/>
      <c r="D170" s="5"/>
      <c r="E170" s="5"/>
      <c r="F170" s="5"/>
      <c r="G170" s="5"/>
      <c r="H170" s="5"/>
      <c r="I170" s="4"/>
    </row>
    <row r="171" spans="1:9" x14ac:dyDescent="0.2">
      <c r="A171" s="4"/>
      <c r="B171" s="5"/>
      <c r="C171" s="5"/>
      <c r="D171" s="5"/>
      <c r="E171" s="5"/>
      <c r="F171" s="5"/>
      <c r="G171" s="5"/>
      <c r="H171" s="5"/>
      <c r="I171" s="4"/>
    </row>
    <row r="172" spans="1:9" x14ac:dyDescent="0.2">
      <c r="A172" s="4"/>
      <c r="B172" s="5"/>
      <c r="C172" s="5"/>
      <c r="D172" s="5"/>
      <c r="E172" s="5"/>
      <c r="F172" s="5"/>
      <c r="G172" s="5"/>
      <c r="H172" s="5"/>
      <c r="I172" s="4"/>
    </row>
    <row r="173" spans="1:9" x14ac:dyDescent="0.2">
      <c r="A173" s="4"/>
      <c r="B173" s="5"/>
      <c r="C173" s="5"/>
      <c r="D173" s="5"/>
      <c r="E173" s="5"/>
      <c r="F173" s="5"/>
      <c r="G173" s="5"/>
      <c r="H173" s="5"/>
      <c r="I173" s="4"/>
    </row>
    <row r="174" spans="1:9" x14ac:dyDescent="0.2">
      <c r="A174" s="4"/>
      <c r="B174" s="5"/>
      <c r="C174" s="5"/>
      <c r="D174" s="5"/>
      <c r="E174" s="5"/>
      <c r="F174" s="5"/>
      <c r="G174" s="5"/>
      <c r="H174" s="5"/>
      <c r="I174" s="4"/>
    </row>
    <row r="175" spans="1:9" x14ac:dyDescent="0.2">
      <c r="A175" s="4"/>
      <c r="B175" s="5"/>
      <c r="C175" s="5"/>
      <c r="D175" s="5"/>
      <c r="E175" s="5"/>
      <c r="F175" s="5"/>
      <c r="G175" s="5"/>
      <c r="H175" s="5"/>
      <c r="I175" s="4"/>
    </row>
    <row r="176" spans="1:9" x14ac:dyDescent="0.2">
      <c r="A176" s="4"/>
      <c r="B176" s="5"/>
      <c r="C176" s="5"/>
      <c r="D176" s="5"/>
      <c r="E176" s="5"/>
      <c r="F176" s="5"/>
      <c r="G176" s="5"/>
      <c r="H176" s="5"/>
      <c r="I176" s="4"/>
    </row>
    <row r="177" spans="1:9" x14ac:dyDescent="0.2">
      <c r="A177" s="4"/>
      <c r="B177" s="5"/>
      <c r="C177" s="5"/>
      <c r="D177" s="5"/>
      <c r="E177" s="5"/>
      <c r="F177" s="5"/>
      <c r="G177" s="5"/>
      <c r="H177" s="5"/>
      <c r="I177" s="4"/>
    </row>
    <row r="178" spans="1:9" x14ac:dyDescent="0.2">
      <c r="A178" s="4"/>
      <c r="B178" s="5"/>
      <c r="C178" s="5"/>
      <c r="D178" s="5"/>
      <c r="E178" s="5"/>
      <c r="F178" s="5"/>
      <c r="G178" s="5"/>
      <c r="H178" s="5"/>
      <c r="I178" s="4"/>
    </row>
    <row r="179" spans="1:9" x14ac:dyDescent="0.2">
      <c r="A179" s="4"/>
      <c r="B179" s="5"/>
      <c r="C179" s="5"/>
      <c r="D179" s="5"/>
      <c r="E179" s="5"/>
      <c r="F179" s="5"/>
      <c r="G179" s="5"/>
      <c r="H179" s="5"/>
      <c r="I179" s="4"/>
    </row>
    <row r="180" spans="1:9" x14ac:dyDescent="0.2">
      <c r="A180" s="4"/>
      <c r="B180" s="5"/>
      <c r="C180" s="5"/>
      <c r="D180" s="5"/>
      <c r="E180" s="5"/>
      <c r="F180" s="5"/>
      <c r="G180" s="5"/>
      <c r="H180" s="5"/>
      <c r="I180" s="4"/>
    </row>
    <row r="181" spans="1:9" x14ac:dyDescent="0.2">
      <c r="A181" s="4"/>
      <c r="B181" s="5"/>
      <c r="C181" s="5"/>
      <c r="D181" s="5"/>
      <c r="E181" s="5"/>
      <c r="F181" s="5"/>
      <c r="G181" s="5"/>
      <c r="H181" s="5"/>
      <c r="I181" s="4"/>
    </row>
    <row r="182" spans="1:9" x14ac:dyDescent="0.2">
      <c r="A182" s="4"/>
      <c r="B182" s="5"/>
      <c r="C182" s="5"/>
      <c r="D182" s="5"/>
      <c r="E182" s="5"/>
      <c r="F182" s="5"/>
      <c r="G182" s="5"/>
      <c r="H182" s="5"/>
      <c r="I182" s="4"/>
    </row>
    <row r="183" spans="1:9" x14ac:dyDescent="0.2">
      <c r="A183" s="4"/>
      <c r="B183" s="5"/>
      <c r="C183" s="5"/>
      <c r="D183" s="5"/>
      <c r="E183" s="5"/>
      <c r="F183" s="5"/>
      <c r="G183" s="5"/>
      <c r="H183" s="5"/>
      <c r="I183" s="4"/>
    </row>
    <row r="184" spans="1:9" x14ac:dyDescent="0.2">
      <c r="A184" s="4"/>
      <c r="B184" s="5"/>
      <c r="C184" s="5"/>
      <c r="D184" s="5"/>
      <c r="E184" s="5"/>
      <c r="F184" s="5"/>
      <c r="G184" s="5"/>
      <c r="H184" s="5"/>
      <c r="I184" s="4"/>
    </row>
    <row r="185" spans="1:9" x14ac:dyDescent="0.2">
      <c r="A185" s="4"/>
      <c r="B185" s="5"/>
      <c r="C185" s="5"/>
      <c r="D185" s="5"/>
      <c r="E185" s="5"/>
      <c r="F185" s="5"/>
      <c r="G185" s="5"/>
      <c r="H185" s="5"/>
      <c r="I185" s="4"/>
    </row>
    <row r="186" spans="1:9" x14ac:dyDescent="0.2">
      <c r="A186" s="4"/>
      <c r="B186" s="5"/>
      <c r="C186" s="5"/>
      <c r="D186" s="5"/>
      <c r="E186" s="5"/>
      <c r="F186" s="5"/>
      <c r="G186" s="5"/>
      <c r="H186" s="5"/>
      <c r="I186" s="4"/>
    </row>
    <row r="187" spans="1:9" x14ac:dyDescent="0.2">
      <c r="A187" s="4"/>
      <c r="B187" s="5"/>
      <c r="C187" s="5"/>
      <c r="D187" s="5"/>
      <c r="E187" s="5"/>
      <c r="F187" s="5"/>
      <c r="G187" s="5"/>
      <c r="H187" s="5"/>
      <c r="I187" s="4"/>
    </row>
    <row r="188" spans="1:9" x14ac:dyDescent="0.2">
      <c r="A188" s="4"/>
      <c r="B188" s="5"/>
      <c r="C188" s="5"/>
      <c r="D188" s="5"/>
      <c r="E188" s="5"/>
      <c r="F188" s="5"/>
      <c r="G188" s="5"/>
      <c r="H188" s="5"/>
      <c r="I188" s="4"/>
    </row>
    <row r="189" spans="1:9" x14ac:dyDescent="0.2">
      <c r="A189" s="4"/>
      <c r="B189" s="5"/>
      <c r="C189" s="5"/>
      <c r="D189" s="5"/>
      <c r="E189" s="5"/>
      <c r="F189" s="5"/>
      <c r="G189" s="5"/>
      <c r="H189" s="5"/>
      <c r="I189" s="4"/>
    </row>
    <row r="190" spans="1:9" x14ac:dyDescent="0.2">
      <c r="A190" s="4"/>
      <c r="B190" s="5"/>
      <c r="C190" s="5"/>
      <c r="D190" s="5"/>
      <c r="E190" s="5"/>
      <c r="F190" s="5"/>
      <c r="G190" s="5"/>
      <c r="H190" s="5"/>
      <c r="I190" s="4"/>
    </row>
    <row r="191" spans="1:9" x14ac:dyDescent="0.2">
      <c r="A191" s="4"/>
      <c r="B191" s="5"/>
      <c r="C191" s="5"/>
      <c r="D191" s="5"/>
      <c r="E191" s="5"/>
      <c r="F191" s="5"/>
      <c r="G191" s="5"/>
      <c r="H191" s="5"/>
      <c r="I191" s="4"/>
    </row>
    <row r="192" spans="1:9" x14ac:dyDescent="0.2">
      <c r="A192" s="4"/>
      <c r="B192" s="5"/>
      <c r="C192" s="5"/>
      <c r="D192" s="5"/>
      <c r="E192" s="5"/>
      <c r="F192" s="5"/>
      <c r="G192" s="5"/>
      <c r="H192" s="5"/>
      <c r="I192" s="4"/>
    </row>
    <row r="193" spans="1:9" x14ac:dyDescent="0.2">
      <c r="A193" s="4"/>
      <c r="B193" s="5"/>
      <c r="C193" s="5"/>
      <c r="D193" s="5"/>
      <c r="E193" s="5"/>
      <c r="F193" s="5"/>
      <c r="G193" s="5"/>
      <c r="H193" s="5"/>
      <c r="I193" s="4"/>
    </row>
    <row r="194" spans="1:9" x14ac:dyDescent="0.2">
      <c r="A194" s="4"/>
      <c r="B194" s="5"/>
      <c r="C194" s="5"/>
      <c r="D194" s="5"/>
      <c r="E194" s="5"/>
      <c r="F194" s="5"/>
      <c r="G194" s="5"/>
      <c r="H194" s="5"/>
      <c r="I194" s="4"/>
    </row>
    <row r="195" spans="1:9" x14ac:dyDescent="0.2">
      <c r="A195" s="4"/>
      <c r="B195" s="5"/>
      <c r="C195" s="5"/>
      <c r="D195" s="5"/>
      <c r="E195" s="5"/>
      <c r="F195" s="5"/>
      <c r="G195" s="5"/>
      <c r="H195" s="5"/>
      <c r="I19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86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2" max="2" width="12" customWidth="1"/>
    <col min="3" max="3" width="12.1640625" bestFit="1" customWidth="1"/>
    <col min="4" max="4" width="12.6640625" bestFit="1" customWidth="1"/>
    <col min="5" max="7" width="10.33203125" customWidth="1"/>
    <col min="9" max="9" width="12.83203125" customWidth="1"/>
    <col min="11" max="11" width="11.5" customWidth="1"/>
    <col min="12" max="12" width="12.1640625" customWidth="1"/>
    <col min="21" max="21" width="12.1640625" bestFit="1" customWidth="1"/>
  </cols>
  <sheetData>
    <row r="1" spans="2:14" ht="20" customHeight="1" x14ac:dyDescent="0.2">
      <c r="B1" t="s">
        <v>0</v>
      </c>
    </row>
    <row r="2" spans="2:14" ht="20" customHeight="1" x14ac:dyDescent="0.2">
      <c r="B2" s="3"/>
      <c r="C2" s="229" t="s">
        <v>1</v>
      </c>
      <c r="D2" s="231"/>
      <c r="E2" s="229" t="s">
        <v>2</v>
      </c>
      <c r="F2" s="230"/>
      <c r="G2" s="231"/>
      <c r="H2" s="229" t="s">
        <v>3</v>
      </c>
      <c r="I2" s="230"/>
      <c r="J2" s="231"/>
      <c r="K2" s="59" t="s">
        <v>4</v>
      </c>
    </row>
    <row r="3" spans="2:14" ht="20" customHeight="1" x14ac:dyDescent="0.2">
      <c r="B3" s="59" t="s">
        <v>5</v>
      </c>
      <c r="C3" s="60" t="s">
        <v>6</v>
      </c>
      <c r="D3" s="61" t="s">
        <v>7</v>
      </c>
      <c r="E3" s="61" t="s">
        <v>8</v>
      </c>
      <c r="F3" s="61" t="s">
        <v>9</v>
      </c>
      <c r="G3" s="61" t="s">
        <v>10</v>
      </c>
      <c r="H3" s="61" t="s">
        <v>11</v>
      </c>
      <c r="I3" s="61" t="s">
        <v>12</v>
      </c>
      <c r="J3" s="61" t="s">
        <v>13</v>
      </c>
      <c r="K3" s="22" t="s">
        <v>14</v>
      </c>
    </row>
    <row r="4" spans="2:14" x14ac:dyDescent="0.2">
      <c r="B4" s="143">
        <v>1</v>
      </c>
      <c r="C4" s="144">
        <f>Dane!J11</f>
        <v>184.51</v>
      </c>
      <c r="D4" s="145">
        <f>Dane!K11</f>
        <v>152.15</v>
      </c>
      <c r="E4" s="146">
        <f>Dane!C27/10000</f>
        <v>8.7500000000000002E-4</v>
      </c>
      <c r="F4" s="146">
        <f>Dane!D27/1000</f>
        <v>-5.5199999999999997E-3</v>
      </c>
      <c r="G4" s="146">
        <f>Dane!E27/1000</f>
        <v>3.4500000000000004E-3</v>
      </c>
      <c r="H4" s="147">
        <f>Dane!F8-Dane!D8</f>
        <v>5.8199999999999363E-3</v>
      </c>
      <c r="I4" s="147">
        <f>Dane!F9-Dane!D9</f>
        <v>4.7999999999888132E-3</v>
      </c>
      <c r="J4" s="147">
        <f>Dane!F10-Dane!D10</f>
        <v>-9.3799999999930606E-3</v>
      </c>
      <c r="K4" s="148">
        <f>SQRT(Dane!E8^2+Dane!G8^2)/10000</f>
        <v>2.5000000000000001E-4</v>
      </c>
    </row>
    <row r="5" spans="2:14" x14ac:dyDescent="0.2">
      <c r="B5" s="113">
        <v>2</v>
      </c>
      <c r="C5" s="149">
        <f>Dane!J12</f>
        <v>161.07</v>
      </c>
      <c r="D5" s="150">
        <f>Dane!K12</f>
        <v>208.17</v>
      </c>
      <c r="E5" s="151">
        <f>'Metoda analityczna'!A93</f>
        <v>0</v>
      </c>
      <c r="F5" s="151">
        <f>'Metoda analityczna'!B93</f>
        <v>0</v>
      </c>
      <c r="G5" s="151">
        <f>'Metoda analityczna'!C93</f>
        <v>0</v>
      </c>
      <c r="H5" s="152">
        <f>'Wyr. wst. i met. analit.-graf.'!F9</f>
        <v>1.8640000000033297E-2</v>
      </c>
      <c r="I5" s="152">
        <f>'Wyr. wst. i met. analit.-graf.'!F10</f>
        <v>2.5760000000019545E-2</v>
      </c>
      <c r="J5" s="153">
        <f>'Wyr. wst. i met. analit.-graf.'!F11</f>
        <v>1.4300000000019963E-2</v>
      </c>
      <c r="K5" s="154">
        <f>SQRT(Dane!E11^2+Dane!G11^2)/10000</f>
        <v>3.2015621187164245E-4</v>
      </c>
      <c r="L5" t="s">
        <v>15</v>
      </c>
    </row>
    <row r="6" spans="2:14" ht="20" customHeight="1" x14ac:dyDescent="0.2">
      <c r="B6" s="116">
        <v>3</v>
      </c>
      <c r="C6" s="155">
        <f>Dane!J19</f>
        <v>170.41</v>
      </c>
      <c r="D6" s="156">
        <f>Dane!K19</f>
        <v>276.09699999999998</v>
      </c>
      <c r="E6" s="157">
        <f>Dane!C28/10000</f>
        <v>-1.289E-3</v>
      </c>
      <c r="F6" s="157">
        <f>Dane!D28/1000</f>
        <v>-4.9100000000000003E-3</v>
      </c>
      <c r="G6" s="157">
        <f>Dane!E28/1000</f>
        <v>-3.3700000000000002E-3</v>
      </c>
      <c r="H6" s="158">
        <f>Dane!F20-Dane!D20</f>
        <v>2.1600000000034925E-3</v>
      </c>
      <c r="I6" s="159">
        <f>Dane!F21-Dane!D21</f>
        <v>5.920000000003256E-3</v>
      </c>
      <c r="J6" s="159">
        <f>Dane!F22-Dane!D22</f>
        <v>1.5820000000019263E-2</v>
      </c>
      <c r="K6" s="160">
        <f>SQRT(Dane!E20^2+Dane!G20^2)/10000</f>
        <v>2.8284271247461902E-4</v>
      </c>
    </row>
    <row r="7" spans="2:14" ht="20" customHeight="1" thickBot="1" x14ac:dyDescent="0.25"/>
    <row r="8" spans="2:14" ht="20" customHeight="1" thickBot="1" x14ac:dyDescent="0.25">
      <c r="B8" s="3"/>
      <c r="C8" s="229" t="s">
        <v>1</v>
      </c>
      <c r="D8" s="231"/>
      <c r="F8" s="223" t="s">
        <v>21</v>
      </c>
      <c r="G8" s="224"/>
      <c r="H8" s="224"/>
      <c r="I8" s="225"/>
      <c r="K8" s="223" t="s">
        <v>22</v>
      </c>
      <c r="L8" s="224"/>
      <c r="M8" s="224"/>
      <c r="N8" s="225"/>
    </row>
    <row r="9" spans="2:14" ht="20" customHeight="1" thickBot="1" x14ac:dyDescent="0.25">
      <c r="B9" s="3"/>
      <c r="C9" s="21" t="s">
        <v>16</v>
      </c>
      <c r="D9" s="22" t="s">
        <v>17</v>
      </c>
      <c r="F9" s="137" t="s">
        <v>23</v>
      </c>
      <c r="G9" s="167" t="s">
        <v>18</v>
      </c>
      <c r="H9" s="168" t="s">
        <v>19</v>
      </c>
      <c r="I9" s="169" t="s">
        <v>20</v>
      </c>
      <c r="K9" s="137" t="s">
        <v>23</v>
      </c>
      <c r="L9" s="167" t="s">
        <v>18</v>
      </c>
      <c r="M9" s="168" t="s">
        <v>19</v>
      </c>
      <c r="N9" s="169" t="s">
        <v>20</v>
      </c>
    </row>
    <row r="10" spans="2:14" x14ac:dyDescent="0.2">
      <c r="B10" s="71" t="s">
        <v>18</v>
      </c>
      <c r="C10" s="161">
        <f>Dane!J8</f>
        <v>231.25</v>
      </c>
      <c r="D10" s="162">
        <f>Dane!K8</f>
        <v>199.36</v>
      </c>
      <c r="F10" s="71">
        <v>1</v>
      </c>
      <c r="G10" s="72">
        <f>-((D$10-D4)/((C$10-C4)^2+(D$10-D4)^2))*200/PI()</f>
        <v>-0.680988348616412</v>
      </c>
      <c r="H10" s="107">
        <f>-((D$11-D4)/((C$11-C4)^2+(D$11-D4)^2))*200/PI()</f>
        <v>-0.63596223449796352</v>
      </c>
      <c r="I10" s="73">
        <f>-((D$12-D4)/((C$12-C4)^2+(D$12-D4)^2))*200/PI()</f>
        <v>-0.51937523078788006</v>
      </c>
      <c r="K10" s="71">
        <v>1</v>
      </c>
      <c r="L10" s="72">
        <f>((C$10-C4)/((C$10-C4)^2+(D$10-D4)^2))*200/PI()</f>
        <v>0.67420875692292082</v>
      </c>
      <c r="M10" s="107">
        <f>((C$11-C4)/((C$11-C4)^2+(D$11-D4)^2))*200/PI()</f>
        <v>0.43077127163312962</v>
      </c>
      <c r="N10" s="73">
        <f>((C$12-C4)/((C$12-C4)^2+(D$12-D4)^2))*200/PI()</f>
        <v>0.2395693406483721</v>
      </c>
    </row>
    <row r="11" spans="2:14" x14ac:dyDescent="0.2">
      <c r="B11" s="76" t="s">
        <v>19</v>
      </c>
      <c r="C11" s="163">
        <f>Dane!J9</f>
        <v>230.99</v>
      </c>
      <c r="D11" s="164">
        <f>Dane!K9</f>
        <v>220.77</v>
      </c>
      <c r="F11" s="76">
        <v>2</v>
      </c>
      <c r="G11" s="80">
        <f>-((D$10-D5)/((C$10-C5)^2+(D$10-D5)^2))*200/PI()</f>
        <v>0.11210853565840291</v>
      </c>
      <c r="H11" s="112">
        <f>-((D$11-D5)/((C$11-C5)^2+(D$11-D5)^2))*200/PI()</f>
        <v>-0.15891636674321979</v>
      </c>
      <c r="I11" s="81">
        <f>-((D$12-D5)/((C$12-C5)^2+(D$12-D5)^2))*200/PI()</f>
        <v>-0.41337718227635772</v>
      </c>
      <c r="K11" s="76">
        <v>2</v>
      </c>
      <c r="L11" s="80">
        <f>((C$10-C5)/((C$10-C5)^2+(D$10-D5)^2))*200/PI()</f>
        <v>0.8930507414877118</v>
      </c>
      <c r="M11" s="112">
        <f>((C$11-C5)/((C$11-C5)^2+(D$11-D5)^2))*200/PI()</f>
        <v>0.88185971132427854</v>
      </c>
      <c r="N11" s="81">
        <f>((C$12-C5)/((C$12-C5)^2+(D$12-D5)^2))*200/PI()</f>
        <v>0.64286804417939214</v>
      </c>
    </row>
    <row r="12" spans="2:14" ht="20" customHeight="1" thickBot="1" x14ac:dyDescent="0.25">
      <c r="B12" s="83" t="s">
        <v>20</v>
      </c>
      <c r="C12" s="165">
        <f>Dane!J10</f>
        <v>231.13</v>
      </c>
      <c r="D12" s="166">
        <f>Dane!K10</f>
        <v>253.22</v>
      </c>
      <c r="F12" s="83">
        <v>3</v>
      </c>
      <c r="G12" s="46">
        <f>-((D$10-D6)/((C$10-C6)^2+(D$10-D6)^2))*200/PI()</f>
        <v>0.50940480483199857</v>
      </c>
      <c r="H12" s="114">
        <f>-((D$11-D6)/((C$11-C6)^2+(D$11-D6)^2))*200/PI()</f>
        <v>0.52328320305100329</v>
      </c>
      <c r="I12" s="85">
        <f>-((D$12-D6)/((C$12-C6)^2+(D$12-D6)^2))*200/PI()</f>
        <v>0.34591442845338666</v>
      </c>
      <c r="K12" s="83">
        <v>3</v>
      </c>
      <c r="L12" s="84">
        <f>((C$10-C6)/((C$10-C6)^2+(D$10-D6)^2))*200/PI()</f>
        <v>0.40387542288568501</v>
      </c>
      <c r="M12" s="114">
        <f>((C$11-C6)/((C$11-C6)^2+(D$11-D6)^2))*200/PI()</f>
        <v>0.57296611854663726</v>
      </c>
      <c r="N12" s="85">
        <f>((C$12-C6)/((C$12-C6)^2+(D$12-D6)^2))*200/PI()</f>
        <v>0.91812405891024396</v>
      </c>
    </row>
    <row r="13" spans="2:14" ht="20" customHeight="1" x14ac:dyDescent="0.2"/>
    <row r="14" spans="2:14" ht="20" customHeight="1" x14ac:dyDescent="0.2"/>
    <row r="15" spans="2:14" ht="20" customHeight="1" x14ac:dyDescent="0.2"/>
    <row r="18" spans="2:19" ht="20" customHeight="1" x14ac:dyDescent="0.2"/>
    <row r="19" spans="2:19" ht="20" customHeight="1" thickBot="1" x14ac:dyDescent="0.25"/>
    <row r="20" spans="2:19" ht="20" customHeight="1" x14ac:dyDescent="0.2">
      <c r="D20" s="236" t="s">
        <v>24</v>
      </c>
      <c r="E20" s="230"/>
      <c r="F20" s="230"/>
      <c r="G20" s="230"/>
      <c r="H20" s="230"/>
      <c r="I20" s="231"/>
    </row>
    <row r="21" spans="2:19" ht="19.75" customHeight="1" x14ac:dyDescent="0.2">
      <c r="D21" s="21" t="s">
        <v>25</v>
      </c>
      <c r="E21" s="61" t="s">
        <v>26</v>
      </c>
      <c r="F21" s="61" t="s">
        <v>27</v>
      </c>
      <c r="G21" s="61" t="s">
        <v>28</v>
      </c>
      <c r="H21" s="61" t="s">
        <v>29</v>
      </c>
      <c r="I21" s="22" t="s">
        <v>30</v>
      </c>
      <c r="J21" s="170" t="s">
        <v>31</v>
      </c>
      <c r="K21" s="61" t="s">
        <v>32</v>
      </c>
      <c r="L21" s="142" t="s">
        <v>33</v>
      </c>
      <c r="M21" s="21" t="s">
        <v>14</v>
      </c>
      <c r="N21" s="22" t="s">
        <v>34</v>
      </c>
    </row>
    <row r="22" spans="2:19" x14ac:dyDescent="0.2">
      <c r="B22" s="235" t="s">
        <v>18</v>
      </c>
      <c r="C22" s="172" t="s">
        <v>35</v>
      </c>
      <c r="D22" s="161">
        <f>G10</f>
        <v>-0.680988348616412</v>
      </c>
      <c r="E22" s="173">
        <f>L10</f>
        <v>0.67420875692292082</v>
      </c>
      <c r="F22" s="174">
        <v>0</v>
      </c>
      <c r="G22" s="174">
        <v>0</v>
      </c>
      <c r="H22" s="174">
        <v>0</v>
      </c>
      <c r="I22" s="175">
        <v>0</v>
      </c>
      <c r="J22" s="92">
        <f>-E4-G10*F4-L10*G4</f>
        <v>-6.9600758957466709E-3</v>
      </c>
      <c r="K22" s="107">
        <f>H4</f>
        <v>5.8199999999999363E-3</v>
      </c>
      <c r="L22" s="176">
        <f t="shared" ref="L22:L30" si="0">K22-J22</f>
        <v>1.2780075895746607E-2</v>
      </c>
      <c r="M22" s="72">
        <f>K4</f>
        <v>2.5000000000000001E-4</v>
      </c>
      <c r="N22" s="177">
        <f t="shared" ref="N22:N30" si="1">SQRT(1/M22^2)</f>
        <v>4000</v>
      </c>
    </row>
    <row r="23" spans="2:19" x14ac:dyDescent="0.2">
      <c r="B23" s="221"/>
      <c r="C23" s="178" t="s">
        <v>36</v>
      </c>
      <c r="D23" s="163">
        <f>G11</f>
        <v>0.11210853565840291</v>
      </c>
      <c r="E23" s="150">
        <f>L11</f>
        <v>0.8930507414877118</v>
      </c>
      <c r="F23" s="152">
        <v>0</v>
      </c>
      <c r="G23" s="152">
        <v>0</v>
      </c>
      <c r="H23" s="152">
        <v>0</v>
      </c>
      <c r="I23" s="179">
        <v>0</v>
      </c>
      <c r="J23" s="94">
        <f>-E5-G11*F5-L11*G5</f>
        <v>0</v>
      </c>
      <c r="K23" s="112">
        <f>H5</f>
        <v>1.8640000000033297E-2</v>
      </c>
      <c r="L23" s="180">
        <f t="shared" si="0"/>
        <v>1.8640000000033297E-2</v>
      </c>
      <c r="M23" s="80">
        <f>K5</f>
        <v>3.2015621187164245E-4</v>
      </c>
      <c r="N23" s="181">
        <f t="shared" si="1"/>
        <v>3123.4752377721211</v>
      </c>
    </row>
    <row r="24" spans="2:19" x14ac:dyDescent="0.2">
      <c r="B24" s="222"/>
      <c r="C24" s="178" t="s">
        <v>37</v>
      </c>
      <c r="D24" s="163">
        <f>G12</f>
        <v>0.50940480483199857</v>
      </c>
      <c r="E24" s="150">
        <f>L12</f>
        <v>0.40387542288568501</v>
      </c>
      <c r="F24" s="152">
        <v>0</v>
      </c>
      <c r="G24" s="152">
        <v>0</v>
      </c>
      <c r="H24" s="152">
        <v>0</v>
      </c>
      <c r="I24" s="179">
        <v>0</v>
      </c>
      <c r="J24" s="94">
        <f>-E6-G12*F6-L12*G6</f>
        <v>5.1512377668498713E-3</v>
      </c>
      <c r="K24" s="100">
        <f>H6</f>
        <v>2.1600000000034925E-3</v>
      </c>
      <c r="L24" s="180">
        <f t="shared" si="0"/>
        <v>-2.9912377668463788E-3</v>
      </c>
      <c r="M24" s="80">
        <f>K6</f>
        <v>2.8284271247461902E-4</v>
      </c>
      <c r="N24" s="181">
        <f t="shared" si="1"/>
        <v>3535.5339059327375</v>
      </c>
    </row>
    <row r="25" spans="2:19" x14ac:dyDescent="0.2">
      <c r="B25" s="220" t="s">
        <v>19</v>
      </c>
      <c r="C25" s="178" t="s">
        <v>35</v>
      </c>
      <c r="D25" s="183">
        <v>0</v>
      </c>
      <c r="E25" s="152">
        <v>0</v>
      </c>
      <c r="F25" s="150">
        <f>H10</f>
        <v>-0.63596223449796352</v>
      </c>
      <c r="G25" s="150">
        <f>M10</f>
        <v>0.43077127163312962</v>
      </c>
      <c r="H25" s="152">
        <v>0</v>
      </c>
      <c r="I25" s="179">
        <v>0</v>
      </c>
      <c r="J25" s="94">
        <f>-E4-H10*F4-M10*G4</f>
        <v>-5.8716724215630567E-3</v>
      </c>
      <c r="K25" s="112">
        <f>I4</f>
        <v>4.7999999999888132E-3</v>
      </c>
      <c r="L25" s="180">
        <f t="shared" si="0"/>
        <v>1.067167242155187E-2</v>
      </c>
      <c r="M25" s="80">
        <f>K4</f>
        <v>2.5000000000000001E-4</v>
      </c>
      <c r="N25" s="181">
        <f t="shared" si="1"/>
        <v>4000</v>
      </c>
    </row>
    <row r="26" spans="2:19" x14ac:dyDescent="0.2">
      <c r="B26" s="221"/>
      <c r="C26" s="178" t="s">
        <v>36</v>
      </c>
      <c r="D26" s="183">
        <v>0</v>
      </c>
      <c r="E26" s="152">
        <v>0</v>
      </c>
      <c r="F26" s="150">
        <f>H11</f>
        <v>-0.15891636674321979</v>
      </c>
      <c r="G26" s="150">
        <f>M11</f>
        <v>0.88185971132427854</v>
      </c>
      <c r="H26" s="152">
        <v>0</v>
      </c>
      <c r="I26" s="179">
        <v>0</v>
      </c>
      <c r="J26" s="94">
        <f>-E5-H11*F5-M11*G5</f>
        <v>0</v>
      </c>
      <c r="K26" s="112">
        <f>I5</f>
        <v>2.5760000000019545E-2</v>
      </c>
      <c r="L26" s="180">
        <f t="shared" si="0"/>
        <v>2.5760000000019545E-2</v>
      </c>
      <c r="M26" s="80">
        <f>K5</f>
        <v>3.2015621187164245E-4</v>
      </c>
      <c r="N26" s="181">
        <f t="shared" si="1"/>
        <v>3123.4752377721211</v>
      </c>
    </row>
    <row r="27" spans="2:19" x14ac:dyDescent="0.2">
      <c r="B27" s="222"/>
      <c r="C27" s="178" t="s">
        <v>37</v>
      </c>
      <c r="D27" s="183">
        <v>0</v>
      </c>
      <c r="E27" s="152">
        <v>0</v>
      </c>
      <c r="F27" s="150">
        <f>H12</f>
        <v>0.52328320305100329</v>
      </c>
      <c r="G27" s="150">
        <f>M12</f>
        <v>0.57296611854663726</v>
      </c>
      <c r="H27" s="152">
        <v>0</v>
      </c>
      <c r="I27" s="179">
        <v>0</v>
      </c>
      <c r="J27" s="94">
        <f>-E6-H12*F6-M12*G6</f>
        <v>5.7892163464825942E-3</v>
      </c>
      <c r="K27" s="112">
        <f>I6</f>
        <v>5.920000000003256E-3</v>
      </c>
      <c r="L27" s="180">
        <f t="shared" si="0"/>
        <v>1.3078365352066183E-4</v>
      </c>
      <c r="M27" s="80">
        <f>K6</f>
        <v>2.8284271247461902E-4</v>
      </c>
      <c r="N27" s="181">
        <f t="shared" si="1"/>
        <v>3535.5339059327375</v>
      </c>
    </row>
    <row r="28" spans="2:19" x14ac:dyDescent="0.2">
      <c r="B28" s="220" t="s">
        <v>20</v>
      </c>
      <c r="C28" s="178" t="s">
        <v>35</v>
      </c>
      <c r="D28" s="183">
        <v>0</v>
      </c>
      <c r="E28" s="152">
        <v>0</v>
      </c>
      <c r="F28" s="152">
        <v>0</v>
      </c>
      <c r="G28" s="152">
        <v>0</v>
      </c>
      <c r="H28" s="150">
        <f>I10</f>
        <v>-0.51937523078788006</v>
      </c>
      <c r="I28" s="164">
        <f>N10</f>
        <v>0.2395693406483721</v>
      </c>
      <c r="J28" s="94">
        <f>-E4-I10*F4-N10*G4</f>
        <v>-4.5684654991859815E-3</v>
      </c>
      <c r="K28" s="112">
        <f>J4</f>
        <v>-9.3799999999930606E-3</v>
      </c>
      <c r="L28" s="180">
        <f t="shared" si="0"/>
        <v>-4.8115345008070791E-3</v>
      </c>
      <c r="M28" s="80">
        <f>K4</f>
        <v>2.5000000000000001E-4</v>
      </c>
      <c r="N28" s="181">
        <f t="shared" si="1"/>
        <v>4000</v>
      </c>
    </row>
    <row r="29" spans="2:19" x14ac:dyDescent="0.2">
      <c r="B29" s="221"/>
      <c r="C29" s="178" t="s">
        <v>36</v>
      </c>
      <c r="D29" s="183">
        <v>0</v>
      </c>
      <c r="E29" s="152">
        <v>0</v>
      </c>
      <c r="F29" s="152">
        <v>0</v>
      </c>
      <c r="G29" s="152">
        <v>0</v>
      </c>
      <c r="H29" s="150">
        <f>I11</f>
        <v>-0.41337718227635772</v>
      </c>
      <c r="I29" s="164">
        <f>N11</f>
        <v>0.64286804417939214</v>
      </c>
      <c r="J29" s="94">
        <f>-E5-I11*F5-N11*G5</f>
        <v>0</v>
      </c>
      <c r="K29" s="100">
        <f>J5</f>
        <v>1.4300000000019963E-2</v>
      </c>
      <c r="L29" s="180">
        <f t="shared" si="0"/>
        <v>1.4300000000019963E-2</v>
      </c>
      <c r="M29" s="80">
        <f>K5</f>
        <v>3.2015621187164245E-4</v>
      </c>
      <c r="N29" s="181">
        <f t="shared" si="1"/>
        <v>3123.4752377721211</v>
      </c>
    </row>
    <row r="30" spans="2:19" ht="20" customHeight="1" x14ac:dyDescent="0.2">
      <c r="B30" s="222"/>
      <c r="C30" s="184" t="s">
        <v>37</v>
      </c>
      <c r="D30" s="185">
        <v>0</v>
      </c>
      <c r="E30" s="159">
        <v>0</v>
      </c>
      <c r="F30" s="159">
        <v>0</v>
      </c>
      <c r="G30" s="159">
        <v>0</v>
      </c>
      <c r="H30" s="156">
        <f>I12</f>
        <v>0.34591442845338666</v>
      </c>
      <c r="I30" s="166">
        <f>N12</f>
        <v>0.91812405891024396</v>
      </c>
      <c r="J30" s="140">
        <f>-E6-I12*F6-N12*G6</f>
        <v>6.0815179222336504E-3</v>
      </c>
      <c r="K30" s="114">
        <f>J6</f>
        <v>1.5820000000019263E-2</v>
      </c>
      <c r="L30" s="186">
        <f t="shared" si="0"/>
        <v>9.7384820777856127E-3</v>
      </c>
      <c r="M30" s="84">
        <f>K6</f>
        <v>2.8284271247461902E-4</v>
      </c>
      <c r="N30" s="67">
        <f t="shared" si="1"/>
        <v>3535.5339059327375</v>
      </c>
    </row>
    <row r="31" spans="2:19" ht="20" customHeight="1" thickBot="1" x14ac:dyDescent="0.25"/>
    <row r="32" spans="2:19" ht="20" customHeight="1" thickBot="1" x14ac:dyDescent="0.25">
      <c r="B32" s="236" t="s">
        <v>38</v>
      </c>
      <c r="C32" s="230"/>
      <c r="D32" s="230"/>
      <c r="E32" s="230"/>
      <c r="F32" s="230"/>
      <c r="G32" s="231"/>
      <c r="I32" s="223" t="s">
        <v>39</v>
      </c>
      <c r="K32" s="232" t="s">
        <v>40</v>
      </c>
      <c r="L32" s="224"/>
      <c r="M32" s="224"/>
      <c r="N32" s="224"/>
      <c r="O32" s="224"/>
      <c r="P32" s="224"/>
      <c r="Q32" s="224"/>
      <c r="R32" s="224"/>
      <c r="S32" s="225"/>
    </row>
    <row r="33" spans="2:19" ht="20" customHeight="1" thickBot="1" x14ac:dyDescent="0.25">
      <c r="B33" s="187" t="s">
        <v>25</v>
      </c>
      <c r="C33" s="188" t="s">
        <v>26</v>
      </c>
      <c r="D33" s="188" t="s">
        <v>27</v>
      </c>
      <c r="E33" s="188" t="s">
        <v>28</v>
      </c>
      <c r="F33" s="188" t="s">
        <v>29</v>
      </c>
      <c r="G33" s="189" t="s">
        <v>30</v>
      </c>
      <c r="I33" s="221"/>
      <c r="K33" s="72">
        <f>INDEX($B$34:$G$42,1,1)</f>
        <v>-2723.9533944656482</v>
      </c>
      <c r="L33" s="107">
        <f>INDEX($B$34:$G$42,2,1)</f>
        <v>350.16823507191435</v>
      </c>
      <c r="M33" s="107">
        <f>INDEX($B$34:$G$42,3,1)</f>
        <v>1801.0179593285798</v>
      </c>
      <c r="N33" s="107">
        <f>INDEX($B$34:$G$42,4,1)</f>
        <v>0</v>
      </c>
      <c r="O33" s="107">
        <f>INDEX($B$34:$G$42,5,1)</f>
        <v>0</v>
      </c>
      <c r="P33" s="107">
        <f>INDEX($B$34:$G$42,6,1)</f>
        <v>0</v>
      </c>
      <c r="Q33" s="107">
        <f>INDEX($B$34:$G$42,7,1)</f>
        <v>0</v>
      </c>
      <c r="R33" s="107">
        <f>INDEX($B$34:$G$42,8,1)</f>
        <v>0</v>
      </c>
      <c r="S33" s="73">
        <f>INDEX($B$34:$G$42,9,1)</f>
        <v>0</v>
      </c>
    </row>
    <row r="34" spans="2:19" x14ac:dyDescent="0.2">
      <c r="B34" s="72">
        <f>D22*N22</f>
        <v>-2723.9533944656482</v>
      </c>
      <c r="C34" s="107">
        <f>E22*N22</f>
        <v>2696.8350276916831</v>
      </c>
      <c r="D34" s="107">
        <v>0</v>
      </c>
      <c r="E34" s="107">
        <v>0</v>
      </c>
      <c r="F34" s="107">
        <v>0</v>
      </c>
      <c r="G34" s="73">
        <v>0</v>
      </c>
      <c r="I34" s="190">
        <f t="shared" ref="I34:I42" si="2">L22*N22</f>
        <v>51.120303582986431</v>
      </c>
      <c r="K34" s="80">
        <f>INDEX($B$34:$G$42,1,2)</f>
        <v>2696.8350276916831</v>
      </c>
      <c r="L34" s="112">
        <f>INDEX($B$34:$G$42,2,2)</f>
        <v>2789.4218771108995</v>
      </c>
      <c r="M34" s="112">
        <f>INDEX($B$34:$G$42,3,2)</f>
        <v>1427.9152513852621</v>
      </c>
      <c r="N34" s="112">
        <f>INDEX($B$34:$G$42,4,2)</f>
        <v>0</v>
      </c>
      <c r="O34" s="112">
        <f>INDEX($B$34:$G$42,5,2)</f>
        <v>0</v>
      </c>
      <c r="P34" s="112">
        <f>INDEX($B$34:$G$42,6,2)</f>
        <v>0</v>
      </c>
      <c r="Q34" s="112">
        <f>INDEX($B$34:$G$42,7,2)</f>
        <v>0</v>
      </c>
      <c r="R34" s="112">
        <f>INDEX($B$34:$G$42,8,2)</f>
        <v>0</v>
      </c>
      <c r="S34" s="81">
        <f>INDEX($B$34:$G$42,9,2)</f>
        <v>0</v>
      </c>
    </row>
    <row r="35" spans="2:19" x14ac:dyDescent="0.2">
      <c r="B35" s="80">
        <f>D23*N23</f>
        <v>350.16823507191435</v>
      </c>
      <c r="C35" s="112">
        <f>E23*N23</f>
        <v>2789.4218771108995</v>
      </c>
      <c r="D35" s="112">
        <v>0</v>
      </c>
      <c r="E35" s="112">
        <v>0</v>
      </c>
      <c r="F35" s="112">
        <v>0</v>
      </c>
      <c r="G35" s="81">
        <v>0</v>
      </c>
      <c r="I35" s="191">
        <f t="shared" si="2"/>
        <v>58.221578432176337</v>
      </c>
      <c r="K35" s="80">
        <f>INDEX($B$34:$G$42,1,3)</f>
        <v>0</v>
      </c>
      <c r="L35" s="112">
        <f>INDEX($B$34:$G$42,2,3)</f>
        <v>0</v>
      </c>
      <c r="M35" s="112">
        <f>INDEX($B$34:$G$42,3,3)</f>
        <v>0</v>
      </c>
      <c r="N35" s="112">
        <f>INDEX($B$34:$G$42,4,3)</f>
        <v>-2543.8489379918542</v>
      </c>
      <c r="O35" s="112">
        <f>INDEX($B$34:$G$42,5,3)</f>
        <v>-496.37133639916004</v>
      </c>
      <c r="P35" s="112">
        <f>INDEX($B$34:$G$42,6,3)</f>
        <v>1850.0855067919074</v>
      </c>
      <c r="Q35" s="112">
        <f>INDEX($B$34:$G$42,7,3)</f>
        <v>0</v>
      </c>
      <c r="R35" s="112">
        <f>INDEX($B$34:$G$42,8,3)</f>
        <v>0</v>
      </c>
      <c r="S35" s="81">
        <f>INDEX($B$34:$G$42,9,3)</f>
        <v>0</v>
      </c>
    </row>
    <row r="36" spans="2:19" x14ac:dyDescent="0.2">
      <c r="B36" s="40">
        <f>D24*N24</f>
        <v>1801.0179593285798</v>
      </c>
      <c r="C36" s="112">
        <f>E24*N24</f>
        <v>1427.9152513852621</v>
      </c>
      <c r="D36" s="112">
        <v>0</v>
      </c>
      <c r="E36" s="112">
        <v>0</v>
      </c>
      <c r="F36" s="112">
        <v>0</v>
      </c>
      <c r="G36" s="81">
        <v>0</v>
      </c>
      <c r="I36" s="191">
        <f t="shared" si="2"/>
        <v>-10.575622545391896</v>
      </c>
      <c r="K36" s="80">
        <f>INDEX($B$34:$G$42,1,4)</f>
        <v>0</v>
      </c>
      <c r="L36" s="112">
        <f>INDEX($B$34:$G$42,2,4)</f>
        <v>0</v>
      </c>
      <c r="M36" s="112">
        <f>INDEX($B$34:$G$42,3,4)</f>
        <v>0</v>
      </c>
      <c r="N36" s="112">
        <f>INDEX($B$34:$G$42,4,4)</f>
        <v>1723.0850865325185</v>
      </c>
      <c r="O36" s="112">
        <f>INDEX($B$34:$G$42,5,4)</f>
        <v>2754.466971510255</v>
      </c>
      <c r="P36" s="112">
        <f>INDEX($B$34:$G$42,6,4)</f>
        <v>2025.7411390723123</v>
      </c>
      <c r="Q36" s="112">
        <f>INDEX($B$34:$G$42,7,4)</f>
        <v>0</v>
      </c>
      <c r="R36" s="112">
        <f>INDEX($B$34:$G$42,8,4)</f>
        <v>0</v>
      </c>
      <c r="S36" s="81">
        <f>INDEX($B$34:$G$42,9,4)</f>
        <v>0</v>
      </c>
    </row>
    <row r="37" spans="2:19" x14ac:dyDescent="0.2">
      <c r="B37" s="80">
        <v>0</v>
      </c>
      <c r="C37" s="112">
        <v>0</v>
      </c>
      <c r="D37" s="112">
        <f>F25*N25</f>
        <v>-2543.8489379918542</v>
      </c>
      <c r="E37" s="112">
        <f>G25*N25</f>
        <v>1723.0850865325185</v>
      </c>
      <c r="F37" s="112">
        <v>0</v>
      </c>
      <c r="G37" s="81">
        <v>0</v>
      </c>
      <c r="I37" s="191">
        <f t="shared" si="2"/>
        <v>42.68668968620748</v>
      </c>
      <c r="K37" s="80">
        <f>INDEX($B$34:$G$42,1,5)</f>
        <v>0</v>
      </c>
      <c r="L37" s="112">
        <f>INDEX($B$34:$G$42,2,5)</f>
        <v>0</v>
      </c>
      <c r="M37" s="112">
        <f>INDEX($B$34:$G$42,3,5)</f>
        <v>0</v>
      </c>
      <c r="N37" s="112">
        <f>INDEX($B$34:$G$42,4,5)</f>
        <v>0</v>
      </c>
      <c r="O37" s="112">
        <f>INDEX($B$34:$G$42,5,5)</f>
        <v>0</v>
      </c>
      <c r="P37" s="112">
        <f>INDEX($B$34:$G$42,6,5)</f>
        <v>0</v>
      </c>
      <c r="Q37" s="112">
        <f>INDEX($B$34:$G$42,7,5)</f>
        <v>-2077.5009231515201</v>
      </c>
      <c r="R37" s="112">
        <f>INDEX($B$34:$G$42,8,5)</f>
        <v>-1291.1733927002158</v>
      </c>
      <c r="S37" s="81">
        <f>INDEX($B$34:$G$42,9,5)</f>
        <v>1222.9921903482925</v>
      </c>
    </row>
    <row r="38" spans="2:19" ht="16" thickBot="1" x14ac:dyDescent="0.25">
      <c r="B38" s="80">
        <v>0</v>
      </c>
      <c r="C38" s="112">
        <v>0</v>
      </c>
      <c r="D38" s="112">
        <f>F26*N26</f>
        <v>-496.37133639916004</v>
      </c>
      <c r="E38" s="112">
        <f>G26*N26</f>
        <v>2754.466971510255</v>
      </c>
      <c r="F38" s="112">
        <v>0</v>
      </c>
      <c r="G38" s="81">
        <v>0</v>
      </c>
      <c r="I38" s="191">
        <f t="shared" si="2"/>
        <v>80.460722125070888</v>
      </c>
      <c r="K38" s="84">
        <f>INDEX($B$34:$G$42,1,6)</f>
        <v>0</v>
      </c>
      <c r="L38" s="114">
        <f>INDEX($B$34:$G$42,2,6)</f>
        <v>0</v>
      </c>
      <c r="M38" s="114">
        <f>INDEX($B$34:$G$42,3,6)</f>
        <v>0</v>
      </c>
      <c r="N38" s="114">
        <f>INDEX($B$34:$G$42,4,6)</f>
        <v>0</v>
      </c>
      <c r="O38" s="114">
        <f>INDEX($B$34:$G$42,5,6)</f>
        <v>0</v>
      </c>
      <c r="P38" s="114">
        <f>INDEX($B$34:$G$42,6,6)</f>
        <v>0</v>
      </c>
      <c r="Q38" s="114">
        <f>INDEX($B$34:$G$42,7,6)</f>
        <v>958.27736259348842</v>
      </c>
      <c r="R38" s="114">
        <f>INDEX($B$34:$G$42,8,6)</f>
        <v>2007.9824171493253</v>
      </c>
      <c r="S38" s="85">
        <f>INDEX($B$34:$G$42,9,6)</f>
        <v>3246.0587401297535</v>
      </c>
    </row>
    <row r="39" spans="2:19" x14ac:dyDescent="0.2">
      <c r="B39" s="80">
        <v>0</v>
      </c>
      <c r="C39" s="112">
        <v>0</v>
      </c>
      <c r="D39" s="112">
        <f>F27*N27</f>
        <v>1850.0855067919074</v>
      </c>
      <c r="E39" s="112">
        <f>G27*N27</f>
        <v>2025.7411390723123</v>
      </c>
      <c r="F39" s="112">
        <v>0</v>
      </c>
      <c r="G39" s="81">
        <v>0</v>
      </c>
      <c r="I39" s="191">
        <f t="shared" si="2"/>
        <v>0.46239004136405937</v>
      </c>
    </row>
    <row r="40" spans="2:19" x14ac:dyDescent="0.2">
      <c r="B40" s="80">
        <v>0</v>
      </c>
      <c r="C40" s="112">
        <v>0</v>
      </c>
      <c r="D40" s="112">
        <v>0</v>
      </c>
      <c r="E40" s="112">
        <v>0</v>
      </c>
      <c r="F40" s="112">
        <f>H28*N28</f>
        <v>-2077.5009231515201</v>
      </c>
      <c r="G40" s="81">
        <f>I28*N28</f>
        <v>958.27736259348842</v>
      </c>
      <c r="I40" s="191">
        <f t="shared" si="2"/>
        <v>-19.246138003228317</v>
      </c>
    </row>
    <row r="41" spans="2:19" ht="16" thickBot="1" x14ac:dyDescent="0.25">
      <c r="B41" s="80">
        <v>0</v>
      </c>
      <c r="C41" s="112">
        <v>0</v>
      </c>
      <c r="D41" s="112">
        <v>0</v>
      </c>
      <c r="E41" s="112">
        <v>0</v>
      </c>
      <c r="F41" s="112">
        <f>H29*N29</f>
        <v>-1291.1733927002158</v>
      </c>
      <c r="G41" s="81">
        <f>I29*N29</f>
        <v>2007.9824171493253</v>
      </c>
      <c r="I41" s="191">
        <f t="shared" si="2"/>
        <v>44.665695900203687</v>
      </c>
    </row>
    <row r="42" spans="2:19" ht="20" customHeight="1" thickBot="1" x14ac:dyDescent="0.25">
      <c r="B42" s="84">
        <v>0</v>
      </c>
      <c r="C42" s="114">
        <v>0</v>
      </c>
      <c r="D42" s="114">
        <v>0</v>
      </c>
      <c r="E42" s="114">
        <v>0</v>
      </c>
      <c r="F42" s="114">
        <f>H30*N30</f>
        <v>1222.9921903482925</v>
      </c>
      <c r="G42" s="85">
        <f>I30*N30</f>
        <v>3246.0587401297535</v>
      </c>
      <c r="I42" s="192">
        <f t="shared" si="2"/>
        <v>34.430733578329331</v>
      </c>
      <c r="K42" s="232" t="s">
        <v>43</v>
      </c>
      <c r="L42" s="224"/>
      <c r="M42" s="224"/>
      <c r="N42" s="224"/>
      <c r="O42" s="224"/>
      <c r="P42" s="225"/>
      <c r="R42" s="59" t="s">
        <v>44</v>
      </c>
    </row>
    <row r="43" spans="2:19" ht="20" customHeight="1" x14ac:dyDescent="0.2">
      <c r="K43" s="72">
        <f>K33*B34+L33*B35+M33*B36+N33*B37+O33*B38+P33*B39+Q33*B40+R33*B41+S33*B42</f>
        <v>10786205.577898389</v>
      </c>
      <c r="L43" s="107">
        <f>K33*C34+L33*C35+M33*C36+N33*C37+O33*C38+P33*C39+Q33*C40+R33*C41+S33*C42</f>
        <v>-3797584.9802716705</v>
      </c>
      <c r="M43" s="107">
        <f>K33*D34+L33*D35+M33*D36+N33*D37+O33*D38+P33*D39+Q33*D40+R33*D41+S33*D42</f>
        <v>0</v>
      </c>
      <c r="N43" s="107">
        <f>K33*E34+L33*E35+M33*E36+N33*E37+O33*E38+P33*E39+Q33*E40+R33*E41+S33*E42</f>
        <v>0</v>
      </c>
      <c r="O43" s="107">
        <f>K33*F34+L33*F35+M33*F36+N33*F37+O33*F38+P33*F39+Q33*F40+R33*F41+S33*F42</f>
        <v>0</v>
      </c>
      <c r="P43" s="73">
        <f>K33*G34+L33*G35+M33*G36+N33*G37+O33*G38+P33*G39+Q33*G40+R33*G41+S33*G42</f>
        <v>0</v>
      </c>
      <c r="R43" s="74">
        <f>K33*I34+L33*I35+M33*I36+N33*I37+O33*I38+P33*I39+Q33*I40+R33*I41+S33*I42</f>
        <v>-137908.86324362515</v>
      </c>
    </row>
    <row r="44" spans="2:19" ht="20" customHeight="1" x14ac:dyDescent="0.2">
      <c r="K44" s="80">
        <f>K34*B34+L34*B35+M34*B36+N34*B37+O34*B38+P34*B39+Q34*B40+R34*B41+S34*B42</f>
        <v>-3797584.9802716705</v>
      </c>
      <c r="L44" s="112">
        <f>K34*C34+L34*C35+M34*C36+N34*C37+O34*C38+P34*C39+Q34*C40+R34*C41+S34*C42</f>
        <v>17092735.54022833</v>
      </c>
      <c r="M44" s="112">
        <f>K34*D34+L34*D35+M34*D36+N34*D37+O34*D38+P34*D39+Q34*D40+R34*D41+S34*D42</f>
        <v>0</v>
      </c>
      <c r="N44" s="112">
        <f>K34*E34+L34*E35+M34*E36+N34*E37+O34*E38+P34*E39+Q34*E40+R34*E41+S34*E42</f>
        <v>0</v>
      </c>
      <c r="O44" s="112">
        <f>K34*F34+L34*F35+M34*F36+N34*F37+O34*F38+P34*F39+Q34*F40+R34*F41+S34*F42</f>
        <v>0</v>
      </c>
      <c r="P44" s="81">
        <f>K34*G34+L34*G35+M34*G36+N34*G37+O34*G38+P34*G39+Q34*G40+R34*G41+S34*G42</f>
        <v>0</v>
      </c>
      <c r="R44" s="82">
        <f>K34*I34+L34*I35+M34*I36+N34*I37+O34*I38+P34*I39+Q34*I40+R34*I41+S34*I42</f>
        <v>285166.47720201232</v>
      </c>
    </row>
    <row r="45" spans="2:19" ht="16" thickBot="1" x14ac:dyDescent="0.25">
      <c r="K45" s="80">
        <f>K35*B34+L35*B35+M35*B36+N35*B37+O35*B38+P35*B39+Q35*B40+R35*B41+S35*B42</f>
        <v>0</v>
      </c>
      <c r="L45" s="112">
        <f>K35*C34+L35*C35+M35*C36+N35*C37+O35*C38+P35*C39+Q35*C40+R35*C41+S35*C42</f>
        <v>0</v>
      </c>
      <c r="M45" s="112">
        <f>K35*D34+L35*D35+M35*D36+N35*D37+O35*D38+P35*D39+Q35*D40+R35*D41+S35*D42</f>
        <v>10140368.305362443</v>
      </c>
      <c r="N45" s="112">
        <f>K35*E34+L35*E35+M35*E36+N35*E37+O35*E38+P35*E39+Q35*E40+R35*E41+S35*E42</f>
        <v>-2002712.2972514271</v>
      </c>
      <c r="O45" s="112">
        <f>K35*F34+L35*F35+M35*F36+N35*F37+O35*F38+P35*F39+Q35*F40+R35*F41+S35*F42</f>
        <v>0</v>
      </c>
      <c r="P45" s="81">
        <f>K35*G34+L35*G35+M35*G36+N35*G37+O35*G38+P35*G39+Q35*G40+R35*G41+S35*G42</f>
        <v>0</v>
      </c>
      <c r="R45" s="82">
        <f>K35*I34+L35*I35+M35*I36+N35*I37+O35*I38+P35*I39+Q35*I40+R35*I41+S35*I42</f>
        <v>-147671.42527949708</v>
      </c>
    </row>
    <row r="46" spans="2:19" ht="16" thickBot="1" x14ac:dyDescent="0.25">
      <c r="B46" s="232" t="s">
        <v>45</v>
      </c>
      <c r="C46" s="224"/>
      <c r="D46" s="224"/>
      <c r="E46" s="224"/>
      <c r="F46" s="224"/>
      <c r="G46" s="225"/>
      <c r="K46" s="80">
        <f>K36*B34+L36*B35+M36*B36+N36*B37+O36*B38+P36*B39+Q36*B40+R36*B41+S36*B42</f>
        <v>0</v>
      </c>
      <c r="L46" s="112">
        <f>K36*C34+L36*C35+M36*C36+N36*C37+O36*C38+P36*C39+Q36*C40+R36*C41+S36*C42</f>
        <v>0</v>
      </c>
      <c r="M46" s="112">
        <f>K36*D34+L36*D35+M36*D36+N36*D37+O36*D38+P36*D39+Q36*D40+R36*D41+S36*D42</f>
        <v>-2002712.2972514271</v>
      </c>
      <c r="N46" s="112">
        <f>K36*E34+L36*E35+M36*E36+N36*E37+O36*E38+P36*E39+Q36*E40+R36*E41+S36*E42</f>
        <v>14659737.675101642</v>
      </c>
      <c r="O46" s="112">
        <f>K36*F34+L36*F35+M36*F36+N36*F37+O36*F38+P36*F39+Q36*F40+R36*F41+S36*F42</f>
        <v>0</v>
      </c>
      <c r="P46" s="81">
        <f>K36*G34+L36*G35+M36*G36+N36*G37+O36*G38+P36*G39+Q36*G40+R36*G41+S36*G42</f>
        <v>0</v>
      </c>
      <c r="R46" s="82">
        <f>K36*I34+L36*I35+M36*I36+N36*I37+O36*I38+P36*I39+Q36*I40+R36*I41+S36*I42</f>
        <v>296115.88251820626</v>
      </c>
    </row>
    <row r="47" spans="2:19" x14ac:dyDescent="0.2">
      <c r="B47" s="199">
        <f>INDEX(MINVERSE($K$43:$P$48),1,1)</f>
        <v>1.0057857119742063E-7</v>
      </c>
      <c r="C47" s="200">
        <f>INDEX(MINVERSE($K$43:$P$48),1,2)</f>
        <v>2.2346082077825625E-8</v>
      </c>
      <c r="D47" s="107">
        <f>INDEX(MINVERSE($K$43:$P$48),1,3)</f>
        <v>0</v>
      </c>
      <c r="E47" s="107">
        <f>INDEX(MINVERSE($K$43:$P$48),1,4)</f>
        <v>0</v>
      </c>
      <c r="F47" s="107">
        <f>INDEX(MINVERSE($K$43:$P$48),1,5)</f>
        <v>0</v>
      </c>
      <c r="G47" s="73">
        <f>INDEX(MINVERSE($K$43:$P$48),1,6)</f>
        <v>0</v>
      </c>
      <c r="K47" s="80">
        <f>K37*B34+L37*B35+M37*B36+N37*B37+O37*B38+P37*B39+Q37*B40+R37*B41+S37*B42</f>
        <v>0</v>
      </c>
      <c r="L47" s="112">
        <f>K37*C34+L37*C35+M37*C36+N37*C37+O37*C38+P37*C39+Q37*C40+R37*C41+S37*C42</f>
        <v>0</v>
      </c>
      <c r="M47" s="112">
        <f>K37*D34+L37*D35+M37*D36+N37*D37+O37*D38+P37*D39+Q37*D40+R37*D41+S37*D42</f>
        <v>0</v>
      </c>
      <c r="N47" s="112">
        <f>K37*E34+L37*E35+M37*E36+N37*E37+O37*E38+P37*E39+Q37*E40+R37*E41+S37*E42</f>
        <v>0</v>
      </c>
      <c r="O47" s="112">
        <f>K37*F34+L37*F35+M37*F36+N37*F37+O37*F38+P37*F39+Q37*F40+R37*F41+S37*F42</f>
        <v>7478848.7133653183</v>
      </c>
      <c r="P47" s="81">
        <f>K37*G34+L37*G35+M37*G36+N37*G37+O37*G38+P37*G39+Q37*G40+R37*G41+S37*G42</f>
        <v>-613571.08686574455</v>
      </c>
      <c r="R47" s="82">
        <f>K37*I34+L37*I35+M37*I36+N37*I37+O37*I38+P37*I39+Q37*I40+R37*I41+S37*I42</f>
        <v>24421.229630285765</v>
      </c>
    </row>
    <row r="48" spans="2:19" ht="16" thickBot="1" x14ac:dyDescent="0.25">
      <c r="B48" s="201">
        <f>INDEX(MINVERSE($K$43:$P$48),2,1)</f>
        <v>2.2346082077825625E-8</v>
      </c>
      <c r="C48" s="202">
        <f>INDEX(MINVERSE($K$43:$P$48),2,2)</f>
        <v>6.3469135359487146E-8</v>
      </c>
      <c r="D48" s="112">
        <f>INDEX(MINVERSE($K$43:$P$48),2,3)</f>
        <v>0</v>
      </c>
      <c r="E48" s="112">
        <f>INDEX(MINVERSE($K$43:$P$48),2,4)</f>
        <v>0</v>
      </c>
      <c r="F48" s="112">
        <f>INDEX(MINVERSE($K$43:$P$48),2,5)</f>
        <v>0</v>
      </c>
      <c r="G48" s="81">
        <f>INDEX(MINVERSE($K$43:$P$48),2,6)</f>
        <v>0</v>
      </c>
      <c r="K48" s="84">
        <f>K38*B34+L38*B35+M38*B36+N38*B37+O38*B38+P38*B39+Q38*B40+R38*B41+S38*B42</f>
        <v>0</v>
      </c>
      <c r="L48" s="114">
        <f>K38*C34+L38*C35+M38*C36+N38*C37+O38*C38+P38*C39+Q38*C40+R38*C41+S38*C42</f>
        <v>0</v>
      </c>
      <c r="M48" s="114">
        <f>K38*D34+L38*D35+M38*D36+N38*D37+O38*D38+P38*D39+Q38*D40+R38*D41+S38*D42</f>
        <v>0</v>
      </c>
      <c r="N48" s="114">
        <f>K38*E34+L38*E35+M38*E36+N38*E37+O38*E38+P38*E39+Q38*E40+R38*E41+S38*E42</f>
        <v>0</v>
      </c>
      <c r="O48" s="114">
        <f>K38*F34+L38*F35+M38*F36+N38*F37+O38*F38+P38*F39+Q38*F40+R38*F41+S38*F42</f>
        <v>-613571.08686574455</v>
      </c>
      <c r="P48" s="85">
        <f>K38*G34+L38*G35+M38*G36+N38*G37+O38*G38+P38*G39+Q38*G40+R38*G41+S38*G42</f>
        <v>15487186.235612743</v>
      </c>
      <c r="R48" s="138">
        <f>K38*I34+L38*I35+M38*I36+N38*I37+O38*I38+P38*I39+Q38*I40+R38*I41+S38*I42</f>
        <v>183008.97731251869</v>
      </c>
    </row>
    <row r="49" spans="2:23" x14ac:dyDescent="0.2">
      <c r="B49" s="80">
        <f>INDEX(MINVERSE($K$43:$P$48),3,1)</f>
        <v>0</v>
      </c>
      <c r="C49" s="112">
        <f>INDEX(MINVERSE($K$43:$P$48),3,2)</f>
        <v>0</v>
      </c>
      <c r="D49" s="202">
        <f>INDEX(MINVERSE($K$43:$P$48),3,3)</f>
        <v>1.0135027390924348E-7</v>
      </c>
      <c r="E49" s="202">
        <f>INDEX(MINVERSE($K$43:$P$48),3,4)</f>
        <v>1.3845775714839662E-8</v>
      </c>
      <c r="F49" s="112">
        <f>INDEX(MINVERSE($K$43:$P$48),3,5)</f>
        <v>0</v>
      </c>
      <c r="G49" s="81">
        <f>INDEX(MINVERSE($K$43:$P$48),3,6)</f>
        <v>0</v>
      </c>
    </row>
    <row r="50" spans="2:23" ht="20" customHeight="1" x14ac:dyDescent="0.2">
      <c r="B50" s="80">
        <f>INDEX(MINVERSE($K$43:$P$48),4,1)</f>
        <v>0</v>
      </c>
      <c r="C50" s="112">
        <f>INDEX(MINVERSE($K$43:$P$48),4,2)</f>
        <v>0</v>
      </c>
      <c r="D50" s="202">
        <f>INDEX(MINVERSE($K$43:$P$48),4,3)</f>
        <v>1.3845775714839662E-8</v>
      </c>
      <c r="E50" s="202">
        <f>INDEX(MINVERSE($K$43:$P$48),4,4)</f>
        <v>7.0105559053393418E-8</v>
      </c>
      <c r="F50" s="112">
        <f>INDEX(MINVERSE($K$43:$P$48),4,5)</f>
        <v>0</v>
      </c>
      <c r="G50" s="81">
        <f>INDEX(MINVERSE($K$43:$P$48),4,6)</f>
        <v>0</v>
      </c>
    </row>
    <row r="51" spans="2:23" ht="20" customHeight="1" x14ac:dyDescent="0.2">
      <c r="B51" s="80">
        <f>INDEX(MINVERSE($K$43:$P$48),5,1)</f>
        <v>0</v>
      </c>
      <c r="C51" s="112">
        <f>INDEX(MINVERSE($K$43:$P$48),5,2)</f>
        <v>0</v>
      </c>
      <c r="D51" s="112">
        <f>INDEX(MINVERSE($K$43:$P$48),5,3)</f>
        <v>0</v>
      </c>
      <c r="E51" s="112">
        <f>INDEX(MINVERSE($K$43:$P$48),5,4)</f>
        <v>0</v>
      </c>
      <c r="F51" s="202">
        <f>INDEX(MINVERSE($K$43:$P$48),5,5)</f>
        <v>1.3414643486420114E-7</v>
      </c>
      <c r="G51" s="204">
        <f>INDEX(MINVERSE($K$43:$P$48),5,6)</f>
        <v>5.3146112267653131E-9</v>
      </c>
    </row>
    <row r="52" spans="2:23" ht="20" customHeight="1" thickBot="1" x14ac:dyDescent="0.25">
      <c r="B52" s="84">
        <f>INDEX(MINVERSE($K$43:$P$48),6,1)</f>
        <v>0</v>
      </c>
      <c r="C52" s="114">
        <f>INDEX(MINVERSE($K$43:$P$48),6,2)</f>
        <v>0</v>
      </c>
      <c r="D52" s="114">
        <f>INDEX(MINVERSE($K$43:$P$48),6,3)</f>
        <v>0</v>
      </c>
      <c r="E52" s="114">
        <f>INDEX(MINVERSE($K$43:$P$48),6,4)</f>
        <v>0</v>
      </c>
      <c r="F52" s="205">
        <f>INDEX(MINVERSE($K$43:$P$48),6,5)</f>
        <v>5.3146112267653123E-9</v>
      </c>
      <c r="G52" s="206">
        <f>INDEX(MINVERSE($K$43:$P$48),6,6)</f>
        <v>6.4780062467362831E-8</v>
      </c>
    </row>
    <row r="53" spans="2:23" ht="20" customHeight="1" x14ac:dyDescent="0.2"/>
    <row r="55" spans="2:23" ht="16" thickBot="1" x14ac:dyDescent="0.25"/>
    <row r="56" spans="2:23" ht="16" thickBot="1" x14ac:dyDescent="0.25">
      <c r="T56" s="117" t="s">
        <v>50</v>
      </c>
      <c r="U56" s="117"/>
    </row>
    <row r="57" spans="2:23" ht="16" thickBot="1" x14ac:dyDescent="0.25">
      <c r="M57" s="226" t="s">
        <v>24</v>
      </c>
      <c r="N57" s="227"/>
      <c r="O57" s="227"/>
      <c r="P57" s="227"/>
      <c r="Q57" s="227"/>
      <c r="R57" s="228"/>
      <c r="T57" s="218" t="s">
        <v>38</v>
      </c>
      <c r="U57" s="218">
        <f>B34*C60+B35*C61+B36*C62+B37*C63+B38*C64+B39*C65+B40*C66+B41*C67+B42*C68</f>
        <v>7.2759576141834259E-12</v>
      </c>
    </row>
    <row r="58" spans="2:23" ht="16" thickBot="1" x14ac:dyDescent="0.25">
      <c r="M58" s="68" t="s">
        <v>25</v>
      </c>
      <c r="N58" s="123" t="s">
        <v>26</v>
      </c>
      <c r="O58" s="123" t="s">
        <v>27</v>
      </c>
      <c r="P58" s="123" t="s">
        <v>28</v>
      </c>
      <c r="Q58" s="123" t="s">
        <v>29</v>
      </c>
      <c r="R58" s="69" t="s">
        <v>30</v>
      </c>
      <c r="S58" s="207" t="s">
        <v>31</v>
      </c>
      <c r="T58" s="218"/>
      <c r="U58" s="218">
        <f>C34*C60+C35*C61+C36*C62+C37*C63+C38*C64+C39*C65+C40*C66+C41*C67+C42*C68</f>
        <v>2.5465851649641991E-11</v>
      </c>
      <c r="V58" s="68" t="s">
        <v>14</v>
      </c>
      <c r="W58" s="69" t="s">
        <v>51</v>
      </c>
    </row>
    <row r="59" spans="2:23" ht="20" customHeight="1" thickBot="1" x14ac:dyDescent="0.25">
      <c r="C59" s="70" t="s">
        <v>41</v>
      </c>
      <c r="D59" s="70" t="s">
        <v>42</v>
      </c>
      <c r="K59" s="171" t="s">
        <v>18</v>
      </c>
      <c r="L59" s="172" t="s">
        <v>35</v>
      </c>
      <c r="M59" s="72">
        <f t="shared" ref="M59:M67" si="3">D22</f>
        <v>-0.680988348616412</v>
      </c>
      <c r="N59" s="107">
        <f t="shared" ref="N59:N67" si="4">E22</f>
        <v>0.67420875692292082</v>
      </c>
      <c r="O59" s="107">
        <f t="shared" ref="O59:O67" si="5">F22</f>
        <v>0</v>
      </c>
      <c r="P59" s="107">
        <f t="shared" ref="P59:P67" si="6">G22</f>
        <v>0</v>
      </c>
      <c r="Q59" s="107">
        <f t="shared" ref="Q59:Q67" si="7">H22</f>
        <v>0</v>
      </c>
      <c r="R59" s="208">
        <f t="shared" ref="R59:R67" si="8">I22</f>
        <v>0</v>
      </c>
      <c r="S59" s="72">
        <f t="shared" ref="S59:S67" si="9">J22</f>
        <v>-6.9600758957466709E-3</v>
      </c>
      <c r="T59" s="218"/>
      <c r="U59" s="219">
        <f>D34*C60+D35*C61+D36*C62+D37*C63+D38*C64+D39*C65+D40*C66+D41*C67+D42*C68</f>
        <v>-4.7293724492192268E-11</v>
      </c>
      <c r="V59" s="209">
        <f t="shared" ref="V59:V67" si="10">M22*10000</f>
        <v>2.5</v>
      </c>
      <c r="W59" s="210">
        <f t="shared" ref="W59:W67" si="11">D60*10000</f>
        <v>24.511563143814765</v>
      </c>
    </row>
    <row r="60" spans="2:23" ht="20" customHeight="1" thickBot="1" x14ac:dyDescent="0.25">
      <c r="C60" s="193">
        <f>B34*I62+C34*I63+D34*I64+E34*I65+F34*I66+G34*I67-I34</f>
        <v>9.8046252575259061</v>
      </c>
      <c r="D60" s="194">
        <f t="shared" ref="D60:D68" si="12">C60*M22</f>
        <v>2.4511563143814765E-3</v>
      </c>
      <c r="K60" s="20"/>
      <c r="L60" s="178" t="s">
        <v>36</v>
      </c>
      <c r="M60" s="80">
        <f t="shared" si="3"/>
        <v>0.11210853565840291</v>
      </c>
      <c r="N60" s="112">
        <f t="shared" si="4"/>
        <v>0.8930507414877118</v>
      </c>
      <c r="O60" s="112">
        <f t="shared" si="5"/>
        <v>0</v>
      </c>
      <c r="P60" s="112">
        <f t="shared" si="6"/>
        <v>0</v>
      </c>
      <c r="Q60" s="112">
        <f t="shared" si="7"/>
        <v>0</v>
      </c>
      <c r="R60" s="139">
        <f t="shared" si="8"/>
        <v>0</v>
      </c>
      <c r="S60" s="80">
        <f t="shared" si="9"/>
        <v>0</v>
      </c>
      <c r="T60" s="218"/>
      <c r="U60" s="219">
        <f>E34*C60+E35*C61+E36*C62+E37*C63+E38*C64+E39*C65+E40*C66+E41*C67+E42*C68</f>
        <v>-2.1827872842550278E-11</v>
      </c>
      <c r="V60" s="212">
        <f t="shared" si="10"/>
        <v>3.2015621187164247</v>
      </c>
      <c r="W60" s="213">
        <f t="shared" si="11"/>
        <v>-60.6919455021537</v>
      </c>
    </row>
    <row r="61" spans="2:23" ht="20" customHeight="1" thickBot="1" x14ac:dyDescent="0.25">
      <c r="C61" s="195">
        <f>B35*I62+C35*I63+D35*I64+E35*I65+F35*I66+G35*I67-I35</f>
        <v>-18.956978890819215</v>
      </c>
      <c r="D61" s="196">
        <f t="shared" si="12"/>
        <v>-6.0691945502153698E-3</v>
      </c>
      <c r="I61" s="70" t="s">
        <v>16</v>
      </c>
      <c r="K61" s="18"/>
      <c r="L61" s="178" t="s">
        <v>37</v>
      </c>
      <c r="M61" s="80">
        <f t="shared" si="3"/>
        <v>0.50940480483199857</v>
      </c>
      <c r="N61" s="112">
        <f t="shared" si="4"/>
        <v>0.40387542288568501</v>
      </c>
      <c r="O61" s="112">
        <f t="shared" si="5"/>
        <v>0</v>
      </c>
      <c r="P61" s="112">
        <f t="shared" si="6"/>
        <v>0</v>
      </c>
      <c r="Q61" s="112">
        <f t="shared" si="7"/>
        <v>0</v>
      </c>
      <c r="R61" s="139">
        <f t="shared" si="8"/>
        <v>0</v>
      </c>
      <c r="S61" s="80">
        <f t="shared" si="9"/>
        <v>5.1512377668498713E-3</v>
      </c>
      <c r="T61" s="218"/>
      <c r="U61" s="219">
        <f>F34*C60+F35*C61+F36*C62+F37*C63+F38*C64+F39*C65+F40*C66+F41*C67+F42*C68</f>
        <v>0</v>
      </c>
      <c r="V61" s="212">
        <f t="shared" si="10"/>
        <v>2.8284271247461903</v>
      </c>
      <c r="W61" s="213">
        <f t="shared" si="11"/>
        <v>52.367741765910267</v>
      </c>
    </row>
    <row r="62" spans="2:23" ht="20" customHeight="1" x14ac:dyDescent="0.2">
      <c r="C62" s="195">
        <f>B36*I62+C36*I63+D36*I64+E36*I65+F36*I66+G36*I67-I36</f>
        <v>18.51479265905057</v>
      </c>
      <c r="D62" s="196">
        <f t="shared" si="12"/>
        <v>5.236774176591027E-3</v>
      </c>
      <c r="I62" s="115">
        <f>B47*R43+C47*R44+D47*R45+E47*R46+F47*R47+G47*R48</f>
        <v>-7.4983229151037393E-3</v>
      </c>
      <c r="K62" s="182" t="s">
        <v>19</v>
      </c>
      <c r="L62" s="178" t="s">
        <v>35</v>
      </c>
      <c r="M62" s="80">
        <f t="shared" si="3"/>
        <v>0</v>
      </c>
      <c r="N62" s="112">
        <f t="shared" si="4"/>
        <v>0</v>
      </c>
      <c r="O62" s="112">
        <f t="shared" si="5"/>
        <v>-0.63596223449796352</v>
      </c>
      <c r="P62" s="112">
        <f t="shared" si="6"/>
        <v>0.43077127163312962</v>
      </c>
      <c r="Q62" s="112">
        <f t="shared" si="7"/>
        <v>0</v>
      </c>
      <c r="R62" s="139">
        <f t="shared" si="8"/>
        <v>0</v>
      </c>
      <c r="S62" s="80">
        <f t="shared" si="9"/>
        <v>-5.8716724215630567E-3</v>
      </c>
      <c r="T62" s="218"/>
      <c r="U62" s="219">
        <f>G34*C60+G35*C61+G36*C62+G37*C63+G38*C64+G39*C65+G40*C66+G41*C67+G42*C68</f>
        <v>0</v>
      </c>
      <c r="V62" s="212">
        <f t="shared" si="10"/>
        <v>2.5</v>
      </c>
      <c r="W62" s="213">
        <f t="shared" si="11"/>
        <v>43.008395455176277</v>
      </c>
    </row>
    <row r="63" spans="2:23" ht="20" customHeight="1" x14ac:dyDescent="0.2">
      <c r="C63" s="195">
        <f>B37*I62+C37*I63+D37*I64+E37*I65+F37*I66+G37*I67-I37</f>
        <v>17.203358182070509</v>
      </c>
      <c r="D63" s="196">
        <f t="shared" si="12"/>
        <v>4.3008395455176275E-3</v>
      </c>
      <c r="I63" s="78">
        <f>B48*R43+C48*R44+D48*R45+E48*R46+F48*R47+G48*R48</f>
        <v>1.5017546964220949E-2</v>
      </c>
      <c r="K63" s="20"/>
      <c r="L63" s="178" t="s">
        <v>36</v>
      </c>
      <c r="M63" s="80">
        <f t="shared" si="3"/>
        <v>0</v>
      </c>
      <c r="N63" s="112">
        <f t="shared" si="4"/>
        <v>0</v>
      </c>
      <c r="O63" s="112">
        <f t="shared" si="5"/>
        <v>-0.15891636674321979</v>
      </c>
      <c r="P63" s="112">
        <f t="shared" si="6"/>
        <v>0.88185971132427854</v>
      </c>
      <c r="Q63" s="112">
        <f t="shared" si="7"/>
        <v>0</v>
      </c>
      <c r="R63" s="139">
        <f t="shared" si="8"/>
        <v>0</v>
      </c>
      <c r="S63" s="80">
        <f t="shared" si="9"/>
        <v>0</v>
      </c>
      <c r="T63" s="112">
        <f>K26</f>
        <v>2.5760000000019545E-2</v>
      </c>
      <c r="U63" s="211">
        <f>L26*10000</f>
        <v>257.60000000019545</v>
      </c>
      <c r="V63" s="212">
        <f t="shared" si="10"/>
        <v>3.2015621187164247</v>
      </c>
      <c r="W63" s="213">
        <f t="shared" si="11"/>
        <v>-75.293429548205154</v>
      </c>
    </row>
    <row r="64" spans="2:23" ht="20" customHeight="1" x14ac:dyDescent="0.2">
      <c r="C64" s="195">
        <f>B38*I62+C38*I63+D38*I64+E38*I65+F38*I66+G38*I67-I38</f>
        <v>-23.517716276075852</v>
      </c>
      <c r="D64" s="196">
        <f t="shared" si="12"/>
        <v>-7.5293429548205148E-3</v>
      </c>
      <c r="I64" s="78">
        <f>B49*R43+C49*R44+D49*R45+E49*R46+F49*R47+G49*R48</f>
        <v>-1.0866585305696518E-2</v>
      </c>
      <c r="K64" s="18"/>
      <c r="L64" s="178" t="s">
        <v>37</v>
      </c>
      <c r="M64" s="80">
        <f t="shared" si="3"/>
        <v>0</v>
      </c>
      <c r="N64" s="112">
        <f t="shared" si="4"/>
        <v>0</v>
      </c>
      <c r="O64" s="112">
        <f t="shared" si="5"/>
        <v>0.52328320305100329</v>
      </c>
      <c r="P64" s="112">
        <f t="shared" si="6"/>
        <v>0.57296611854663726</v>
      </c>
      <c r="Q64" s="112">
        <f t="shared" si="7"/>
        <v>0</v>
      </c>
      <c r="R64" s="139">
        <f t="shared" si="8"/>
        <v>0</v>
      </c>
      <c r="S64" s="80">
        <f t="shared" si="9"/>
        <v>5.7892163464825942E-3</v>
      </c>
      <c r="T64" s="112">
        <f>K27</f>
        <v>5.920000000003256E-3</v>
      </c>
      <c r="U64" s="211">
        <f>L27*10000</f>
        <v>1.3078365352066184</v>
      </c>
      <c r="V64" s="212">
        <f t="shared" si="10"/>
        <v>2.8284271247461903</v>
      </c>
      <c r="W64" s="213">
        <f t="shared" si="11"/>
        <v>49.058290420552687</v>
      </c>
    </row>
    <row r="65" spans="3:23" ht="20" customHeight="1" thickBot="1" x14ac:dyDescent="0.25">
      <c r="C65" s="195">
        <f>B39*I62+C39*I63+D39*I64+E39*I65+F39*I66+G39*I67-I39</f>
        <v>17.344724914895924</v>
      </c>
      <c r="D65" s="196">
        <f t="shared" si="12"/>
        <v>4.9058290420552686E-3</v>
      </c>
      <c r="I65" s="78">
        <f>B50*R43+C50*R44+D50*R45+E50*R46+F50*R47+G50*R48</f>
        <v>1.8714744054617195E-2</v>
      </c>
      <c r="K65" s="214" t="s">
        <v>20</v>
      </c>
      <c r="L65" s="178" t="s">
        <v>35</v>
      </c>
      <c r="M65" s="80">
        <f t="shared" si="3"/>
        <v>0</v>
      </c>
      <c r="N65" s="112">
        <f t="shared" si="4"/>
        <v>0</v>
      </c>
      <c r="O65" s="112">
        <f t="shared" si="5"/>
        <v>0</v>
      </c>
      <c r="P65" s="112">
        <f t="shared" si="6"/>
        <v>0</v>
      </c>
      <c r="Q65" s="112">
        <f t="shared" si="7"/>
        <v>-0.51937523078788006</v>
      </c>
      <c r="R65" s="139">
        <f t="shared" si="8"/>
        <v>0.2395693406483721</v>
      </c>
      <c r="S65" s="80">
        <f t="shared" si="9"/>
        <v>-4.5684654991859815E-3</v>
      </c>
      <c r="T65" s="112">
        <f>K28</f>
        <v>-9.3799999999930606E-3</v>
      </c>
      <c r="U65" s="211">
        <f>L28*10000</f>
        <v>-48.11534500807079</v>
      </c>
      <c r="V65" s="212">
        <f t="shared" si="10"/>
        <v>2.5</v>
      </c>
      <c r="W65" s="213">
        <f t="shared" si="11"/>
        <v>54.761626976813474</v>
      </c>
    </row>
    <row r="66" spans="3:23" ht="20" customHeight="1" x14ac:dyDescent="0.2">
      <c r="C66" s="195">
        <f>B40*I62+C40*I63+D40*I64+E40*I65+F40*I66+G40*I67-I40</f>
        <v>21.904650790725388</v>
      </c>
      <c r="D66" s="196">
        <f t="shared" si="12"/>
        <v>5.4761626976813473E-3</v>
      </c>
      <c r="I66" s="78">
        <f>B51*R43+C51*R44+D51*R45+E51*R46+F51*R47+G51*R48</f>
        <v>4.2486424553267784E-3</v>
      </c>
      <c r="K66" s="20"/>
      <c r="L66" s="178" t="s">
        <v>36</v>
      </c>
      <c r="M66" s="80">
        <f t="shared" si="3"/>
        <v>0</v>
      </c>
      <c r="N66" s="112">
        <f t="shared" si="4"/>
        <v>0</v>
      </c>
      <c r="O66" s="112">
        <f t="shared" si="5"/>
        <v>0</v>
      </c>
      <c r="P66" s="112">
        <f t="shared" si="6"/>
        <v>0</v>
      </c>
      <c r="Q66" s="112">
        <f t="shared" si="7"/>
        <v>-0.41337718227635772</v>
      </c>
      <c r="R66" s="139">
        <f t="shared" si="8"/>
        <v>0.64286804417939214</v>
      </c>
      <c r="S66" s="80">
        <f t="shared" si="9"/>
        <v>0</v>
      </c>
      <c r="T66" s="112">
        <f>K29</f>
        <v>1.4300000000019963E-2</v>
      </c>
      <c r="U66" s="211">
        <f>L29*10000</f>
        <v>143.00000000019963</v>
      </c>
      <c r="V66" s="212">
        <f t="shared" si="10"/>
        <v>3.2015621187164247</v>
      </c>
      <c r="W66" s="213">
        <f t="shared" si="11"/>
        <v>-83.514396993063556</v>
      </c>
    </row>
    <row r="67" spans="3:23" ht="20" customHeight="1" thickBot="1" x14ac:dyDescent="0.25">
      <c r="C67" s="195">
        <f>B41*I62+C41*I63+D41*I64+E41*I65+F41*I66+G41*I67-I41</f>
        <v>-26.085515100530454</v>
      </c>
      <c r="D67" s="196">
        <f t="shared" si="12"/>
        <v>-8.3514396993063563E-3</v>
      </c>
      <c r="I67" s="86">
        <f>B52*R43+C52*R44+D52*R45+E52*R46+F52*R47+G52*R48</f>
        <v>1.1985122323557678E-2</v>
      </c>
      <c r="K67" s="19"/>
      <c r="L67" s="184" t="s">
        <v>37</v>
      </c>
      <c r="M67" s="84">
        <f t="shared" si="3"/>
        <v>0</v>
      </c>
      <c r="N67" s="114">
        <f t="shared" si="4"/>
        <v>0</v>
      </c>
      <c r="O67" s="114">
        <f t="shared" si="5"/>
        <v>0</v>
      </c>
      <c r="P67" s="114">
        <f t="shared" si="6"/>
        <v>0</v>
      </c>
      <c r="Q67" s="114">
        <f t="shared" si="7"/>
        <v>0.34591442845338666</v>
      </c>
      <c r="R67" s="141">
        <f t="shared" si="8"/>
        <v>0.91812405891024396</v>
      </c>
      <c r="S67" s="84">
        <f t="shared" si="9"/>
        <v>6.0815179222336504E-3</v>
      </c>
      <c r="T67" s="114">
        <f>K30</f>
        <v>1.5820000000019263E-2</v>
      </c>
      <c r="U67" s="215">
        <f>L30*10000</f>
        <v>97.38482077785612</v>
      </c>
      <c r="V67" s="216">
        <f t="shared" si="10"/>
        <v>2.8284271247461903</v>
      </c>
      <c r="W67" s="217">
        <f t="shared" si="11"/>
        <v>27.35013803092092</v>
      </c>
    </row>
    <row r="68" spans="3:23" ht="20" customHeight="1" thickBot="1" x14ac:dyDescent="0.25">
      <c r="C68" s="197">
        <f>B42*I62+C42*I63+D42*I64+E42*I65+F42*I66+G42*I67-I42</f>
        <v>9.6697340340261349</v>
      </c>
      <c r="D68" s="198">
        <f t="shared" si="12"/>
        <v>2.7350138030920921E-3</v>
      </c>
    </row>
    <row r="69" spans="3:23" ht="20" customHeight="1" thickBot="1" x14ac:dyDescent="0.25">
      <c r="L69" s="233" t="s">
        <v>52</v>
      </c>
      <c r="M69" s="241" t="s">
        <v>53</v>
      </c>
      <c r="N69" s="242"/>
      <c r="O69" s="242"/>
      <c r="P69" s="243"/>
    </row>
    <row r="70" spans="3:23" ht="20" customHeight="1" thickBot="1" x14ac:dyDescent="0.25">
      <c r="C70" s="59" t="s">
        <v>46</v>
      </c>
      <c r="D70" s="59" t="s">
        <v>47</v>
      </c>
      <c r="L70" s="234"/>
      <c r="M70" s="237" t="s">
        <v>54</v>
      </c>
      <c r="N70" s="238"/>
      <c r="O70" s="244" t="s">
        <v>55</v>
      </c>
      <c r="P70" s="238"/>
    </row>
    <row r="71" spans="3:23" ht="16" thickBot="1" x14ac:dyDescent="0.25">
      <c r="C71" s="203">
        <f>C60^2+C61^2+C62^2+C63^2+C64^2+C65^2+C66^2+C67^2+C68^2</f>
        <v>3201.9448468835717</v>
      </c>
      <c r="D71" s="203">
        <f>W59^2+W60^2+W61^2+W62^2+W63^2+W64^2+W65^2+W66^2+W67^2</f>
        <v>27673.768170570445</v>
      </c>
      <c r="L71" s="108" t="s">
        <v>18</v>
      </c>
      <c r="M71" s="247">
        <f>I62*1000</f>
        <v>-7.4983229151037394</v>
      </c>
      <c r="N71" s="243"/>
      <c r="O71" s="248">
        <f>I63*1000</f>
        <v>15.01754696422095</v>
      </c>
      <c r="P71" s="243"/>
    </row>
    <row r="72" spans="3:23" ht="16" thickBot="1" x14ac:dyDescent="0.25">
      <c r="L72" s="113" t="s">
        <v>19</v>
      </c>
      <c r="M72" s="245">
        <f>I64*1000</f>
        <v>-10.866585305696518</v>
      </c>
      <c r="N72" s="246"/>
      <c r="O72" s="250">
        <f>I65*1000</f>
        <v>18.714744054617196</v>
      </c>
      <c r="P72" s="246"/>
    </row>
    <row r="73" spans="3:23" ht="16" thickBot="1" x14ac:dyDescent="0.25">
      <c r="C73" s="59" t="s">
        <v>48</v>
      </c>
      <c r="D73" s="59" t="s">
        <v>49</v>
      </c>
      <c r="L73" s="116" t="s">
        <v>20</v>
      </c>
      <c r="M73" s="239">
        <f>I66*1000</f>
        <v>4.2486424553267783</v>
      </c>
      <c r="N73" s="240"/>
      <c r="O73" s="249">
        <f>I67*1000</f>
        <v>11.985122323557677</v>
      </c>
      <c r="P73" s="240"/>
    </row>
    <row r="74" spans="3:23" ht="16" thickBot="1" x14ac:dyDescent="0.25">
      <c r="C74" s="203">
        <f>SQRT(C71/3)</f>
        <v>32.66978648478117</v>
      </c>
      <c r="D74" s="203">
        <f>SQRT(D71/3)</f>
        <v>96.044725988417241</v>
      </c>
    </row>
    <row r="79" spans="3:23" ht="20" customHeight="1" x14ac:dyDescent="0.2"/>
    <row r="81" ht="20" customHeight="1" x14ac:dyDescent="0.2"/>
    <row r="83" ht="20" customHeight="1" x14ac:dyDescent="0.2"/>
    <row r="86" ht="20" customHeight="1" x14ac:dyDescent="0.2"/>
  </sheetData>
  <mergeCells count="26">
    <mergeCell ref="M73:N73"/>
    <mergeCell ref="B46:G46"/>
    <mergeCell ref="M69:P69"/>
    <mergeCell ref="O70:P70"/>
    <mergeCell ref="M72:N72"/>
    <mergeCell ref="M71:N71"/>
    <mergeCell ref="O71:P71"/>
    <mergeCell ref="O73:P73"/>
    <mergeCell ref="O72:P72"/>
    <mergeCell ref="L69:L70"/>
    <mergeCell ref="K32:S32"/>
    <mergeCell ref="E2:G2"/>
    <mergeCell ref="B25:B27"/>
    <mergeCell ref="B22:B24"/>
    <mergeCell ref="C2:D2"/>
    <mergeCell ref="B32:G32"/>
    <mergeCell ref="D20:I20"/>
    <mergeCell ref="C8:D8"/>
    <mergeCell ref="F8:I8"/>
    <mergeCell ref="M70:N70"/>
    <mergeCell ref="I32:I33"/>
    <mergeCell ref="B28:B30"/>
    <mergeCell ref="K8:N8"/>
    <mergeCell ref="M57:R57"/>
    <mergeCell ref="H2:J2"/>
    <mergeCell ref="K42:P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Dane</vt:lpstr>
      <vt:lpstr>Wyr. wst. i met. analit.-graf.</vt:lpstr>
      <vt:lpstr>Metoda analityczna</vt:lpstr>
      <vt:lpstr>Wartości przemieszczeń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Świerk Jakub (STUD)</cp:lastModifiedBy>
  <dcterms:created xsi:type="dcterms:W3CDTF">2026-05-06T08:50:01Z</dcterms:created>
  <dcterms:modified xsi:type="dcterms:W3CDTF">2026-05-07T20:08:45Z</dcterms:modified>
</cp:coreProperties>
</file>