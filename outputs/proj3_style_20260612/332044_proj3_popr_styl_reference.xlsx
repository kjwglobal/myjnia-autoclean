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760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Wyrównanie wstępne - wyjściowy" sheetId="2" state="visible" r:id="rId2"/>
    <sheet xmlns:r="http://schemas.openxmlformats.org/officeDocument/2006/relationships" name="Wyrównanie wstępne - aktualny" sheetId="3" state="visible" r:id="rId3"/>
    <sheet xmlns:r="http://schemas.openxmlformats.org/officeDocument/2006/relationships" name="Identyfikacja" sheetId="4" state="visible" r:id="rId4"/>
    <sheet xmlns:r="http://schemas.openxmlformats.org/officeDocument/2006/relationships" name="Baza - wyjściowy" sheetId="5" state="visible" r:id="rId5"/>
    <sheet xmlns:r="http://schemas.openxmlformats.org/officeDocument/2006/relationships" name="Baza - aktualny" sheetId="6" state="visible" r:id="rId6"/>
    <sheet xmlns:r="http://schemas.openxmlformats.org/officeDocument/2006/relationships" name="Przemieszczenia" sheetId="7" state="visible" r:id="rId7"/>
    <sheet xmlns:r="http://schemas.openxmlformats.org/officeDocument/2006/relationships" name="_calc_Dane" sheetId="8" state="hidden" r:id="rId8"/>
    <sheet xmlns:r="http://schemas.openxmlformats.org/officeDocument/2006/relationships" name="_calc_Przemieszczenia" sheetId="9" state="hidden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0000"/>
    <numFmt numFmtId="167" formatCode="0.000000"/>
    <numFmt numFmtId="168" formatCode="0.0"/>
    <numFmt numFmtId="169" formatCode="0.0000000"/>
  </numFmts>
  <fonts count="52">
    <font>
      <name val="Aptos Narrow"/>
      <color theme="1"/>
      <sz val="11"/>
    </font>
    <font>
      <name val="Aptos Narrow"/>
      <color theme="1"/>
      <sz val="11"/>
    </font>
    <font>
      <name val="Arial"/>
      <family val="2"/>
      <color rgb="FF000000"/>
      <sz val="10"/>
    </font>
    <font>
      <name val="Arial"/>
      <family val="2"/>
      <color rgb="FF000000"/>
      <sz val="6"/>
    </font>
    <font>
      <name val="Czcionka tekstu podstawowego"/>
      <color theme="1"/>
      <sz val="9"/>
    </font>
    <font>
      <name val="Aptos Narrow"/>
      <color rgb="FF006100"/>
      <sz val="11"/>
    </font>
    <font>
      <name val="Aptos Narrow"/>
      <b val="1"/>
      <color theme="1"/>
      <sz val="11"/>
    </font>
    <font>
      <name val="Symbol"/>
      <charset val="2"/>
      <color theme="1"/>
      <sz val="11"/>
    </font>
    <font>
      <name val="Aptos Narrow"/>
      <b val="1"/>
      <color theme="1"/>
      <sz val="11"/>
    </font>
    <font>
      <name val="Aptos Narrow"/>
      <b val="1"/>
      <color theme="1"/>
      <sz val="11"/>
    </font>
    <font>
      <name val="Aptos Narrow"/>
      <b val="1"/>
      <color theme="1"/>
      <sz val="11"/>
    </font>
    <font>
      <name val="Czcionka tekstu podstawowego"/>
      <color indexed="8"/>
      <sz val="11"/>
    </font>
    <font>
      <name val="Czcionka tekstu podstawowego"/>
      <color theme="1"/>
      <sz val="11"/>
    </font>
    <font>
      <name val="Czcionka tekstu podstawowego"/>
      <b val="1"/>
      <color theme="1"/>
      <sz val="11"/>
    </font>
    <font>
      <name val="Czcionka tekstu podstawowego"/>
      <i val="1"/>
      <color theme="0" tint="-0.3499862666707358"/>
      <sz val="11"/>
    </font>
    <font>
      <name val="Czcionka tekstu podstawowego"/>
      <color theme="1"/>
      <sz val="11"/>
    </font>
    <font>
      <name val="Czcionka tekstu podstawowego"/>
      <i val="1"/>
      <color theme="1"/>
      <sz val="11"/>
    </font>
    <font>
      <name val="Aptos Narrow"/>
      <b val="1"/>
      <color theme="1"/>
      <sz val="8"/>
    </font>
    <font>
      <name val="Czcionka tekstu podstawowego"/>
      <color theme="1"/>
      <sz val="8"/>
    </font>
    <font>
      <name val="Aptos Narrow"/>
      <b val="1"/>
      <color rgb="FF9C0006"/>
      <sz val="11"/>
    </font>
    <font>
      <name val="Aptos Narrow"/>
      <b val="1"/>
      <color rgb="FF006100"/>
      <sz val="11"/>
    </font>
    <font>
      <name val="Symbol"/>
      <family val="1"/>
      <b val="1"/>
      <color theme="1"/>
      <sz val="11"/>
    </font>
    <font>
      <name val="Calibri"/>
      <family val="2"/>
      <b val="1"/>
      <color theme="1"/>
      <sz val="11"/>
      <scheme val="minor"/>
    </font>
    <font>
      <name val="Aptos Narrow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Calibri"/>
      <family val="2"/>
      <color rgb="FFFFFFFF"/>
      <sz val="11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Calibri"/>
      <family val="2"/>
      <color rgb="FFFFFFFF"/>
      <sz val="11"/>
    </font>
    <font>
      <name val="Czcionka tekstu podstawowego"/>
      <b val="1"/>
      <i val="1"/>
      <color theme="1"/>
      <sz val="11"/>
    </font>
    <font>
      <name val="Czcionka tekstu podstawowego"/>
      <color theme="1"/>
      <sz val="10"/>
    </font>
    <font>
      <name val="Czcionka tekstu podstawowego"/>
      <b val="1"/>
      <color theme="1"/>
      <sz val="10"/>
    </font>
    <font>
      <name val="Czcionka tekstu podstawowego"/>
      <sz val="11"/>
    </font>
    <font>
      <name val="Czcionka tekstu podstawowego"/>
      <b val="1"/>
      <sz val="11"/>
    </font>
    <font>
      <name val="Czcionka tekstu podstawowego"/>
      <b val="1"/>
      <color rgb="FFFFFFFF"/>
      <sz val="11"/>
    </font>
    <font>
      <name val="Czcionka tekstu podstawowego"/>
      <b val="1"/>
      <color rgb="FF000000"/>
      <sz val="11"/>
    </font>
    <font>
      <name val="Czcionka tekstu podstawowego"/>
      <b val="1"/>
      <color rgb="FF006100"/>
      <sz val="11"/>
    </font>
    <font>
      <name val="Czcionka tekstu podstawowego"/>
      <i val="1"/>
      <color theme="0" tint="-0.249977111117893"/>
      <sz val="11"/>
    </font>
    <font>
      <name val="Czcionka tekstu podstawowego"/>
      <b val="1"/>
      <i val="1"/>
      <color rgb="FFFFFFFF"/>
      <sz val="11"/>
    </font>
    <font>
      <name val="Calibri"/>
      <family val="2"/>
      <b val="1"/>
      <color theme="1"/>
      <sz val="8"/>
    </font>
    <font>
      <name val="Arial"/>
      <family val="2"/>
      <color rgb="FF000000"/>
      <sz val="11"/>
    </font>
    <font>
      <name val="Arial"/>
      <family val="2"/>
      <b val="1"/>
      <color rgb="FF000000"/>
      <sz val="10"/>
    </font>
    <font>
      <name val="Czcionka tekstu podstawowego"/>
      <b val="1"/>
      <i val="1"/>
      <color rgb="FF000000"/>
      <sz val="11"/>
    </font>
    <font>
      <name val="Arial"/>
      <family val="2"/>
      <b val="1"/>
      <color rgb="FF000000"/>
      <sz val="11"/>
    </font>
    <font>
      <name val="Czcionka tekstu podstawowego"/>
      <b val="1"/>
      <color rgb="FFFFFFFF"/>
      <sz val="8"/>
    </font>
    <font>
      <name val="Czcionka tekstu podstawowego"/>
      <b val="1"/>
      <color rgb="FF9C0006"/>
      <sz val="11"/>
    </font>
    <font>
      <b val="1"/>
      <color rgb="009C0006"/>
    </font>
    <font>
      <b val="1"/>
      <color rgb="00006100"/>
    </font>
  </fonts>
  <fills count="31">
    <fill>
      <patternFill/>
    </fill>
    <fill>
      <patternFill patternType="gray125"/>
    </fill>
    <fill>
      <patternFill patternType="solid">
        <fgColor theme="8" tint="0.7999206518753624"/>
        <bgColor indexed="65"/>
      </patternFill>
    </fill>
    <fill>
      <patternFill patternType="solid">
        <fgColor theme="8" tint="0.5999328592791529"/>
        <bgColor indexed="65"/>
      </patternFill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theme="3" tint="0.8999298074282052"/>
        <bgColor indexed="65"/>
      </patternFill>
    </fill>
    <fill>
      <patternFill patternType="solid">
        <fgColor rgb="FFD9EAD3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theme="0"/>
      </patternFill>
    </fill>
    <fill>
      <patternFill patternType="solid">
        <fgColor theme="8"/>
      </patternFill>
    </fill>
    <fill>
      <patternFill patternType="solid">
        <fgColor rgb="FFD9EAF7"/>
        <bgColor indexed="64"/>
      </patternFill>
    </fill>
    <fill>
      <patternFill patternType="solid">
        <fgColor rgb="FF3B0E0E"/>
        <bgColor indexed="64"/>
      </patternFill>
    </fill>
    <fill>
      <patternFill patternType="solid">
        <fgColor rgb="FFD99A99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5" tint="-0.249977111117893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5" tint="0.5999633777886288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6" tint="0.5999633777886288"/>
        <bgColor indexed="65"/>
      </patternFill>
    </fill>
    <fill>
      <patternFill patternType="solid">
        <fgColor theme="3" tint="0.7999511703848384"/>
        <bgColor indexed="65"/>
      </patternFill>
    </fill>
    <fill>
      <patternFill patternType="solid">
        <fgColor rgb="FF92D050"/>
      </patternFill>
    </fill>
    <fill>
      <patternFill patternType="solid">
        <fgColor theme="0" tint="-0.3499862666707358"/>
        <bgColor indexed="65"/>
      </patternFill>
    </fill>
    <fill>
      <patternFill patternType="solid">
        <fgColor rgb="00F4B6C2"/>
      </patternFill>
    </fill>
    <fill>
      <patternFill patternType="solid">
        <fgColor rgb="00C6EFCE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0" fontId="1" fillId="0" borderId="0"/>
    <xf numFmtId="0" fontId="5" fillId="9" borderId="0"/>
    <xf numFmtId="0" fontId="1" fillId="0" borderId="0"/>
  </cellStyleXfs>
  <cellXfs count="845">
    <xf numFmtId="0" fontId="0" fillId="0" borderId="0" pivotButton="0" quotePrefix="0" xfId="0"/>
    <xf numFmtId="0" fontId="0" fillId="0" borderId="1" applyAlignment="1" pivotButton="0" quotePrefix="0" xfId="3">
      <alignment horizontal="center" vertical="center"/>
    </xf>
    <xf numFmtId="0" fontId="0" fillId="0" borderId="10" applyAlignment="1" pivotButton="0" quotePrefix="0" xfId="3">
      <alignment horizontal="center" vertical="center"/>
    </xf>
    <xf numFmtId="0" fontId="0" fillId="0" borderId="11" applyAlignment="1" pivotButton="0" quotePrefix="0" xfId="3">
      <alignment horizontal="center" vertical="center"/>
    </xf>
    <xf numFmtId="0" fontId="0" fillId="0" borderId="12" applyAlignment="1" pivotButton="0" quotePrefix="0" xfId="3">
      <alignment horizontal="center" vertical="center"/>
    </xf>
    <xf numFmtId="0" fontId="0" fillId="2" borderId="15" applyAlignment="1" pivotButton="0" quotePrefix="0" xfId="3">
      <alignment horizontal="center" vertical="center"/>
    </xf>
    <xf numFmtId="0" fontId="0" fillId="2" borderId="16" applyAlignment="1" pivotButton="0" quotePrefix="0" xfId="3">
      <alignment horizontal="center" vertical="center"/>
    </xf>
    <xf numFmtId="0" fontId="0" fillId="2" borderId="17" applyAlignment="1" pivotButton="0" quotePrefix="0" xfId="3">
      <alignment horizontal="center" vertical="center"/>
    </xf>
    <xf numFmtId="0" fontId="0" fillId="0" borderId="2" applyAlignment="1" pivotButton="0" quotePrefix="0" xfId="3">
      <alignment horizontal="center" vertical="center"/>
    </xf>
    <xf numFmtId="0" fontId="0" fillId="0" borderId="3" applyAlignment="1" pivotButton="0" quotePrefix="0" xfId="3">
      <alignment horizontal="center" vertical="center"/>
    </xf>
    <xf numFmtId="0" fontId="0" fillId="0" borderId="4" applyAlignment="1" pivotButton="0" quotePrefix="0" xfId="3">
      <alignment horizontal="center" vertical="center"/>
    </xf>
    <xf numFmtId="0" fontId="0" fillId="0" borderId="5" applyAlignment="1" pivotButton="0" quotePrefix="0" xfId="3">
      <alignment horizontal="center" vertical="center"/>
    </xf>
    <xf numFmtId="0" fontId="0" fillId="0" borderId="6" applyAlignment="1" pivotButton="0" quotePrefix="0" xfId="3">
      <alignment horizontal="center" vertical="center"/>
    </xf>
    <xf numFmtId="0" fontId="0" fillId="0" borderId="7" applyAlignment="1" pivotButton="0" quotePrefix="0" xfId="3">
      <alignment horizontal="center" vertical="center"/>
    </xf>
    <xf numFmtId="0" fontId="0" fillId="0" borderId="8" applyAlignment="1" pivotButton="0" quotePrefix="0" xfId="3">
      <alignment horizontal="center" vertical="center"/>
    </xf>
    <xf numFmtId="0" fontId="0" fillId="0" borderId="9" applyAlignment="1" pivotButton="0" quotePrefix="0" xfId="3">
      <alignment horizontal="center" vertical="center"/>
    </xf>
    <xf numFmtId="0" fontId="0" fillId="2" borderId="10" applyAlignment="1" pivotButton="0" quotePrefix="0" xfId="3">
      <alignment horizontal="center" vertical="center"/>
    </xf>
    <xf numFmtId="0" fontId="0" fillId="2" borderId="12" applyAlignment="1" pivotButton="0" quotePrefix="0" xfId="3">
      <alignment horizontal="center" vertical="center"/>
    </xf>
    <xf numFmtId="0" fontId="4" fillId="0" borderId="7" applyAlignment="1" pivotButton="0" quotePrefix="0" xfId="3">
      <alignment horizontal="center" vertical="center"/>
    </xf>
    <xf numFmtId="0" fontId="0" fillId="0" borderId="14" pivotButton="0" quotePrefix="0" xfId="3"/>
    <xf numFmtId="0" fontId="0" fillId="2" borderId="18" pivotButton="0" quotePrefix="0" xfId="3"/>
    <xf numFmtId="0" fontId="0" fillId="2" borderId="18" applyAlignment="1" pivotButton="0" quotePrefix="0" xfId="3">
      <alignment horizontal="center" vertical="center"/>
    </xf>
    <xf numFmtId="0" fontId="2" fillId="2" borderId="18" applyAlignment="1" pivotButton="0" quotePrefix="0" xfId="1">
      <alignment horizontal="center" vertical="center" wrapText="1"/>
    </xf>
    <xf numFmtId="0" fontId="0" fillId="0" borderId="0" applyAlignment="1" pivotButton="0" quotePrefix="0" xfId="3">
      <alignment horizontal="center" vertical="center"/>
    </xf>
    <xf numFmtId="164" fontId="0" fillId="0" borderId="1" applyAlignment="1" pivotButton="0" quotePrefix="0" xfId="3">
      <alignment horizontal="center" vertical="center"/>
    </xf>
    <xf numFmtId="0" fontId="0" fillId="0" borderId="1" pivotButton="0" quotePrefix="0" xfId="3"/>
    <xf numFmtId="165" fontId="0" fillId="0" borderId="1" applyAlignment="1" pivotButton="0" quotePrefix="0" xfId="3">
      <alignment horizontal="center" vertical="center"/>
    </xf>
    <xf numFmtId="0" fontId="0" fillId="2" borderId="2" applyAlignment="1" pivotButton="0" quotePrefix="0" xfId="3">
      <alignment horizontal="center" vertical="center"/>
    </xf>
    <xf numFmtId="0" fontId="0" fillId="2" borderId="3" applyAlignment="1" pivotButton="0" quotePrefix="0" xfId="3">
      <alignment horizontal="center" vertical="center"/>
    </xf>
    <xf numFmtId="0" fontId="0" fillId="2" borderId="4" applyAlignment="1" pivotButton="0" quotePrefix="0" xfId="3">
      <alignment horizontal="center" vertical="center"/>
    </xf>
    <xf numFmtId="165" fontId="0" fillId="0" borderId="6" applyAlignment="1" pivotButton="0" quotePrefix="0" xfId="3">
      <alignment horizontal="center" vertical="center"/>
    </xf>
    <xf numFmtId="164" fontId="0" fillId="0" borderId="8" applyAlignment="1" pivotButton="0" quotePrefix="0" xfId="3">
      <alignment horizontal="center" vertical="center"/>
    </xf>
    <xf numFmtId="0" fontId="0" fillId="0" borderId="8" pivotButton="0" quotePrefix="0" xfId="3"/>
    <xf numFmtId="165" fontId="0" fillId="0" borderId="9" applyAlignment="1" pivotButton="0" quotePrefix="0" xfId="3">
      <alignment horizontal="center" vertical="center"/>
    </xf>
    <xf numFmtId="0" fontId="0" fillId="0" borderId="24" applyAlignment="1" pivotButton="0" quotePrefix="0" xfId="3">
      <alignment horizontal="center" vertical="center"/>
    </xf>
    <xf numFmtId="0" fontId="0" fillId="0" borderId="25" applyAlignment="1" pivotButton="0" quotePrefix="0" xfId="3">
      <alignment horizontal="center" vertical="center"/>
    </xf>
    <xf numFmtId="164" fontId="0" fillId="0" borderId="25" applyAlignment="1" pivotButton="0" quotePrefix="0" xfId="3">
      <alignment horizontal="center" vertical="center"/>
    </xf>
    <xf numFmtId="0" fontId="0" fillId="0" borderId="25" pivotButton="0" quotePrefix="0" xfId="3"/>
    <xf numFmtId="165" fontId="0" fillId="0" borderId="26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0" fillId="5" borderId="1" applyAlignment="1" pivotButton="0" quotePrefix="0" xfId="3">
      <alignment horizontal="center" vertical="center"/>
    </xf>
    <xf numFmtId="166" fontId="0" fillId="0" borderId="1" pivotButton="0" quotePrefix="0" xfId="3"/>
    <xf numFmtId="0" fontId="0" fillId="5" borderId="5" applyAlignment="1" pivotButton="0" quotePrefix="0" xfId="3">
      <alignment horizontal="center" vertical="center"/>
    </xf>
    <xf numFmtId="0" fontId="0" fillId="0" borderId="6" pivotButton="0" quotePrefix="0" xfId="3"/>
    <xf numFmtId="0" fontId="0" fillId="5" borderId="7" applyAlignment="1" pivotButton="0" quotePrefix="0" xfId="3">
      <alignment horizontal="center" vertical="center"/>
    </xf>
    <xf numFmtId="0" fontId="0" fillId="5" borderId="8" applyAlignment="1" pivotButton="0" quotePrefix="0" xfId="3">
      <alignment horizontal="center" vertical="center"/>
    </xf>
    <xf numFmtId="166" fontId="0" fillId="0" borderId="8" pivotButton="0" quotePrefix="0" xfId="3"/>
    <xf numFmtId="0" fontId="0" fillId="0" borderId="9" pivotButton="0" quotePrefix="0" xfId="3"/>
    <xf numFmtId="0" fontId="0" fillId="5" borderId="24" applyAlignment="1" pivotButton="0" quotePrefix="0" xfId="3">
      <alignment horizontal="center" vertical="center"/>
    </xf>
    <xf numFmtId="0" fontId="0" fillId="5" borderId="25" applyAlignment="1" pivotButton="0" quotePrefix="0" xfId="3">
      <alignment horizontal="center" vertical="center"/>
    </xf>
    <xf numFmtId="166" fontId="0" fillId="0" borderId="25" pivotButton="0" quotePrefix="0" xfId="3"/>
    <xf numFmtId="0" fontId="0" fillId="0" borderId="26" pivotButton="0" quotePrefix="0" xfId="3"/>
    <xf numFmtId="0" fontId="6" fillId="2" borderId="21" applyAlignment="1" pivotButton="0" quotePrefix="0" xfId="3">
      <alignment horizontal="center" vertical="center"/>
    </xf>
    <xf numFmtId="0" fontId="6" fillId="2" borderId="22" applyAlignment="1" pivotButton="0" quotePrefix="0" xfId="3">
      <alignment horizontal="center" vertical="center"/>
    </xf>
    <xf numFmtId="0" fontId="9" fillId="2" borderId="22" applyAlignment="1" pivotButton="0" quotePrefix="0" xfId="3">
      <alignment horizontal="center" vertical="center"/>
    </xf>
    <xf numFmtId="0" fontId="10" fillId="2" borderId="22" applyAlignment="1" pivotButton="0" quotePrefix="0" xfId="3">
      <alignment horizontal="center" vertical="center"/>
    </xf>
    <xf numFmtId="49" fontId="6" fillId="2" borderId="22" applyAlignment="1" pivotButton="0" quotePrefix="0" xfId="3">
      <alignment horizontal="center" vertical="center"/>
    </xf>
    <xf numFmtId="0" fontId="6" fillId="2" borderId="23" applyAlignment="1" pivotButton="0" quotePrefix="0" xfId="3">
      <alignment horizontal="center" vertical="center"/>
    </xf>
    <xf numFmtId="166" fontId="0" fillId="0" borderId="25" applyAlignment="1" pivotButton="0" quotePrefix="0" xfId="3">
      <alignment horizontal="center" vertical="center"/>
    </xf>
    <xf numFmtId="0" fontId="0" fillId="0" borderId="26" applyAlignment="1" pivotButton="0" quotePrefix="0" xfId="3">
      <alignment horizontal="center" vertical="center"/>
    </xf>
    <xf numFmtId="166" fontId="0" fillId="0" borderId="1" applyAlignment="1" pivotButton="0" quotePrefix="0" xfId="3">
      <alignment horizontal="center" vertical="center"/>
    </xf>
    <xf numFmtId="166" fontId="0" fillId="0" borderId="8" applyAlignment="1" pivotButton="0" quotePrefix="0" xfId="3">
      <alignment horizontal="center" vertical="center"/>
    </xf>
    <xf numFmtId="0" fontId="0" fillId="0" borderId="2" pivotButton="0" quotePrefix="0" xfId="3"/>
    <xf numFmtId="0" fontId="0" fillId="0" borderId="3" pivotButton="0" quotePrefix="0" xfId="3"/>
    <xf numFmtId="0" fontId="0" fillId="0" borderId="4" pivotButton="0" quotePrefix="0" xfId="3"/>
    <xf numFmtId="0" fontId="0" fillId="0" borderId="5" pivotButton="0" quotePrefix="0" xfId="3"/>
    <xf numFmtId="0" fontId="0" fillId="0" borderId="7" pivotButton="0" quotePrefix="0" xfId="3"/>
    <xf numFmtId="0" fontId="0" fillId="2" borderId="29" applyAlignment="1" pivotButton="0" quotePrefix="0" xfId="3">
      <alignment horizontal="center" vertical="center"/>
    </xf>
    <xf numFmtId="0" fontId="0" fillId="2" borderId="7" applyAlignment="1" pivotButton="0" quotePrefix="0" xfId="3">
      <alignment horizontal="center" vertical="center"/>
    </xf>
    <xf numFmtId="0" fontId="0" fillId="2" borderId="8" applyAlignment="1" pivotButton="0" quotePrefix="0" xfId="3">
      <alignment horizontal="center" vertical="center"/>
    </xf>
    <xf numFmtId="165" fontId="0" fillId="0" borderId="30" applyAlignment="1" pivotButton="0" quotePrefix="0" xfId="3">
      <alignment horizontal="center" vertical="center"/>
    </xf>
    <xf numFmtId="2" fontId="0" fillId="0" borderId="2" applyAlignment="1" pivotButton="0" quotePrefix="0" xfId="3">
      <alignment horizontal="center" vertical="center"/>
    </xf>
    <xf numFmtId="2" fontId="0" fillId="0" borderId="3" applyAlignment="1" pivotButton="0" quotePrefix="0" xfId="3">
      <alignment horizontal="center" vertical="center"/>
    </xf>
    <xf numFmtId="2" fontId="0" fillId="0" borderId="10" applyAlignment="1" pivotButton="0" quotePrefix="0" xfId="3">
      <alignment horizontal="center" vertical="center"/>
    </xf>
    <xf numFmtId="2" fontId="0" fillId="0" borderId="5" applyAlignment="1" pivotButton="0" quotePrefix="0" xfId="3">
      <alignment horizontal="center" vertical="center"/>
    </xf>
    <xf numFmtId="2" fontId="0" fillId="0" borderId="1" applyAlignment="1" pivotButton="0" quotePrefix="0" xfId="3">
      <alignment horizontal="center" vertical="center"/>
    </xf>
    <xf numFmtId="2" fontId="0" fillId="0" borderId="11" applyAlignment="1" pivotButton="0" quotePrefix="0" xfId="3">
      <alignment horizontal="center" vertical="center"/>
    </xf>
    <xf numFmtId="2" fontId="0" fillId="0" borderId="7" applyAlignment="1" pivotButton="0" quotePrefix="0" xfId="3">
      <alignment horizontal="center" vertical="center"/>
    </xf>
    <xf numFmtId="2" fontId="0" fillId="0" borderId="8" applyAlignment="1" pivotButton="0" quotePrefix="0" xfId="3">
      <alignment horizontal="center" vertical="center"/>
    </xf>
    <xf numFmtId="2" fontId="0" fillId="0" borderId="12" applyAlignment="1" pivotButton="0" quotePrefix="0" xfId="3">
      <alignment horizontal="center" vertical="center"/>
    </xf>
    <xf numFmtId="2" fontId="0" fillId="0" borderId="24" applyAlignment="1" pivotButton="0" quotePrefix="0" xfId="3">
      <alignment horizontal="center" vertical="center"/>
    </xf>
    <xf numFmtId="2" fontId="0" fillId="0" borderId="25" applyAlignment="1" pivotButton="0" quotePrefix="0" xfId="3">
      <alignment horizontal="center" vertical="center"/>
    </xf>
    <xf numFmtId="2" fontId="0" fillId="0" borderId="32" applyAlignment="1" pivotButton="0" quotePrefix="0" xfId="3">
      <alignment horizontal="center" vertical="center"/>
    </xf>
    <xf numFmtId="2" fontId="0" fillId="0" borderId="31" applyAlignment="1" pivotButton="0" quotePrefix="0" xfId="3">
      <alignment horizontal="center" vertical="center"/>
    </xf>
    <xf numFmtId="0" fontId="0" fillId="2" borderId="13" applyAlignment="1" pivotButton="0" quotePrefix="0" xfId="3">
      <alignment horizontal="center" vertical="center"/>
    </xf>
    <xf numFmtId="0" fontId="0" fillId="0" borderId="18" applyAlignment="1" pivotButton="0" quotePrefix="0" xfId="3">
      <alignment horizontal="center" vertical="center"/>
    </xf>
    <xf numFmtId="0" fontId="0" fillId="0" borderId="14" applyAlignment="1" pivotButton="0" quotePrefix="0" xfId="3">
      <alignment horizontal="center" vertical="center"/>
    </xf>
    <xf numFmtId="165" fontId="0" fillId="0" borderId="10" applyAlignment="1" pivotButton="0" quotePrefix="0" xfId="3">
      <alignment horizontal="center" vertical="center"/>
    </xf>
    <xf numFmtId="165" fontId="0" fillId="0" borderId="11" applyAlignment="1" pivotButton="0" quotePrefix="0" xfId="3">
      <alignment horizontal="center" vertical="center"/>
    </xf>
    <xf numFmtId="165" fontId="0" fillId="0" borderId="12" applyAlignment="1" pivotButton="0" quotePrefix="0" xfId="3">
      <alignment horizontal="center" vertical="center"/>
    </xf>
    <xf numFmtId="165" fontId="0" fillId="0" borderId="33" applyAlignment="1" pivotButton="0" quotePrefix="0" xfId="3">
      <alignment horizontal="center" vertical="center"/>
    </xf>
    <xf numFmtId="165" fontId="0" fillId="0" borderId="34" applyAlignment="1" pivotButton="0" quotePrefix="0" xfId="3">
      <alignment horizontal="center" vertical="center"/>
    </xf>
    <xf numFmtId="165" fontId="0" fillId="0" borderId="35" applyAlignment="1" pivotButton="0" quotePrefix="0" xfId="3">
      <alignment horizontal="center" vertical="center"/>
    </xf>
    <xf numFmtId="2" fontId="0" fillId="0" borderId="4" applyAlignment="1" pivotButton="0" quotePrefix="0" xfId="3">
      <alignment horizontal="center" vertical="center"/>
    </xf>
    <xf numFmtId="2" fontId="0" fillId="0" borderId="6" applyAlignment="1" pivotButton="0" quotePrefix="0" xfId="3">
      <alignment horizontal="center" vertical="center"/>
    </xf>
    <xf numFmtId="2" fontId="0" fillId="0" borderId="9" applyAlignment="1" pivotButton="0" quotePrefix="0" xfId="3">
      <alignment horizontal="center" vertical="center"/>
    </xf>
    <xf numFmtId="166" fontId="0" fillId="0" borderId="24" pivotButton="0" quotePrefix="0" xfId="3"/>
    <xf numFmtId="166" fontId="0" fillId="0" borderId="5" pivotButton="0" quotePrefix="0" xfId="3"/>
    <xf numFmtId="166" fontId="0" fillId="0" borderId="7" pivotButton="0" quotePrefix="0" xfId="3"/>
    <xf numFmtId="0" fontId="0" fillId="0" borderId="31" applyAlignment="1" pivotButton="0" quotePrefix="0" xfId="3">
      <alignment horizontal="center" vertical="center"/>
    </xf>
    <xf numFmtId="2" fontId="0" fillId="0" borderId="18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0" fontId="0" fillId="0" borderId="36" applyAlignment="1" pivotButton="0" quotePrefix="0" xfId="3">
      <alignment horizontal="center" vertical="center"/>
    </xf>
    <xf numFmtId="0" fontId="0" fillId="0" borderId="37" applyAlignment="1" pivotButton="0" quotePrefix="0" xfId="3">
      <alignment horizontal="center" vertical="center"/>
    </xf>
    <xf numFmtId="0" fontId="0" fillId="0" borderId="38" applyAlignment="1" pivotButton="0" quotePrefix="0" xfId="3">
      <alignment horizontal="center" vertical="center"/>
    </xf>
    <xf numFmtId="0" fontId="0" fillId="3" borderId="10" applyAlignment="1" pivotButton="0" quotePrefix="0" xfId="3">
      <alignment horizontal="center" vertical="center"/>
    </xf>
    <xf numFmtId="0" fontId="0" fillId="3" borderId="11" applyAlignment="1" pivotButton="0" quotePrefix="0" xfId="3">
      <alignment horizontal="center" vertical="center"/>
    </xf>
    <xf numFmtId="0" fontId="0" fillId="3" borderId="12" applyAlignment="1" pivotButton="0" quotePrefix="0" xfId="3">
      <alignment horizontal="center" vertical="center"/>
    </xf>
    <xf numFmtId="0" fontId="0" fillId="6" borderId="11" applyAlignment="1" pivotButton="0" quotePrefix="0" xfId="3">
      <alignment horizontal="center" vertical="center"/>
    </xf>
    <xf numFmtId="165" fontId="0" fillId="0" borderId="25" applyAlignment="1" pivotButton="0" quotePrefix="0" xfId="3">
      <alignment horizontal="center" vertical="center"/>
    </xf>
    <xf numFmtId="0" fontId="0" fillId="0" borderId="39" applyAlignment="1" pivotButton="0" quotePrefix="0" xfId="3">
      <alignment horizontal="center" vertical="center"/>
    </xf>
    <xf numFmtId="0" fontId="0" fillId="6" borderId="10" applyAlignment="1" pivotButton="0" quotePrefix="0" xfId="3">
      <alignment horizontal="center" vertical="center"/>
    </xf>
    <xf numFmtId="0" fontId="0" fillId="5" borderId="40" applyAlignment="1" pivotButton="0" quotePrefix="0" xfId="3">
      <alignment horizontal="center" vertical="center"/>
    </xf>
    <xf numFmtId="0" fontId="0" fillId="5" borderId="41" applyAlignment="1" pivotButton="0" quotePrefix="0" xfId="3">
      <alignment horizontal="center" vertical="center"/>
    </xf>
    <xf numFmtId="0" fontId="0" fillId="0" borderId="41" applyAlignment="1" pivotButton="0" quotePrefix="0" xfId="3">
      <alignment horizontal="center" vertical="center"/>
    </xf>
    <xf numFmtId="0" fontId="0" fillId="0" borderId="40" applyAlignment="1" pivotButton="0" quotePrefix="0" xfId="3">
      <alignment horizontal="center" vertical="center"/>
    </xf>
    <xf numFmtId="165" fontId="0" fillId="0" borderId="8" applyAlignment="1" pivotButton="0" quotePrefix="0" xfId="3">
      <alignment horizontal="center" vertical="center"/>
    </xf>
    <xf numFmtId="0" fontId="0" fillId="2" borderId="9" applyAlignment="1" pivotButton="0" quotePrefix="0" xfId="3">
      <alignment horizontal="center" vertical="center"/>
    </xf>
    <xf numFmtId="2" fontId="0" fillId="0" borderId="26" applyAlignment="1" pivotButton="0" quotePrefix="0" xfId="3">
      <alignment horizontal="center" vertical="center"/>
    </xf>
    <xf numFmtId="2" fontId="0" fillId="0" borderId="19" applyAlignment="1" pivotButton="0" quotePrefix="0" xfId="3">
      <alignment horizontal="center" vertical="center"/>
    </xf>
    <xf numFmtId="0" fontId="0" fillId="0" borderId="20" applyAlignment="1" pivotButton="0" quotePrefix="0" xfId="3">
      <alignment horizontal="center" vertical="center"/>
    </xf>
    <xf numFmtId="0" fontId="0" fillId="0" borderId="13" applyAlignment="1" pivotButton="0" quotePrefix="0" xfId="3">
      <alignment horizontal="center" vertical="center"/>
    </xf>
    <xf numFmtId="0" fontId="0" fillId="0" borderId="19" applyAlignment="1" pivotButton="0" quotePrefix="0" xfId="3">
      <alignment horizontal="center" vertical="center"/>
    </xf>
    <xf numFmtId="0" fontId="0" fillId="0" borderId="42" applyAlignment="1" pivotButton="0" quotePrefix="0" xfId="3">
      <alignment horizontal="center" vertical="center"/>
    </xf>
    <xf numFmtId="0" fontId="0" fillId="0" borderId="43" applyAlignment="1" pivotButton="0" quotePrefix="0" xfId="3">
      <alignment horizontal="center" vertical="center"/>
    </xf>
    <xf numFmtId="0" fontId="0" fillId="0" borderId="44" applyAlignment="1" pivotButton="0" quotePrefix="0" xfId="3">
      <alignment horizontal="center" vertical="center"/>
    </xf>
    <xf numFmtId="0" fontId="0" fillId="0" borderId="45" applyAlignment="1" pivotButton="0" quotePrefix="0" xfId="3">
      <alignment horizontal="center" vertical="center"/>
    </xf>
    <xf numFmtId="0" fontId="0" fillId="0" borderId="46" applyAlignment="1" pivotButton="0" quotePrefix="0" xfId="3">
      <alignment horizontal="center" vertical="center"/>
    </xf>
    <xf numFmtId="0" fontId="0" fillId="2" borderId="19" applyAlignment="1" pivotButton="0" quotePrefix="0" xfId="3">
      <alignment horizontal="center" vertical="center"/>
    </xf>
    <xf numFmtId="165" fontId="0" fillId="0" borderId="13" applyAlignment="1" pivotButton="0" quotePrefix="0" xfId="3">
      <alignment horizontal="center" vertical="center"/>
    </xf>
    <xf numFmtId="165" fontId="0" fillId="0" borderId="43" applyAlignment="1" pivotButton="0" quotePrefix="0" xfId="3">
      <alignment horizontal="center" vertical="center"/>
    </xf>
    <xf numFmtId="165" fontId="0" fillId="0" borderId="46" applyAlignment="1" pivotButton="0" quotePrefix="0" xfId="3">
      <alignment horizontal="center" vertical="center"/>
    </xf>
    <xf numFmtId="2" fontId="0" fillId="0" borderId="20" applyAlignment="1" pivotButton="0" quotePrefix="0" xfId="3">
      <alignment horizontal="center" vertical="center"/>
    </xf>
    <xf numFmtId="2" fontId="0" fillId="0" borderId="13" applyAlignment="1" pivotButton="0" quotePrefix="0" xfId="3">
      <alignment horizontal="center" vertical="center"/>
    </xf>
    <xf numFmtId="2" fontId="0" fillId="0" borderId="42" applyAlignment="1" pivotButton="0" quotePrefix="0" xfId="3">
      <alignment horizontal="center" vertical="center"/>
    </xf>
    <xf numFmtId="2" fontId="0" fillId="0" borderId="0" applyAlignment="1" pivotButton="0" quotePrefix="0" xfId="3">
      <alignment horizontal="center" vertical="center"/>
    </xf>
    <xf numFmtId="2" fontId="0" fillId="0" borderId="43" applyAlignment="1" pivotButton="0" quotePrefix="0" xfId="3">
      <alignment horizontal="center" vertical="center"/>
    </xf>
    <xf numFmtId="2" fontId="0" fillId="0" borderId="44" applyAlignment="1" pivotButton="0" quotePrefix="0" xfId="3">
      <alignment horizontal="center" vertical="center"/>
    </xf>
    <xf numFmtId="2" fontId="0" fillId="0" borderId="45" applyAlignment="1" pivotButton="0" quotePrefix="0" xfId="3">
      <alignment horizontal="center" vertical="center"/>
    </xf>
    <xf numFmtId="2" fontId="0" fillId="0" borderId="46" applyAlignment="1" pivotButton="0" quotePrefix="0" xfId="3">
      <alignment horizontal="center" vertical="center"/>
    </xf>
    <xf numFmtId="165" fontId="0" fillId="0" borderId="19" applyAlignment="1" pivotButton="0" quotePrefix="0" xfId="3">
      <alignment horizontal="center" vertical="center"/>
    </xf>
    <xf numFmtId="165" fontId="0" fillId="0" borderId="20" applyAlignment="1" pivotButton="0" quotePrefix="0" xfId="3">
      <alignment horizontal="center" vertical="center"/>
    </xf>
    <xf numFmtId="165" fontId="0" fillId="0" borderId="42" applyAlignment="1" pivotButton="0" quotePrefix="0" xfId="3">
      <alignment horizontal="center" vertical="center"/>
    </xf>
    <xf numFmtId="165" fontId="0" fillId="0" borderId="0" applyAlignment="1" pivotButton="0" quotePrefix="0" xfId="3">
      <alignment horizontal="center" vertical="center"/>
    </xf>
    <xf numFmtId="165" fontId="0" fillId="0" borderId="44" applyAlignment="1" pivotButton="0" quotePrefix="0" xfId="3">
      <alignment horizontal="center" vertical="center"/>
    </xf>
    <xf numFmtId="165" fontId="0" fillId="0" borderId="45" applyAlignment="1" pivotButton="0" quotePrefix="0" xfId="3">
      <alignment horizontal="center" vertical="center"/>
    </xf>
    <xf numFmtId="0" fontId="12" fillId="0" borderId="49" applyAlignment="1" pivotButton="0" quotePrefix="0" xfId="3">
      <alignment horizontal="center" vertical="center"/>
    </xf>
    <xf numFmtId="0" fontId="0" fillId="2" borderId="10" applyAlignment="1" pivotButton="0" quotePrefix="0" xfId="2">
      <alignment horizontal="center" vertical="center"/>
    </xf>
    <xf numFmtId="0" fontId="12" fillId="2" borderId="31" applyAlignment="1" pivotButton="0" quotePrefix="0" xfId="2">
      <alignment horizontal="center" vertical="center"/>
    </xf>
    <xf numFmtId="0" fontId="0" fillId="0" borderId="49" applyAlignment="1" pivotButton="0" quotePrefix="0" xfId="3">
      <alignment horizontal="center" vertical="center"/>
    </xf>
    <xf numFmtId="0" fontId="0" fillId="2" borderId="21" applyAlignment="1" pivotButton="0" quotePrefix="0" xfId="2">
      <alignment horizontal="center"/>
    </xf>
    <xf numFmtId="0" fontId="0" fillId="2" borderId="22" applyAlignment="1" pivotButton="0" quotePrefix="0" xfId="2">
      <alignment horizontal="center"/>
    </xf>
    <xf numFmtId="0" fontId="12" fillId="2" borderId="22" applyAlignment="1" pivotButton="0" quotePrefix="0" xfId="2">
      <alignment horizontal="center" vertical="center"/>
    </xf>
    <xf numFmtId="0" fontId="0" fillId="2" borderId="23" applyAlignment="1" pivotButton="0" quotePrefix="0" xfId="2">
      <alignment horizontal="center"/>
    </xf>
    <xf numFmtId="0" fontId="14" fillId="0" borderId="0" applyAlignment="1" pivotButton="0" quotePrefix="0" xfId="3">
      <alignment horizontal="center"/>
    </xf>
    <xf numFmtId="0" fontId="0" fillId="0" borderId="50" pivotButton="0" quotePrefix="0" xfId="3"/>
    <xf numFmtId="0" fontId="0" fillId="0" borderId="51" pivotButton="0" quotePrefix="0" xfId="3"/>
    <xf numFmtId="0" fontId="0" fillId="0" borderId="52" pivotButton="0" quotePrefix="0" xfId="3"/>
    <xf numFmtId="0" fontId="0" fillId="0" borderId="53" pivotButton="0" quotePrefix="0" xfId="3"/>
    <xf numFmtId="0" fontId="0" fillId="0" borderId="54" pivotButton="0" quotePrefix="0" xfId="3"/>
    <xf numFmtId="0" fontId="0" fillId="0" borderId="47" pivotButton="0" quotePrefix="0" xfId="3"/>
    <xf numFmtId="0" fontId="0" fillId="0" borderId="55" pivotButton="0" quotePrefix="0" xfId="3"/>
    <xf numFmtId="0" fontId="0" fillId="0" borderId="49" pivotButton="0" quotePrefix="0" xfId="3"/>
    <xf numFmtId="165" fontId="0" fillId="0" borderId="50" applyAlignment="1" pivotButton="0" quotePrefix="0" xfId="3">
      <alignment horizontal="center" vertical="center"/>
    </xf>
    <xf numFmtId="165" fontId="0" fillId="0" borderId="56" applyAlignment="1" pivotButton="0" quotePrefix="0" xfId="3">
      <alignment horizontal="center" vertical="center"/>
    </xf>
    <xf numFmtId="165" fontId="0" fillId="0" borderId="47" applyAlignment="1" pivotButton="0" quotePrefix="0" xfId="3">
      <alignment horizontal="center" vertical="center"/>
    </xf>
    <xf numFmtId="165" fontId="0" fillId="0" borderId="53" applyAlignment="1" pivotButton="0" quotePrefix="0" xfId="3">
      <alignment horizontal="center" vertical="center"/>
    </xf>
    <xf numFmtId="165" fontId="0" fillId="0" borderId="57" applyAlignment="1" pivotButton="0" quotePrefix="0" xfId="3">
      <alignment horizontal="center" vertical="center"/>
    </xf>
    <xf numFmtId="0" fontId="16" fillId="0" borderId="0" applyAlignment="1" pivotButton="0" quotePrefix="0" xfId="3">
      <alignment vertical="center"/>
    </xf>
    <xf numFmtId="0" fontId="13" fillId="0" borderId="1" applyAlignment="1" pivotButton="0" quotePrefix="0" xfId="3">
      <alignment horizontal="center" vertical="center"/>
    </xf>
    <xf numFmtId="0" fontId="16" fillId="0" borderId="0" applyAlignment="1" pivotButton="0" quotePrefix="0" xfId="3">
      <alignment horizontal="center" vertical="center"/>
    </xf>
    <xf numFmtId="0" fontId="0" fillId="0" borderId="1" applyAlignment="1" pivotButton="0" quotePrefix="0" xfId="3">
      <alignment horizontal="center"/>
    </xf>
    <xf numFmtId="0" fontId="0" fillId="0" borderId="25" applyAlignment="1" pivotButton="0" quotePrefix="0" xfId="3">
      <alignment horizontal="center"/>
    </xf>
    <xf numFmtId="0" fontId="0" fillId="2" borderId="21" applyAlignment="1" pivotButton="0" quotePrefix="0" xfId="2">
      <alignment horizontal="center" vertical="center"/>
    </xf>
    <xf numFmtId="0" fontId="15" fillId="2" borderId="22" applyAlignment="1" pivotButton="0" quotePrefix="0" xfId="2">
      <alignment horizontal="center" vertical="center"/>
    </xf>
    <xf numFmtId="0" fontId="17" fillId="2" borderId="22" applyAlignment="1" pivotButton="0" quotePrefix="0" xfId="3">
      <alignment horizontal="center" vertical="center" wrapText="1"/>
    </xf>
    <xf numFmtId="0" fontId="0" fillId="2" borderId="23" applyAlignment="1" pivotButton="0" quotePrefix="0" xfId="2">
      <alignment horizontal="center" vertical="center"/>
    </xf>
    <xf numFmtId="165" fontId="0" fillId="0" borderId="49" applyAlignment="1" pivotButton="0" quotePrefix="0" xfId="3">
      <alignment horizontal="center" vertical="center"/>
    </xf>
    <xf numFmtId="165" fontId="0" fillId="0" borderId="48" applyAlignment="1" pivotButton="0" quotePrefix="0" xfId="3">
      <alignment horizontal="center" vertical="center"/>
    </xf>
    <xf numFmtId="0" fontId="0" fillId="2" borderId="11" applyAlignment="1" pivotButton="0" quotePrefix="0" xfId="2">
      <alignment horizontal="center" vertical="center"/>
    </xf>
    <xf numFmtId="0" fontId="0" fillId="2" borderId="12" applyAlignment="1" pivotButton="0" quotePrefix="0" xfId="2">
      <alignment horizontal="center" vertical="center"/>
    </xf>
    <xf numFmtId="165" fontId="0" fillId="0" borderId="51" applyAlignment="1" pivotButton="0" quotePrefix="0" xfId="3">
      <alignment horizontal="center" vertical="center"/>
    </xf>
    <xf numFmtId="165" fontId="0" fillId="0" borderId="55" applyAlignment="1" pivotButton="0" quotePrefix="0" xfId="3">
      <alignment horizontal="center" vertical="center"/>
    </xf>
    <xf numFmtId="0" fontId="13" fillId="0" borderId="48" applyAlignment="1" pivotButton="0" quotePrefix="0" xfId="3">
      <alignment horizontal="center" vertical="center"/>
    </xf>
    <xf numFmtId="0" fontId="0" fillId="2" borderId="22" applyAlignment="1" pivotButton="0" quotePrefix="0" xfId="2">
      <alignment horizontal="center" vertical="center"/>
    </xf>
    <xf numFmtId="0" fontId="0" fillId="2" borderId="27" applyAlignment="1" pivotButton="0" quotePrefix="0" xfId="2">
      <alignment horizontal="center" vertical="center"/>
    </xf>
    <xf numFmtId="0" fontId="0" fillId="2" borderId="18" applyAlignment="1" pivotButton="0" quotePrefix="0" xfId="2">
      <alignment horizontal="center" vertical="center"/>
    </xf>
    <xf numFmtId="2" fontId="0" fillId="0" borderId="28" applyAlignment="1" pivotButton="0" quotePrefix="0" xfId="3">
      <alignment horizontal="center" vertical="center"/>
    </xf>
    <xf numFmtId="166" fontId="0" fillId="0" borderId="10" applyAlignment="1" pivotButton="0" quotePrefix="0" xfId="3">
      <alignment horizontal="center" vertical="center"/>
    </xf>
    <xf numFmtId="166" fontId="0" fillId="0" borderId="11" applyAlignment="1" pivotButton="0" quotePrefix="0" xfId="3">
      <alignment horizontal="center" vertical="center"/>
    </xf>
    <xf numFmtId="0" fontId="0" fillId="2" borderId="15" applyAlignment="1" pivotButton="0" quotePrefix="0" xfId="2">
      <alignment horizontal="center"/>
    </xf>
    <xf numFmtId="0" fontId="0" fillId="2" borderId="16" applyAlignment="1" pivotButton="0" quotePrefix="0" xfId="2">
      <alignment horizontal="center"/>
    </xf>
    <xf numFmtId="0" fontId="12" fillId="0" borderId="5" applyAlignment="1" pivotButton="0" quotePrefix="0" xfId="3">
      <alignment horizontal="center" vertical="center"/>
    </xf>
    <xf numFmtId="0" fontId="12" fillId="0" borderId="7" applyAlignment="1" pivotButton="0" quotePrefix="0" xfId="3">
      <alignment horizontal="center" vertical="center"/>
    </xf>
    <xf numFmtId="0" fontId="0" fillId="0" borderId="43" applyAlignment="1" pivotButton="0" quotePrefix="0" xfId="3">
      <alignment horizontal="center"/>
    </xf>
    <xf numFmtId="165" fontId="0" fillId="0" borderId="2" applyAlignment="1" pivotButton="0" quotePrefix="0" xfId="3">
      <alignment horizontal="center" vertical="center"/>
    </xf>
    <xf numFmtId="165" fontId="0" fillId="0" borderId="3" applyAlignment="1" pivotButton="0" quotePrefix="0" xfId="3">
      <alignment horizontal="center" vertical="center"/>
    </xf>
    <xf numFmtId="165" fontId="0" fillId="0" borderId="4" applyAlignment="1" pivotButton="0" quotePrefix="0" xfId="3">
      <alignment horizontal="center" vertical="center"/>
    </xf>
    <xf numFmtId="165" fontId="0" fillId="0" borderId="7" applyAlignment="1" pivotButton="0" quotePrefix="0" xfId="3">
      <alignment horizontal="center" vertical="center"/>
    </xf>
    <xf numFmtId="0" fontId="0" fillId="2" borderId="11" applyAlignment="1" pivotButton="0" quotePrefix="0" xfId="3">
      <alignment horizontal="center" vertical="center"/>
    </xf>
    <xf numFmtId="0" fontId="0" fillId="2" borderId="60" applyAlignment="1" pivotButton="0" quotePrefix="0" xfId="2">
      <alignment horizontal="center" vertical="center"/>
    </xf>
    <xf numFmtId="0" fontId="0" fillId="2" borderId="57" applyAlignment="1" pivotButton="0" quotePrefix="0" xfId="2">
      <alignment horizontal="center" vertical="center"/>
    </xf>
    <xf numFmtId="0" fontId="0" fillId="2" borderId="61" applyAlignment="1" pivotButton="0" quotePrefix="0" xfId="2">
      <alignment horizontal="center" vertical="center"/>
    </xf>
    <xf numFmtId="0" fontId="0" fillId="2" borderId="32" applyAlignment="1" pivotButton="0" quotePrefix="0" xfId="3">
      <alignment horizontal="center" vertical="center"/>
    </xf>
    <xf numFmtId="165" fontId="0" fillId="0" borderId="0" pivotButton="0" quotePrefix="0" xfId="3"/>
    <xf numFmtId="0" fontId="0" fillId="0" borderId="19" pivotButton="0" quotePrefix="0" xfId="3"/>
    <xf numFmtId="0" fontId="0" fillId="0" borderId="20" pivotButton="0" quotePrefix="0" xfId="3"/>
    <xf numFmtId="0" fontId="0" fillId="0" borderId="13" pivotButton="0" quotePrefix="0" xfId="3"/>
    <xf numFmtId="0" fontId="0" fillId="0" borderId="42" pivotButton="0" quotePrefix="0" xfId="3"/>
    <xf numFmtId="0" fontId="0" fillId="0" borderId="43" pivotButton="0" quotePrefix="0" xfId="3"/>
    <xf numFmtId="0" fontId="0" fillId="0" borderId="44" pivotButton="0" quotePrefix="0" xfId="3"/>
    <xf numFmtId="0" fontId="0" fillId="0" borderId="45" pivotButton="0" quotePrefix="0" xfId="3"/>
    <xf numFmtId="0" fontId="0" fillId="0" borderId="46" pivotButton="0" quotePrefix="0" xfId="3"/>
    <xf numFmtId="0" fontId="17" fillId="7" borderId="22" applyAlignment="1" pivotButton="0" quotePrefix="0" xfId="3">
      <alignment horizontal="center" vertical="center" wrapText="1"/>
    </xf>
    <xf numFmtId="0" fontId="6" fillId="7" borderId="15" applyAlignment="1" pivotButton="0" quotePrefix="0" xfId="3">
      <alignment horizontal="center" vertical="center"/>
    </xf>
    <xf numFmtId="0" fontId="13" fillId="7" borderId="22" applyAlignment="1" pivotButton="0" quotePrefix="0" xfId="3">
      <alignment horizontal="center" vertical="center"/>
    </xf>
    <xf numFmtId="0" fontId="6" fillId="7" borderId="23" applyAlignment="1" pivotButton="0" quotePrefix="0" xfId="3">
      <alignment horizontal="center" vertical="center"/>
    </xf>
    <xf numFmtId="167" fontId="0" fillId="0" borderId="58" applyAlignment="1" pivotButton="0" quotePrefix="0" xfId="3">
      <alignment horizontal="center" vertical="center"/>
    </xf>
    <xf numFmtId="167" fontId="0" fillId="0" borderId="3" applyAlignment="1" pivotButton="0" quotePrefix="0" xfId="3">
      <alignment horizontal="center" vertical="center"/>
    </xf>
    <xf numFmtId="167" fontId="0" fillId="0" borderId="48" applyAlignment="1" pivotButton="0" quotePrefix="0" xfId="3">
      <alignment horizontal="center" vertical="center"/>
    </xf>
    <xf numFmtId="167" fontId="0" fillId="0" borderId="1" applyAlignment="1" pivotButton="0" quotePrefix="0" xfId="3">
      <alignment horizontal="center" vertical="center"/>
    </xf>
    <xf numFmtId="167" fontId="0" fillId="3" borderId="48" applyAlignment="1" pivotButton="0" quotePrefix="0" xfId="3">
      <alignment horizontal="center" vertical="center"/>
    </xf>
    <xf numFmtId="167" fontId="0" fillId="3" borderId="1" applyAlignment="1" pivotButton="0" quotePrefix="0" xfId="3">
      <alignment horizontal="center" vertical="center"/>
    </xf>
    <xf numFmtId="167" fontId="0" fillId="0" borderId="19" applyAlignment="1" pivotButton="0" quotePrefix="0" xfId="3">
      <alignment horizontal="center" vertical="center"/>
    </xf>
    <xf numFmtId="167" fontId="0" fillId="0" borderId="13" applyAlignment="1" pivotButton="0" quotePrefix="0" xfId="3">
      <alignment horizontal="center" vertical="center"/>
    </xf>
    <xf numFmtId="167" fontId="0" fillId="0" borderId="42" applyAlignment="1" pivotButton="0" quotePrefix="0" xfId="3">
      <alignment horizontal="center" vertical="center"/>
    </xf>
    <xf numFmtId="167" fontId="0" fillId="0" borderId="43" applyAlignment="1" pivotButton="0" quotePrefix="0" xfId="3">
      <alignment horizontal="center" vertical="center"/>
    </xf>
    <xf numFmtId="167" fontId="0" fillId="0" borderId="44" applyAlignment="1" pivotButton="0" quotePrefix="0" xfId="3">
      <alignment horizontal="center" vertical="center"/>
    </xf>
    <xf numFmtId="167" fontId="0" fillId="0" borderId="46" applyAlignment="1" pivotButton="0" quotePrefix="0" xfId="3">
      <alignment horizontal="center" vertical="center"/>
    </xf>
    <xf numFmtId="0" fontId="19" fillId="8" borderId="3" applyAlignment="1" pivotButton="0" quotePrefix="0" xfId="3">
      <alignment horizontal="center"/>
    </xf>
    <xf numFmtId="0" fontId="19" fillId="8" borderId="4" applyAlignment="1" pivotButton="0" quotePrefix="0" xfId="3">
      <alignment horizontal="center" vertical="center"/>
    </xf>
    <xf numFmtId="0" fontId="19" fillId="8" borderId="1" applyAlignment="1" pivotButton="0" quotePrefix="0" xfId="3">
      <alignment horizontal="center"/>
    </xf>
    <xf numFmtId="0" fontId="19" fillId="8" borderId="6" applyAlignment="1" pivotButton="0" quotePrefix="0" xfId="3">
      <alignment horizontal="center" vertical="center"/>
    </xf>
    <xf numFmtId="0" fontId="20" fillId="9" borderId="1" applyAlignment="1" pivotButton="0" quotePrefix="0" xfId="3">
      <alignment horizontal="center"/>
    </xf>
    <xf numFmtId="0" fontId="20" fillId="9" borderId="6" applyAlignment="1" pivotButton="0" quotePrefix="0" xfId="3">
      <alignment horizontal="center" vertical="center"/>
    </xf>
    <xf numFmtId="0" fontId="20" fillId="9" borderId="8" applyAlignment="1" pivotButton="0" quotePrefix="0" xfId="3">
      <alignment horizontal="center"/>
    </xf>
    <xf numFmtId="0" fontId="20" fillId="9" borderId="9" applyAlignment="1" pivotButton="0" quotePrefix="0" xfId="3">
      <alignment horizontal="center" vertical="center"/>
    </xf>
    <xf numFmtId="0" fontId="6" fillId="10" borderId="0" applyAlignment="1" pivotButton="0" quotePrefix="0" xfId="3">
      <alignment horizontal="center"/>
    </xf>
    <xf numFmtId="167" fontId="0" fillId="11" borderId="48" applyAlignment="1" pivotButton="0" quotePrefix="0" xfId="3">
      <alignment horizontal="center" vertical="center"/>
    </xf>
    <xf numFmtId="167" fontId="0" fillId="11" borderId="1" applyAlignment="1" pivotButton="0" quotePrefix="0" xfId="3">
      <alignment horizontal="center" vertical="center"/>
    </xf>
    <xf numFmtId="167" fontId="1" fillId="12" borderId="48" applyAlignment="1" pivotButton="0" quotePrefix="0" xfId="3">
      <alignment horizontal="center" vertical="center"/>
    </xf>
    <xf numFmtId="167" fontId="1" fillId="12" borderId="1" applyAlignment="1" pivotButton="0" quotePrefix="0" xfId="3">
      <alignment horizontal="center" vertical="center"/>
    </xf>
    <xf numFmtId="167" fontId="0" fillId="12" borderId="1" applyAlignment="1" pivotButton="0" quotePrefix="0" xfId="3">
      <alignment horizontal="center" vertical="center"/>
    </xf>
    <xf numFmtId="167" fontId="0" fillId="12" borderId="59" applyAlignment="1" pivotButton="0" quotePrefix="0" xfId="3">
      <alignment horizontal="center" vertical="center"/>
    </xf>
    <xf numFmtId="167" fontId="0" fillId="12" borderId="8" applyAlignment="1" pivotButton="0" quotePrefix="0" xfId="3">
      <alignment horizontal="center" vertical="center"/>
    </xf>
    <xf numFmtId="165" fontId="0" fillId="0" borderId="49" applyAlignment="1" pivotButton="0" quotePrefix="0" xfId="0">
      <alignment horizontal="center" vertical="center"/>
    </xf>
    <xf numFmtId="165" fontId="0" fillId="0" borderId="48" applyAlignment="1" pivotButton="0" quotePrefix="0" xfId="0">
      <alignment horizontal="center" vertical="center"/>
    </xf>
    <xf numFmtId="165" fontId="0" fillId="0" borderId="25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21" applyAlignment="1" pivotButton="0" quotePrefix="0" xfId="3">
      <alignment horizontal="center"/>
    </xf>
    <xf numFmtId="0" fontId="0" fillId="3" borderId="22" applyAlignment="1" pivotButton="0" quotePrefix="0" xfId="3">
      <alignment horizontal="center"/>
    </xf>
    <xf numFmtId="0" fontId="0" fillId="3" borderId="23" applyAlignment="1" pivotButton="0" quotePrefix="0" xfId="3">
      <alignment horizontal="center"/>
    </xf>
    <xf numFmtId="0" fontId="0" fillId="3" borderId="19" applyAlignment="1" pivotButton="0" quotePrefix="0" xfId="3">
      <alignment horizontal="center" vertical="center"/>
    </xf>
    <xf numFmtId="0" fontId="0" fillId="3" borderId="20" applyAlignment="1" pivotButton="0" quotePrefix="0" xfId="3">
      <alignment horizontal="center" vertical="center"/>
    </xf>
    <xf numFmtId="0" fontId="0" fillId="3" borderId="13" applyAlignment="1" pivotButton="0" quotePrefix="0" xfId="3">
      <alignment horizontal="center" vertical="center"/>
    </xf>
    <xf numFmtId="0" fontId="0" fillId="2" borderId="27" applyAlignment="1" pivotButton="0" quotePrefix="0" xfId="3">
      <alignment horizontal="center" vertical="center"/>
    </xf>
    <xf numFmtId="0" fontId="0" fillId="2" borderId="28" applyAlignment="1" pivotButton="0" quotePrefix="0" xfId="3">
      <alignment horizontal="center" vertical="center"/>
    </xf>
    <xf numFmtId="0" fontId="0" fillId="2" borderId="14" applyAlignment="1" pivotButton="0" quotePrefix="0" xfId="3">
      <alignment horizontal="center" vertical="center"/>
    </xf>
    <xf numFmtId="0" fontId="0" fillId="2" borderId="29" applyAlignment="1" pivotButton="0" quotePrefix="0" xfId="3">
      <alignment horizontal="center" vertical="center"/>
    </xf>
    <xf numFmtId="0" fontId="0" fillId="2" borderId="30" applyAlignment="1" pivotButton="0" quotePrefix="0" xfId="3">
      <alignment horizontal="center" vertical="center"/>
    </xf>
    <xf numFmtId="0" fontId="0" fillId="2" borderId="31" applyAlignment="1" pivotButton="0" quotePrefix="0" xfId="3">
      <alignment horizontal="center" vertical="center"/>
    </xf>
    <xf numFmtId="0" fontId="0" fillId="2" borderId="15" applyAlignment="1" pivotButton="0" quotePrefix="0" xfId="3">
      <alignment horizontal="center" vertical="center"/>
    </xf>
    <xf numFmtId="0" fontId="0" fillId="2" borderId="16" applyAlignment="1" pivotButton="0" quotePrefix="0" xfId="3">
      <alignment horizontal="center" vertical="center"/>
    </xf>
    <xf numFmtId="0" fontId="0" fillId="2" borderId="17" applyAlignment="1" pivotButton="0" quotePrefix="0" xfId="3">
      <alignment horizontal="center" vertical="center"/>
    </xf>
    <xf numFmtId="0" fontId="0" fillId="2" borderId="2" applyAlignment="1" pivotButton="0" quotePrefix="0" xfId="3">
      <alignment horizontal="center" vertical="center"/>
    </xf>
    <xf numFmtId="0" fontId="0" fillId="2" borderId="3" applyAlignment="1" pivotButton="0" quotePrefix="0" xfId="3">
      <alignment horizontal="center" vertical="center"/>
    </xf>
    <xf numFmtId="0" fontId="0" fillId="2" borderId="4" applyAlignment="1" pivotButton="0" quotePrefix="0" xfId="3">
      <alignment horizontal="center" vertical="center"/>
    </xf>
    <xf numFmtId="0" fontId="0" fillId="2" borderId="27" applyAlignment="1" pivotButton="0" quotePrefix="0" xfId="3">
      <alignment horizontal="center"/>
    </xf>
    <xf numFmtId="0" fontId="0" fillId="2" borderId="28" applyAlignment="1" pivotButton="0" quotePrefix="0" xfId="3">
      <alignment horizontal="center"/>
    </xf>
    <xf numFmtId="0" fontId="0" fillId="2" borderId="14" applyAlignment="1" pivotButton="0" quotePrefix="0" xfId="3">
      <alignment horizontal="center"/>
    </xf>
    <xf numFmtId="0" fontId="0" fillId="2" borderId="19" applyAlignment="1" pivotButton="0" quotePrefix="0" xfId="3">
      <alignment horizontal="center"/>
    </xf>
    <xf numFmtId="0" fontId="0" fillId="2" borderId="20" applyAlignment="1" pivotButton="0" quotePrefix="0" xfId="3">
      <alignment horizontal="center"/>
    </xf>
    <xf numFmtId="0" fontId="0" fillId="2" borderId="13" applyAlignment="1" pivotButton="0" quotePrefix="0" xfId="3">
      <alignment horizontal="center"/>
    </xf>
    <xf numFmtId="0" fontId="0" fillId="2" borderId="19" applyAlignment="1" pivotButton="0" quotePrefix="0" xfId="3">
      <alignment horizontal="center" vertical="center"/>
    </xf>
    <xf numFmtId="0" fontId="0" fillId="2" borderId="20" applyAlignment="1" pivotButton="0" quotePrefix="0" xfId="3">
      <alignment horizontal="center" vertical="center"/>
    </xf>
    <xf numFmtId="0" fontId="0" fillId="2" borderId="13" applyAlignment="1" pivotButton="0" quotePrefix="0" xfId="3">
      <alignment horizontal="center" vertical="center"/>
    </xf>
    <xf numFmtId="0" fontId="0" fillId="3" borderId="27" applyAlignment="1" pivotButton="0" quotePrefix="0" xfId="2">
      <alignment horizontal="center" vertical="center"/>
    </xf>
    <xf numFmtId="0" fontId="0" fillId="3" borderId="14" applyAlignment="1" pivotButton="0" quotePrefix="0" xfId="2">
      <alignment horizontal="center" vertical="center"/>
    </xf>
    <xf numFmtId="0" fontId="0" fillId="3" borderId="27" applyAlignment="1" pivotButton="0" quotePrefix="0" xfId="3">
      <alignment horizontal="center" vertical="center"/>
    </xf>
    <xf numFmtId="0" fontId="0" fillId="3" borderId="14" applyAlignment="1" pivotButton="0" quotePrefix="0" xfId="3">
      <alignment horizontal="center" vertical="center"/>
    </xf>
    <xf numFmtId="0" fontId="0" fillId="3" borderId="28" applyAlignment="1" pivotButton="0" quotePrefix="0" xfId="3">
      <alignment horizontal="center" vertical="center"/>
    </xf>
    <xf numFmtId="0" fontId="0" fillId="2" borderId="21" applyAlignment="1" pivotButton="0" quotePrefix="0" xfId="2">
      <alignment horizontal="center" vertical="center"/>
    </xf>
    <xf numFmtId="0" fontId="0" fillId="2" borderId="22" applyAlignment="1" pivotButton="0" quotePrefix="0" xfId="2">
      <alignment horizontal="center" vertical="center"/>
    </xf>
    <xf numFmtId="0" fontId="0" fillId="2" borderId="23" applyAlignment="1" pivotButton="0" quotePrefix="0" xfId="2">
      <alignment horizontal="center" vertical="center"/>
    </xf>
    <xf numFmtId="0" fontId="0" fillId="2" borderId="11" applyAlignment="1" pivotButton="0" quotePrefix="0" xfId="2">
      <alignment horizontal="center" vertical="center"/>
    </xf>
    <xf numFmtId="0" fontId="0" fillId="2" borderId="12" applyAlignment="1" pivotButton="0" quotePrefix="0" xfId="2">
      <alignment horizontal="center" vertical="center"/>
    </xf>
    <xf numFmtId="0" fontId="0" fillId="2" borderId="10" applyAlignment="1" pivotButton="0" quotePrefix="0" xfId="2">
      <alignment horizontal="center" vertical="center"/>
    </xf>
    <xf numFmtId="0" fontId="0" fillId="2" borderId="19" applyAlignment="1" pivotButton="0" quotePrefix="0" xfId="2">
      <alignment horizontal="center" vertical="center"/>
    </xf>
    <xf numFmtId="0" fontId="0" fillId="2" borderId="42" applyAlignment="1" pivotButton="0" quotePrefix="0" xfId="2">
      <alignment horizontal="center" vertical="center"/>
    </xf>
    <xf numFmtId="0" fontId="0" fillId="2" borderId="44" applyAlignment="1" pivotButton="0" quotePrefix="0" xfId="2">
      <alignment horizontal="center" vertical="center"/>
    </xf>
    <xf numFmtId="0" fontId="18" fillId="3" borderId="62" applyAlignment="1" pivotButton="0" quotePrefix="0" xfId="2">
      <alignment horizontal="center" vertical="center"/>
    </xf>
    <xf numFmtId="0" fontId="18" fillId="3" borderId="14" applyAlignment="1" pivotButton="0" quotePrefix="0" xfId="2">
      <alignment horizontal="center" vertical="center"/>
    </xf>
    <xf numFmtId="0" fontId="0" fillId="2" borderId="32" applyAlignment="1" pivotButton="0" quotePrefix="0" xfId="2">
      <alignment horizontal="center" vertical="center"/>
    </xf>
    <xf numFmtId="0" fontId="18" fillId="3" borderId="27" applyAlignment="1" pivotButton="0" quotePrefix="0" xfId="2">
      <alignment horizontal="center" vertical="center"/>
    </xf>
    <xf numFmtId="0" fontId="18" fillId="3" borderId="28" applyAlignment="1" pivotButton="0" quotePrefix="0" xfId="2">
      <alignment horizontal="center" vertical="center"/>
    </xf>
    <xf numFmtId="0" fontId="8" fillId="3" borderId="21" applyAlignment="1" pivotButton="0" quotePrefix="0" xfId="2">
      <alignment horizontal="center" vertical="center"/>
    </xf>
    <xf numFmtId="0" fontId="8" fillId="3" borderId="22" applyAlignment="1" pivotButton="0" quotePrefix="0" xfId="2">
      <alignment horizontal="center" vertical="center"/>
    </xf>
    <xf numFmtId="0" fontId="8" fillId="3" borderId="62" applyAlignment="1" pivotButton="0" quotePrefix="0" xfId="2">
      <alignment horizontal="center" vertical="center"/>
    </xf>
    <xf numFmtId="0" fontId="8" fillId="3" borderId="14" applyAlignment="1" pivotButton="0" quotePrefix="0" xfId="2">
      <alignment horizontal="center" vertical="center"/>
    </xf>
    <xf numFmtId="0" fontId="25" fillId="13" borderId="18" applyAlignment="1" pivotButton="0" quotePrefix="0" xfId="3">
      <alignment horizontal="center" vertical="center"/>
    </xf>
    <xf numFmtId="0" fontId="25" fillId="13" borderId="14" applyAlignment="1" pivotButton="0" quotePrefix="0" xfId="3">
      <alignment horizontal="center" vertical="center"/>
    </xf>
    <xf numFmtId="0" fontId="26" fillId="14" borderId="21" applyAlignment="1" pivotButton="0" quotePrefix="0" xfId="3">
      <alignment horizontal="center" vertical="center"/>
    </xf>
    <xf numFmtId="0" fontId="26" fillId="14" borderId="22" applyAlignment="1" pivotButton="0" quotePrefix="0" xfId="3">
      <alignment horizontal="center" vertical="center"/>
    </xf>
    <xf numFmtId="0" fontId="26" fillId="14" borderId="23" applyAlignment="1" pivotButton="0" quotePrefix="0" xfId="3">
      <alignment horizontal="center" vertical="center"/>
    </xf>
    <xf numFmtId="0" fontId="25" fillId="15" borderId="18" applyAlignment="1" pivotButton="0" quotePrefix="0" xfId="3">
      <alignment horizontal="center" vertical="center"/>
    </xf>
    <xf numFmtId="0" fontId="25" fillId="15" borderId="18" applyAlignment="1" pivotButton="0" quotePrefix="0" xfId="1">
      <alignment horizontal="center" vertical="center"/>
    </xf>
    <xf numFmtId="0" fontId="26" fillId="14" borderId="19" applyAlignment="1" pivotButton="0" quotePrefix="0" xfId="3">
      <alignment horizontal="center" vertical="center"/>
    </xf>
    <xf numFmtId="0" fontId="26" fillId="14" borderId="20" applyAlignment="1" pivotButton="0" quotePrefix="0" xfId="3">
      <alignment horizontal="center" vertical="center"/>
    </xf>
    <xf numFmtId="0" fontId="26" fillId="14" borderId="13" applyAlignment="1" pivotButton="0" quotePrefix="0" xfId="3">
      <alignment horizontal="center" vertical="center"/>
    </xf>
    <xf numFmtId="0" fontId="26" fillId="14" borderId="15" applyAlignment="1" pivotButton="0" quotePrefix="0" xfId="3">
      <alignment horizontal="center" vertical="center"/>
    </xf>
    <xf numFmtId="0" fontId="26" fillId="14" borderId="16" applyAlignment="1" pivotButton="0" quotePrefix="0" xfId="3">
      <alignment horizontal="center" vertical="center"/>
    </xf>
    <xf numFmtId="0" fontId="26" fillId="14" borderId="17" applyAlignment="1" pivotButton="0" quotePrefix="0" xfId="3">
      <alignment horizontal="center" vertical="center"/>
    </xf>
    <xf numFmtId="0" fontId="27" fillId="15" borderId="2" applyAlignment="1" pivotButton="0" quotePrefix="0" xfId="3">
      <alignment horizontal="center" vertical="center"/>
    </xf>
    <xf numFmtId="0" fontId="27" fillId="15" borderId="5" applyAlignment="1" pivotButton="0" quotePrefix="0" xfId="3">
      <alignment horizontal="center" vertical="center"/>
    </xf>
    <xf numFmtId="0" fontId="27" fillId="15" borderId="7" applyAlignment="1" pivotButton="0" quotePrefix="0" xfId="3">
      <alignment horizontal="center" vertical="center"/>
    </xf>
    <xf numFmtId="0" fontId="27" fillId="15" borderId="10" applyAlignment="1" pivotButton="0" quotePrefix="0" xfId="3">
      <alignment horizontal="center" vertical="center"/>
    </xf>
    <xf numFmtId="0" fontId="27" fillId="15" borderId="12" applyAlignment="1" pivotButton="0" quotePrefix="0" xfId="3">
      <alignment horizontal="center" vertical="center"/>
    </xf>
    <xf numFmtId="0" fontId="27" fillId="0" borderId="2" applyAlignment="1" pivotButton="0" quotePrefix="0" xfId="3">
      <alignment horizontal="center" vertical="center"/>
    </xf>
    <xf numFmtId="0" fontId="27" fillId="0" borderId="4" applyAlignment="1" pivotButton="0" quotePrefix="0" xfId="3">
      <alignment horizontal="center" vertical="center"/>
    </xf>
    <xf numFmtId="0" fontId="27" fillId="0" borderId="7" applyAlignment="1" pivotButton="0" quotePrefix="0" xfId="3">
      <alignment horizontal="center" vertical="center"/>
    </xf>
    <xf numFmtId="0" fontId="27" fillId="0" borderId="9" applyAlignment="1" pivotButton="0" quotePrefix="0" xfId="3">
      <alignment horizontal="center" vertical="center"/>
    </xf>
    <xf numFmtId="0" fontId="26" fillId="16" borderId="21" applyAlignment="1" pivotButton="0" quotePrefix="0" xfId="3">
      <alignment horizontal="center" vertical="center"/>
    </xf>
    <xf numFmtId="0" fontId="26" fillId="16" borderId="22" applyAlignment="1" pivotButton="0" quotePrefix="0" xfId="3">
      <alignment horizontal="center" vertical="center"/>
    </xf>
    <xf numFmtId="0" fontId="26" fillId="16" borderId="23" applyAlignment="1" pivotButton="0" quotePrefix="0" xfId="3">
      <alignment horizontal="center" vertical="center"/>
    </xf>
    <xf numFmtId="0" fontId="26" fillId="16" borderId="0" applyAlignment="1" pivotButton="0" quotePrefix="0" xfId="0">
      <alignment horizontal="center" vertical="center"/>
    </xf>
    <xf numFmtId="0" fontId="26" fillId="16" borderId="19" applyAlignment="1" pivotButton="0" quotePrefix="0" xfId="3">
      <alignment horizontal="center" vertical="center"/>
    </xf>
    <xf numFmtId="0" fontId="25" fillId="15" borderId="0" applyAlignment="1" pivotButton="0" quotePrefix="0" xfId="0">
      <alignment horizontal="center" vertical="center"/>
    </xf>
    <xf numFmtId="0" fontId="25" fillId="15" borderId="15" applyAlignment="1" pivotButton="0" quotePrefix="0" xfId="3">
      <alignment horizontal="center" vertical="center"/>
    </xf>
    <xf numFmtId="0" fontId="26" fillId="16" borderId="21" applyAlignment="1" pivotButton="0" quotePrefix="0" xfId="3">
      <alignment horizontal="center" vertical="center"/>
    </xf>
    <xf numFmtId="0" fontId="26" fillId="16" borderId="22" applyAlignment="1" pivotButton="0" quotePrefix="0" xfId="3">
      <alignment horizontal="center" vertical="center"/>
    </xf>
    <xf numFmtId="0" fontId="26" fillId="16" borderId="22" applyAlignment="1" pivotButton="0" quotePrefix="0" xfId="3">
      <alignment horizontal="center" vertical="center"/>
    </xf>
    <xf numFmtId="0" fontId="26" fillId="16" borderId="22" applyAlignment="1" pivotButton="0" quotePrefix="0" xfId="3">
      <alignment horizontal="center" vertical="center"/>
    </xf>
    <xf numFmtId="49" fontId="26" fillId="16" borderId="22" applyAlignment="1" pivotButton="0" quotePrefix="0" xfId="3">
      <alignment horizontal="center" vertical="center"/>
    </xf>
    <xf numFmtId="0" fontId="26" fillId="16" borderId="23" applyAlignment="1" pivotButton="0" quotePrefix="0" xfId="3">
      <alignment horizontal="center" vertical="center"/>
    </xf>
    <xf numFmtId="0" fontId="28" fillId="16" borderId="27" applyAlignment="1" pivotButton="0" quotePrefix="0" xfId="3">
      <alignment horizontal="center" vertical="center"/>
    </xf>
    <xf numFmtId="0" fontId="28" fillId="16" borderId="28" applyAlignment="1" pivotButton="0" quotePrefix="0" xfId="3">
      <alignment horizontal="center" vertical="center"/>
    </xf>
    <xf numFmtId="0" fontId="28" fillId="16" borderId="14" applyAlignment="1" pivotButton="0" quotePrefix="0" xfId="3">
      <alignment horizontal="center" vertical="center"/>
    </xf>
    <xf numFmtId="0" fontId="28" fillId="16" borderId="2" applyAlignment="1" pivotButton="0" quotePrefix="0" xfId="3">
      <alignment horizontal="center" vertical="center"/>
    </xf>
    <xf numFmtId="0" fontId="28" fillId="16" borderId="3" applyAlignment="1" pivotButton="0" quotePrefix="0" xfId="3">
      <alignment horizontal="center" vertical="center"/>
    </xf>
    <xf numFmtId="0" fontId="28" fillId="16" borderId="4" applyAlignment="1" pivotButton="0" quotePrefix="0" xfId="3">
      <alignment horizontal="center" vertical="center"/>
    </xf>
    <xf numFmtId="0" fontId="28" fillId="16" borderId="7" applyAlignment="1" pivotButton="0" quotePrefix="0" xfId="3">
      <alignment horizontal="center" vertical="center"/>
    </xf>
    <xf numFmtId="0" fontId="28" fillId="16" borderId="8" applyAlignment="1" pivotButton="0" quotePrefix="0" xfId="3">
      <alignment horizontal="center" vertical="center"/>
    </xf>
    <xf numFmtId="0" fontId="28" fillId="16" borderId="9" applyAlignment="1" pivotButton="0" quotePrefix="0" xfId="3">
      <alignment horizontal="center" vertical="center"/>
    </xf>
    <xf numFmtId="0" fontId="28" fillId="16" borderId="29" applyAlignment="1" pivotButton="0" quotePrefix="0" xfId="3">
      <alignment horizontal="center" vertical="center"/>
    </xf>
    <xf numFmtId="0" fontId="28" fillId="16" borderId="30" applyAlignment="1" pivotButton="0" quotePrefix="0" xfId="3">
      <alignment horizontal="center" vertical="center"/>
    </xf>
    <xf numFmtId="0" fontId="28" fillId="16" borderId="31" applyAlignment="1" pivotButton="0" quotePrefix="0" xfId="3">
      <alignment horizontal="center" vertical="center"/>
    </xf>
    <xf numFmtId="0" fontId="26" fillId="16" borderId="27" applyAlignment="1" pivotButton="0" quotePrefix="0" xfId="3">
      <alignment horizontal="center" vertical="center"/>
    </xf>
    <xf numFmtId="0" fontId="26" fillId="16" borderId="28" applyAlignment="1" pivotButton="0" quotePrefix="0" xfId="3">
      <alignment horizontal="center" vertical="center"/>
    </xf>
    <xf numFmtId="0" fontId="26" fillId="16" borderId="14" applyAlignment="1" pivotButton="0" quotePrefix="0" xfId="3">
      <alignment horizontal="center" vertical="center"/>
    </xf>
    <xf numFmtId="0" fontId="26" fillId="16" borderId="27" applyAlignment="1" pivotButton="0" quotePrefix="0" xfId="3">
      <alignment horizontal="center" vertical="center"/>
    </xf>
    <xf numFmtId="0" fontId="26" fillId="16" borderId="28" applyAlignment="1" pivotButton="0" quotePrefix="0" xfId="3">
      <alignment horizontal="center" vertical="center"/>
    </xf>
    <xf numFmtId="0" fontId="26" fillId="16" borderId="14" applyAlignment="1" pivotButton="0" quotePrefix="0" xfId="3">
      <alignment horizontal="center" vertical="center"/>
    </xf>
    <xf numFmtId="0" fontId="26" fillId="16" borderId="27" applyAlignment="1" pivotButton="0" quotePrefix="0" xfId="2">
      <alignment horizontal="center" vertical="center"/>
    </xf>
    <xf numFmtId="0" fontId="26" fillId="16" borderId="23" applyAlignment="1" pivotButton="0" quotePrefix="0" xfId="2">
      <alignment horizontal="center" vertical="center"/>
    </xf>
    <xf numFmtId="0" fontId="26" fillId="16" borderId="18" applyAlignment="1" pivotButton="0" quotePrefix="0" xfId="2">
      <alignment horizontal="center" vertical="center"/>
    </xf>
    <xf numFmtId="0" fontId="26" fillId="16" borderId="19" applyAlignment="1" pivotButton="0" quotePrefix="0" xfId="3">
      <alignment horizontal="center" vertical="center"/>
    </xf>
    <xf numFmtId="0" fontId="26" fillId="16" borderId="18" applyAlignment="1" pivotButton="0" quotePrefix="0" xfId="3">
      <alignment horizontal="center" vertical="center"/>
    </xf>
    <xf numFmtId="0" fontId="26" fillId="16" borderId="13" applyAlignment="1" pivotButton="0" quotePrefix="0" xfId="3">
      <alignment horizontal="center" vertical="center"/>
    </xf>
    <xf numFmtId="0" fontId="26" fillId="16" borderId="29" applyAlignment="1" pivotButton="0" quotePrefix="0" xfId="3">
      <alignment horizontal="center" vertical="center"/>
    </xf>
    <xf numFmtId="0" fontId="28" fillId="17" borderId="0" applyAlignment="1" pivotButton="0" quotePrefix="0" xfId="3">
      <alignment horizontal="center" vertical="center"/>
    </xf>
    <xf numFmtId="0" fontId="26" fillId="17" borderId="21" applyAlignment="1" pivotButton="0" quotePrefix="0" xfId="2">
      <alignment horizontal="center" vertical="center"/>
    </xf>
    <xf numFmtId="0" fontId="26" fillId="17" borderId="22" applyAlignment="1" pivotButton="0" quotePrefix="0" xfId="2">
      <alignment horizontal="center" vertical="center"/>
    </xf>
    <xf numFmtId="0" fontId="26" fillId="17" borderId="62" applyAlignment="1" pivotButton="0" quotePrefix="0" xfId="2">
      <alignment horizontal="center" vertical="center"/>
    </xf>
    <xf numFmtId="0" fontId="26" fillId="17" borderId="14" applyAlignment="1" pivotButton="0" quotePrefix="0" xfId="2">
      <alignment horizontal="center" vertical="center"/>
    </xf>
    <xf numFmtId="0" fontId="27" fillId="15" borderId="60" applyAlignment="1" pivotButton="0" quotePrefix="0" xfId="2">
      <alignment horizontal="center" vertical="center"/>
    </xf>
    <xf numFmtId="0" fontId="27" fillId="15" borderId="57" applyAlignment="1" pivotButton="0" quotePrefix="0" xfId="2">
      <alignment horizontal="center" vertical="center"/>
    </xf>
    <xf numFmtId="0" fontId="27" fillId="15" borderId="61" applyAlignment="1" pivotButton="0" quotePrefix="0" xfId="2">
      <alignment horizontal="center" vertical="center"/>
    </xf>
    <xf numFmtId="0" fontId="28" fillId="14" borderId="10" applyAlignment="1" pivotButton="0" quotePrefix="0" xfId="2">
      <alignment horizontal="center" vertical="center"/>
    </xf>
    <xf numFmtId="0" fontId="28" fillId="14" borderId="12" applyAlignment="1" pivotButton="0" quotePrefix="0" xfId="2">
      <alignment horizontal="center" vertical="center"/>
    </xf>
    <xf numFmtId="0" fontId="28" fillId="14" borderId="32" applyAlignment="1" pivotButton="0" quotePrefix="0" xfId="2">
      <alignment horizontal="center" vertical="center"/>
    </xf>
    <xf numFmtId="0" fontId="25" fillId="7" borderId="22" applyAlignment="1" pivotButton="0" quotePrefix="0" xfId="3">
      <alignment horizontal="center" vertical="center" wrapText="1"/>
    </xf>
    <xf numFmtId="0" fontId="25" fillId="7" borderId="22" applyAlignment="1" pivotButton="0" quotePrefix="0" xfId="3">
      <alignment horizontal="center" vertical="center" wrapText="1"/>
    </xf>
    <xf numFmtId="0" fontId="25" fillId="7" borderId="23" applyAlignment="1" pivotButton="0" quotePrefix="0" xfId="3">
      <alignment horizontal="center" vertical="center" wrapText="1"/>
    </xf>
    <xf numFmtId="167" fontId="25" fillId="7" borderId="58" applyAlignment="1" pivotButton="0" quotePrefix="0" xfId="3">
      <alignment horizontal="center" vertical="center" wrapText="1"/>
    </xf>
    <xf numFmtId="167" fontId="25" fillId="7" borderId="3" applyAlignment="1" pivotButton="0" quotePrefix="0" xfId="3">
      <alignment horizontal="center" vertical="center" wrapText="1"/>
    </xf>
    <xf numFmtId="0" fontId="25" fillId="7" borderId="3" applyAlignment="1" pivotButton="0" quotePrefix="0" xfId="3">
      <alignment horizontal="center" vertical="center" wrapText="1"/>
    </xf>
    <xf numFmtId="0" fontId="25" fillId="7" borderId="4" applyAlignment="1" pivotButton="0" quotePrefix="0" xfId="3">
      <alignment horizontal="center" vertical="center" wrapText="1"/>
    </xf>
    <xf numFmtId="0" fontId="26" fillId="17" borderId="27" applyAlignment="1" pivotButton="0" quotePrefix="0" xfId="2">
      <alignment horizontal="center" vertical="center"/>
    </xf>
    <xf numFmtId="0" fontId="26" fillId="17" borderId="28" applyAlignment="1" pivotButton="0" quotePrefix="0" xfId="2">
      <alignment horizontal="center" vertical="center"/>
    </xf>
    <xf numFmtId="0" fontId="26" fillId="17" borderId="62" applyAlignment="1" pivotButton="0" quotePrefix="0" xfId="2">
      <alignment horizontal="center" vertical="center"/>
    </xf>
    <xf numFmtId="0" fontId="26" fillId="17" borderId="14" applyAlignment="1" pivotButton="0" quotePrefix="0" xfId="2">
      <alignment horizontal="center" vertical="center"/>
    </xf>
    <xf numFmtId="0" fontId="27" fillId="15" borderId="22" applyAlignment="1" pivotButton="0" quotePrefix="0" xfId="2">
      <alignment horizontal="center" vertical="center"/>
    </xf>
    <xf numFmtId="0" fontId="27" fillId="15" borderId="23" applyAlignment="1" pivotButton="0" quotePrefix="0" xfId="2">
      <alignment horizontal="center" vertical="center"/>
    </xf>
    <xf numFmtId="0" fontId="25" fillId="10" borderId="0" applyAlignment="1" pivotButton="0" quotePrefix="0" xfId="3">
      <alignment horizontal="center" vertical="center"/>
    </xf>
    <xf numFmtId="0" fontId="29" fillId="13" borderId="18" applyAlignment="1" pivotButton="0" quotePrefix="0" xfId="3">
      <alignment horizontal="center" vertical="center"/>
    </xf>
    <xf numFmtId="0" fontId="29" fillId="13" borderId="14" applyAlignment="1" pivotButton="0" quotePrefix="0" xfId="3">
      <alignment horizontal="center" vertical="center"/>
    </xf>
    <xf numFmtId="0" fontId="30" fillId="14" borderId="21" applyAlignment="1" pivotButton="0" quotePrefix="0" xfId="3">
      <alignment horizontal="center" vertical="center"/>
    </xf>
    <xf numFmtId="0" fontId="30" fillId="14" borderId="22" applyAlignment="1" pivotButton="0" quotePrefix="0" xfId="3">
      <alignment horizontal="center" vertical="center"/>
    </xf>
    <xf numFmtId="0" fontId="30" fillId="14" borderId="23" applyAlignment="1" pivotButton="0" quotePrefix="0" xfId="3">
      <alignment horizontal="center" vertical="center"/>
    </xf>
    <xf numFmtId="0" fontId="29" fillId="15" borderId="18" applyAlignment="1" pivotButton="0" quotePrefix="0" xfId="3">
      <alignment horizontal="center" vertical="center"/>
    </xf>
    <xf numFmtId="0" fontId="29" fillId="15" borderId="18" applyAlignment="1" pivotButton="0" quotePrefix="0" xfId="1">
      <alignment horizontal="center" vertical="center"/>
    </xf>
    <xf numFmtId="0" fontId="30" fillId="14" borderId="19" applyAlignment="1" pivotButton="0" quotePrefix="0" xfId="3">
      <alignment horizontal="center" vertical="center"/>
    </xf>
    <xf numFmtId="0" fontId="30" fillId="14" borderId="20" applyAlignment="1" pivotButton="0" quotePrefix="0" xfId="3">
      <alignment horizontal="center" vertical="center"/>
    </xf>
    <xf numFmtId="0" fontId="30" fillId="14" borderId="13" applyAlignment="1" pivotButton="0" quotePrefix="0" xfId="3">
      <alignment horizontal="center" vertical="center"/>
    </xf>
    <xf numFmtId="0" fontId="30" fillId="14" borderId="15" applyAlignment="1" pivotButton="0" quotePrefix="0" xfId="3">
      <alignment horizontal="center" vertical="center"/>
    </xf>
    <xf numFmtId="0" fontId="30" fillId="14" borderId="16" applyAlignment="1" pivotButton="0" quotePrefix="0" xfId="3">
      <alignment horizontal="center" vertical="center"/>
    </xf>
    <xf numFmtId="0" fontId="30" fillId="14" borderId="17" applyAlignment="1" pivotButton="0" quotePrefix="0" xfId="3">
      <alignment horizontal="center" vertical="center"/>
    </xf>
    <xf numFmtId="0" fontId="31" fillId="15" borderId="2" applyAlignment="1" pivotButton="0" quotePrefix="0" xfId="3">
      <alignment horizontal="center" vertical="center"/>
    </xf>
    <xf numFmtId="0" fontId="31" fillId="15" borderId="5" applyAlignment="1" pivotButton="0" quotePrefix="0" xfId="3">
      <alignment horizontal="center" vertical="center"/>
    </xf>
    <xf numFmtId="0" fontId="31" fillId="15" borderId="7" applyAlignment="1" pivotButton="0" quotePrefix="0" xfId="3">
      <alignment horizontal="center" vertical="center"/>
    </xf>
    <xf numFmtId="0" fontId="31" fillId="15" borderId="10" applyAlignment="1" pivotButton="0" quotePrefix="0" xfId="3">
      <alignment horizontal="center" vertical="center"/>
    </xf>
    <xf numFmtId="0" fontId="31" fillId="15" borderId="12" applyAlignment="1" pivotButton="0" quotePrefix="0" xfId="3">
      <alignment horizontal="center" vertical="center"/>
    </xf>
    <xf numFmtId="0" fontId="31" fillId="0" borderId="2" applyAlignment="1" pivotButton="0" quotePrefix="0" xfId="3">
      <alignment horizontal="center" vertical="center"/>
    </xf>
    <xf numFmtId="0" fontId="31" fillId="0" borderId="4" applyAlignment="1" pivotButton="0" quotePrefix="0" xfId="3">
      <alignment horizontal="center" vertical="center"/>
    </xf>
    <xf numFmtId="0" fontId="31" fillId="0" borderId="7" applyAlignment="1" pivotButton="0" quotePrefix="0" xfId="3">
      <alignment horizontal="center" vertical="center"/>
    </xf>
    <xf numFmtId="0" fontId="31" fillId="0" borderId="9" applyAlignment="1" pivotButton="0" quotePrefix="0" xfId="3">
      <alignment horizontal="center" vertical="center"/>
    </xf>
    <xf numFmtId="0" fontId="30" fillId="16" borderId="21" applyAlignment="1" pivotButton="0" quotePrefix="0" xfId="3">
      <alignment horizontal="center" vertical="center"/>
    </xf>
    <xf numFmtId="0" fontId="30" fillId="16" borderId="22" applyAlignment="1" pivotButton="0" quotePrefix="0" xfId="3">
      <alignment horizontal="center" vertical="center"/>
    </xf>
    <xf numFmtId="0" fontId="30" fillId="16" borderId="23" applyAlignment="1" pivotButton="0" quotePrefix="0" xfId="3">
      <alignment horizontal="center" vertical="center"/>
    </xf>
    <xf numFmtId="0" fontId="30" fillId="16" borderId="0" applyAlignment="1" pivotButton="0" quotePrefix="0" xfId="0">
      <alignment horizontal="center" vertical="center"/>
    </xf>
    <xf numFmtId="0" fontId="30" fillId="16" borderId="19" applyAlignment="1" pivotButton="0" quotePrefix="0" xfId="3">
      <alignment horizontal="center" vertical="center"/>
    </xf>
    <xf numFmtId="0" fontId="29" fillId="15" borderId="0" applyAlignment="1" pivotButton="0" quotePrefix="0" xfId="0">
      <alignment horizontal="center" vertical="center"/>
    </xf>
    <xf numFmtId="0" fontId="29" fillId="15" borderId="15" applyAlignment="1" pivotButton="0" quotePrefix="0" xfId="3">
      <alignment horizontal="center" vertical="center"/>
    </xf>
    <xf numFmtId="0" fontId="30" fillId="16" borderId="21" applyAlignment="1" pivotButton="0" quotePrefix="0" xfId="3">
      <alignment horizontal="center" vertical="center"/>
    </xf>
    <xf numFmtId="0" fontId="30" fillId="16" borderId="22" applyAlignment="1" pivotButton="0" quotePrefix="0" xfId="3">
      <alignment horizontal="center" vertical="center"/>
    </xf>
    <xf numFmtId="0" fontId="30" fillId="16" borderId="22" applyAlignment="1" pivotButton="0" quotePrefix="0" xfId="3">
      <alignment horizontal="center" vertical="center"/>
    </xf>
    <xf numFmtId="0" fontId="30" fillId="16" borderId="22" applyAlignment="1" pivotButton="0" quotePrefix="0" xfId="3">
      <alignment horizontal="center" vertical="center"/>
    </xf>
    <xf numFmtId="49" fontId="30" fillId="16" borderId="22" applyAlignment="1" pivotButton="0" quotePrefix="0" xfId="3">
      <alignment horizontal="center" vertical="center"/>
    </xf>
    <xf numFmtId="0" fontId="30" fillId="16" borderId="23" applyAlignment="1" pivotButton="0" quotePrefix="0" xfId="3">
      <alignment horizontal="center" vertical="center"/>
    </xf>
    <xf numFmtId="0" fontId="32" fillId="16" borderId="27" applyAlignment="1" pivotButton="0" quotePrefix="0" xfId="3">
      <alignment horizontal="center" vertical="center"/>
    </xf>
    <xf numFmtId="0" fontId="32" fillId="16" borderId="28" applyAlignment="1" pivotButton="0" quotePrefix="0" xfId="3">
      <alignment horizontal="center" vertical="center"/>
    </xf>
    <xf numFmtId="0" fontId="32" fillId="16" borderId="14" applyAlignment="1" pivotButton="0" quotePrefix="0" xfId="3">
      <alignment horizontal="center" vertical="center"/>
    </xf>
    <xf numFmtId="0" fontId="32" fillId="16" borderId="2" applyAlignment="1" pivotButton="0" quotePrefix="0" xfId="3">
      <alignment horizontal="center" vertical="center"/>
    </xf>
    <xf numFmtId="0" fontId="32" fillId="16" borderId="3" applyAlignment="1" pivotButton="0" quotePrefix="0" xfId="3">
      <alignment horizontal="center" vertical="center"/>
    </xf>
    <xf numFmtId="0" fontId="32" fillId="16" borderId="4" applyAlignment="1" pivotButton="0" quotePrefix="0" xfId="3">
      <alignment horizontal="center" vertical="center"/>
    </xf>
    <xf numFmtId="0" fontId="32" fillId="16" borderId="7" applyAlignment="1" pivotButton="0" quotePrefix="0" xfId="3">
      <alignment horizontal="center" vertical="center"/>
    </xf>
    <xf numFmtId="0" fontId="32" fillId="16" borderId="8" applyAlignment="1" pivotButton="0" quotePrefix="0" xfId="3">
      <alignment horizontal="center" vertical="center"/>
    </xf>
    <xf numFmtId="0" fontId="32" fillId="16" borderId="9" applyAlignment="1" pivotButton="0" quotePrefix="0" xfId="3">
      <alignment horizontal="center" vertical="center"/>
    </xf>
    <xf numFmtId="0" fontId="32" fillId="16" borderId="29" applyAlignment="1" pivotButton="0" quotePrefix="0" xfId="3">
      <alignment horizontal="center" vertical="center"/>
    </xf>
    <xf numFmtId="0" fontId="32" fillId="16" borderId="30" applyAlignment="1" pivotButton="0" quotePrefix="0" xfId="3">
      <alignment horizontal="center" vertical="center"/>
    </xf>
    <xf numFmtId="0" fontId="32" fillId="16" borderId="31" applyAlignment="1" pivotButton="0" quotePrefix="0" xfId="3">
      <alignment horizontal="center" vertical="center"/>
    </xf>
    <xf numFmtId="0" fontId="30" fillId="16" borderId="27" applyAlignment="1" pivotButton="0" quotePrefix="0" xfId="3">
      <alignment horizontal="center" vertical="center"/>
    </xf>
    <xf numFmtId="0" fontId="30" fillId="16" borderId="28" applyAlignment="1" pivotButton="0" quotePrefix="0" xfId="3">
      <alignment horizontal="center" vertical="center"/>
    </xf>
    <xf numFmtId="0" fontId="30" fillId="16" borderId="14" applyAlignment="1" pivotButton="0" quotePrefix="0" xfId="3">
      <alignment horizontal="center" vertical="center"/>
    </xf>
    <xf numFmtId="0" fontId="30" fillId="16" borderId="27" applyAlignment="1" pivotButton="0" quotePrefix="0" xfId="3">
      <alignment horizontal="center" vertical="center"/>
    </xf>
    <xf numFmtId="0" fontId="30" fillId="16" borderId="28" applyAlignment="1" pivotButton="0" quotePrefix="0" xfId="3">
      <alignment horizontal="center" vertical="center"/>
    </xf>
    <xf numFmtId="0" fontId="30" fillId="16" borderId="14" applyAlignment="1" pivotButton="0" quotePrefix="0" xfId="3">
      <alignment horizontal="center" vertical="center"/>
    </xf>
    <xf numFmtId="0" fontId="30" fillId="16" borderId="27" applyAlignment="1" pivotButton="0" quotePrefix="0" xfId="2">
      <alignment horizontal="center" vertical="center"/>
    </xf>
    <xf numFmtId="0" fontId="30" fillId="16" borderId="23" applyAlignment="1" pivotButton="0" quotePrefix="0" xfId="2">
      <alignment horizontal="center" vertical="center"/>
    </xf>
    <xf numFmtId="0" fontId="30" fillId="16" borderId="18" applyAlignment="1" pivotButton="0" quotePrefix="0" xfId="2">
      <alignment horizontal="center" vertical="center"/>
    </xf>
    <xf numFmtId="0" fontId="30" fillId="16" borderId="19" applyAlignment="1" pivotButton="0" quotePrefix="0" xfId="3">
      <alignment horizontal="center" vertical="center"/>
    </xf>
    <xf numFmtId="0" fontId="30" fillId="16" borderId="18" applyAlignment="1" pivotButton="0" quotePrefix="0" xfId="3">
      <alignment horizontal="center" vertical="center"/>
    </xf>
    <xf numFmtId="0" fontId="30" fillId="16" borderId="13" applyAlignment="1" pivotButton="0" quotePrefix="0" xfId="3">
      <alignment horizontal="center" vertical="center"/>
    </xf>
    <xf numFmtId="0" fontId="30" fillId="16" borderId="29" applyAlignment="1" pivotButton="0" quotePrefix="0" xfId="3">
      <alignment horizontal="center" vertical="center"/>
    </xf>
    <xf numFmtId="0" fontId="32" fillId="17" borderId="0" applyAlignment="1" pivotButton="0" quotePrefix="0" xfId="3">
      <alignment horizontal="center" vertical="center"/>
    </xf>
    <xf numFmtId="0" fontId="30" fillId="17" borderId="21" applyAlignment="1" pivotButton="0" quotePrefix="0" xfId="2">
      <alignment horizontal="center" vertical="center"/>
    </xf>
    <xf numFmtId="0" fontId="30" fillId="17" borderId="22" applyAlignment="1" pivotButton="0" quotePrefix="0" xfId="2">
      <alignment horizontal="center" vertical="center"/>
    </xf>
    <xf numFmtId="0" fontId="30" fillId="17" borderId="62" applyAlignment="1" pivotButton="0" quotePrefix="0" xfId="2">
      <alignment horizontal="center" vertical="center"/>
    </xf>
    <xf numFmtId="0" fontId="30" fillId="17" borderId="14" applyAlignment="1" pivotButton="0" quotePrefix="0" xfId="2">
      <alignment horizontal="center" vertical="center"/>
    </xf>
    <xf numFmtId="0" fontId="31" fillId="15" borderId="60" applyAlignment="1" pivotButton="0" quotePrefix="0" xfId="2">
      <alignment horizontal="center" vertical="center"/>
    </xf>
    <xf numFmtId="0" fontId="31" fillId="15" borderId="57" applyAlignment="1" pivotButton="0" quotePrefix="0" xfId="2">
      <alignment horizontal="center" vertical="center"/>
    </xf>
    <xf numFmtId="0" fontId="31" fillId="15" borderId="61" applyAlignment="1" pivotButton="0" quotePrefix="0" xfId="2">
      <alignment horizontal="center" vertical="center"/>
    </xf>
    <xf numFmtId="0" fontId="32" fillId="14" borderId="10" applyAlignment="1" pivotButton="0" quotePrefix="0" xfId="2">
      <alignment horizontal="center" vertical="center"/>
    </xf>
    <xf numFmtId="0" fontId="32" fillId="14" borderId="12" applyAlignment="1" pivotButton="0" quotePrefix="0" xfId="2">
      <alignment horizontal="center" vertical="center"/>
    </xf>
    <xf numFmtId="0" fontId="32" fillId="14" borderId="32" applyAlignment="1" pivotButton="0" quotePrefix="0" xfId="2">
      <alignment horizontal="center" vertical="center"/>
    </xf>
    <xf numFmtId="0" fontId="29" fillId="7" borderId="22" applyAlignment="1" pivotButton="0" quotePrefix="0" xfId="3">
      <alignment horizontal="center" vertical="center" wrapText="1"/>
    </xf>
    <xf numFmtId="0" fontId="29" fillId="7" borderId="22" applyAlignment="1" pivotButton="0" quotePrefix="0" xfId="3">
      <alignment horizontal="center" vertical="center" wrapText="1"/>
    </xf>
    <xf numFmtId="0" fontId="29" fillId="7" borderId="23" applyAlignment="1" pivotButton="0" quotePrefix="0" xfId="3">
      <alignment horizontal="center" vertical="center" wrapText="1"/>
    </xf>
    <xf numFmtId="167" fontId="29" fillId="7" borderId="58" applyAlignment="1" pivotButton="0" quotePrefix="0" xfId="3">
      <alignment horizontal="center" vertical="center" wrapText="1"/>
    </xf>
    <xf numFmtId="167" fontId="29" fillId="7" borderId="3" applyAlignment="1" pivotButton="0" quotePrefix="0" xfId="3">
      <alignment horizontal="center" vertical="center" wrapText="1"/>
    </xf>
    <xf numFmtId="0" fontId="29" fillId="7" borderId="3" applyAlignment="1" pivotButton="0" quotePrefix="0" xfId="3">
      <alignment horizontal="center" vertical="center" wrapText="1"/>
    </xf>
    <xf numFmtId="0" fontId="29" fillId="7" borderId="4" applyAlignment="1" pivotButton="0" quotePrefix="0" xfId="3">
      <alignment horizontal="center" vertical="center" wrapText="1"/>
    </xf>
    <xf numFmtId="0" fontId="30" fillId="17" borderId="27" applyAlignment="1" pivotButton="0" quotePrefix="0" xfId="2">
      <alignment horizontal="center" vertical="center"/>
    </xf>
    <xf numFmtId="0" fontId="30" fillId="17" borderId="28" applyAlignment="1" pivotButton="0" quotePrefix="0" xfId="2">
      <alignment horizontal="center" vertical="center"/>
    </xf>
    <xf numFmtId="0" fontId="30" fillId="17" borderId="62" applyAlignment="1" pivotButton="0" quotePrefix="0" xfId="2">
      <alignment horizontal="center" vertical="center"/>
    </xf>
    <xf numFmtId="0" fontId="30" fillId="17" borderId="14" applyAlignment="1" pivotButton="0" quotePrefix="0" xfId="2">
      <alignment horizontal="center" vertical="center"/>
    </xf>
    <xf numFmtId="0" fontId="31" fillId="15" borderId="22" applyAlignment="1" pivotButton="0" quotePrefix="0" xfId="2">
      <alignment horizontal="center" vertical="center"/>
    </xf>
    <xf numFmtId="0" fontId="31" fillId="15" borderId="23" applyAlignment="1" pivotButton="0" quotePrefix="0" xfId="2">
      <alignment horizontal="center" vertical="center"/>
    </xf>
    <xf numFmtId="0" fontId="31" fillId="18" borderId="0" applyAlignment="1" pivotButton="0" quotePrefix="0" xfId="0">
      <alignment horizontal="center" vertical="center"/>
    </xf>
    <xf numFmtId="0" fontId="31" fillId="18" borderId="12" applyAlignment="1" pivotButton="0" quotePrefix="0" xfId="2">
      <alignment horizontal="center" vertical="center"/>
    </xf>
    <xf numFmtId="165" fontId="31" fillId="18" borderId="7" applyAlignment="1" pivotButton="0" quotePrefix="0" xfId="3">
      <alignment horizontal="center" vertical="center"/>
    </xf>
    <xf numFmtId="165" fontId="31" fillId="18" borderId="8" applyAlignment="1" pivotButton="0" quotePrefix="0" xfId="3">
      <alignment horizontal="center" vertical="center"/>
    </xf>
    <xf numFmtId="165" fontId="31" fillId="18" borderId="9" applyAlignment="1" pivotButton="0" quotePrefix="0" xfId="3">
      <alignment horizontal="center" vertical="center"/>
    </xf>
    <xf numFmtId="0" fontId="29" fillId="10" borderId="0" applyAlignment="1" pivotButton="0" quotePrefix="0" xfId="3">
      <alignment horizontal="center" vertical="center"/>
    </xf>
    <xf numFmtId="0" fontId="15" fillId="0" borderId="0" pivotButton="0" quotePrefix="0" xfId="0"/>
    <xf numFmtId="0" fontId="38" fillId="23" borderId="0" applyAlignment="1" pivotButton="0" quotePrefix="0" xfId="0">
      <alignment horizontal="center" vertical="center" wrapText="1"/>
    </xf>
    <xf numFmtId="0" fontId="39" fillId="24" borderId="0" applyAlignment="1" pivotButton="0" quotePrefix="0" xfId="0">
      <alignment horizontal="center" vertical="center" wrapText="1"/>
    </xf>
    <xf numFmtId="0" fontId="2" fillId="20" borderId="74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76" pivotButton="0" quotePrefix="0" xfId="0"/>
    <xf numFmtId="165" fontId="2" fillId="20" borderId="75" applyAlignment="1" pivotButton="0" quotePrefix="0" xfId="0">
      <alignment horizontal="center" vertical="center" wrapText="1"/>
    </xf>
    <xf numFmtId="0" fontId="2" fillId="20" borderId="76" applyAlignment="1" pivotButton="0" quotePrefix="0" xfId="0">
      <alignment horizontal="center" vertical="center" wrapText="1"/>
    </xf>
    <xf numFmtId="0" fontId="15" fillId="21" borderId="1" pivotButton="0" quotePrefix="0" xfId="0"/>
    <xf numFmtId="0" fontId="15" fillId="0" borderId="48" applyAlignment="1" pivotButton="0" quotePrefix="0" xfId="0">
      <alignment horizontal="center" vertical="center"/>
    </xf>
    <xf numFmtId="165" fontId="15" fillId="0" borderId="0" pivotButton="0" quotePrefix="0" xfId="0"/>
    <xf numFmtId="2" fontId="15" fillId="0" borderId="0" pivotButton="0" quotePrefix="0" xfId="0"/>
    <xf numFmtId="0" fontId="2" fillId="21" borderId="77" applyAlignment="1" pivotButton="0" quotePrefix="0" xfId="0">
      <alignment horizontal="center" vertical="center" wrapText="1"/>
    </xf>
    <xf numFmtId="0" fontId="2" fillId="21" borderId="78" applyAlignment="1" pivotButton="0" quotePrefix="0" xfId="0">
      <alignment horizontal="center" vertical="center" wrapText="1"/>
    </xf>
    <xf numFmtId="165" fontId="2" fillId="21" borderId="78" applyAlignment="1" pivotButton="0" quotePrefix="0" xfId="0">
      <alignment horizontal="center" vertical="center" wrapText="1"/>
    </xf>
    <xf numFmtId="0" fontId="34" fillId="21" borderId="1" applyAlignment="1" pivotButton="0" quotePrefix="0" xfId="1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2" fillId="11" borderId="10" applyAlignment="1" pivotButton="0" quotePrefix="0" xfId="0">
      <alignment horizontal="center" vertical="center" wrapText="1"/>
    </xf>
    <xf numFmtId="0" fontId="2" fillId="11" borderId="33" applyAlignment="1" pivotButton="0" quotePrefix="0" xfId="0">
      <alignment horizontal="center" vertical="center" wrapText="1"/>
    </xf>
    <xf numFmtId="165" fontId="2" fillId="11" borderId="10" applyAlignment="1" pivotButton="0" quotePrefix="0" xfId="0">
      <alignment horizontal="center" vertical="center" wrapText="1"/>
    </xf>
    <xf numFmtId="0" fontId="2" fillId="11" borderId="66" applyAlignment="1" pivotButton="0" quotePrefix="0" xfId="0">
      <alignment horizontal="center" vertical="center" wrapText="1"/>
    </xf>
    <xf numFmtId="0" fontId="2" fillId="11" borderId="11" applyAlignment="1" pivotButton="0" quotePrefix="0" xfId="0">
      <alignment horizontal="center" vertical="center" wrapText="1"/>
    </xf>
    <xf numFmtId="0" fontId="2" fillId="11" borderId="34" applyAlignment="1" pivotButton="0" quotePrefix="0" xfId="0">
      <alignment horizontal="center" vertical="center" wrapText="1"/>
    </xf>
    <xf numFmtId="165" fontId="2" fillId="11" borderId="11" applyAlignment="1" pivotButton="0" quotePrefix="0" xfId="0">
      <alignment horizontal="center" vertical="center" wrapText="1"/>
    </xf>
    <xf numFmtId="0" fontId="2" fillId="11" borderId="79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2" fontId="34" fillId="0" borderId="1" applyAlignment="1" pivotButton="0" quotePrefix="0" xfId="0">
      <alignment horizontal="center" vertical="center"/>
    </xf>
    <xf numFmtId="0" fontId="34" fillId="0" borderId="56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 wrapText="1"/>
    </xf>
    <xf numFmtId="0" fontId="15" fillId="20" borderId="29" applyAlignment="1" pivotButton="0" quotePrefix="0" xfId="0">
      <alignment horizontal="center"/>
    </xf>
    <xf numFmtId="0" fontId="0" fillId="0" borderId="20" pivotButton="0" quotePrefix="0" xfId="0"/>
    <xf numFmtId="0" fontId="0" fillId="0" borderId="13" pivotButton="0" quotePrefix="0" xfId="0"/>
    <xf numFmtId="0" fontId="15" fillId="20" borderId="27" applyAlignment="1" pivotButton="0" quotePrefix="0" xfId="0">
      <alignment horizontal="center"/>
    </xf>
    <xf numFmtId="0" fontId="15" fillId="20" borderId="21" applyAlignment="1" pivotButton="0" quotePrefix="0" xfId="0">
      <alignment horizontal="center"/>
    </xf>
    <xf numFmtId="0" fontId="15" fillId="20" borderId="23" applyAlignment="1" pivotButton="0" quotePrefix="0" xfId="0">
      <alignment horizontal="center"/>
    </xf>
    <xf numFmtId="0" fontId="16" fillId="21" borderId="33" applyAlignment="1" pivotButton="0" quotePrefix="0" xfId="0">
      <alignment horizontal="center"/>
    </xf>
    <xf numFmtId="164" fontId="15" fillId="0" borderId="24" applyAlignment="1" pivotButton="0" quotePrefix="0" xfId="0">
      <alignment horizontal="center"/>
    </xf>
    <xf numFmtId="164" fontId="15" fillId="0" borderId="26" applyAlignment="1" pivotButton="0" quotePrefix="0" xfId="0">
      <alignment horizontal="center"/>
    </xf>
    <xf numFmtId="0" fontId="16" fillId="21" borderId="34" applyAlignment="1" pivotButton="0" quotePrefix="0" xfId="0">
      <alignment horizontal="center"/>
    </xf>
    <xf numFmtId="164" fontId="15" fillId="0" borderId="5" applyAlignment="1" pivotButton="0" quotePrefix="0" xfId="0">
      <alignment horizontal="center"/>
    </xf>
    <xf numFmtId="164" fontId="15" fillId="0" borderId="6" applyAlignment="1" pivotButton="0" quotePrefix="0" xfId="0">
      <alignment horizontal="center"/>
    </xf>
    <xf numFmtId="164" fontId="44" fillId="0" borderId="5" applyAlignment="1" pivotButton="0" quotePrefix="0" xfId="0">
      <alignment horizontal="center" wrapText="1"/>
    </xf>
    <xf numFmtId="164" fontId="44" fillId="0" borderId="6" applyAlignment="1" pivotButton="0" quotePrefix="0" xfId="0">
      <alignment horizontal="center" wrapText="1"/>
    </xf>
    <xf numFmtId="0" fontId="45" fillId="24" borderId="11" applyAlignment="1" pivotButton="0" quotePrefix="0" xfId="0">
      <alignment horizontal="center" vertical="center" wrapText="1"/>
    </xf>
    <xf numFmtId="0" fontId="45" fillId="24" borderId="34" applyAlignment="1" pivotButton="0" quotePrefix="0" xfId="0">
      <alignment horizontal="center" vertical="center" wrapText="1"/>
    </xf>
    <xf numFmtId="0" fontId="46" fillId="24" borderId="34" applyAlignment="1" pivotButton="0" quotePrefix="0" xfId="0">
      <alignment horizontal="center" vertical="center" wrapText="1"/>
    </xf>
    <xf numFmtId="164" fontId="47" fillId="24" borderId="5" applyAlignment="1" pivotButton="0" quotePrefix="0" xfId="0">
      <alignment horizontal="center" vertical="center" wrapText="1"/>
    </xf>
    <xf numFmtId="164" fontId="47" fillId="24" borderId="6" applyAlignment="1" pivotButton="0" quotePrefix="0" xfId="0">
      <alignment horizontal="center" vertical="center" wrapText="1"/>
    </xf>
    <xf numFmtId="0" fontId="2" fillId="11" borderId="12" applyAlignment="1" pivotButton="0" quotePrefix="0" xfId="0">
      <alignment horizontal="center" vertical="center" wrapText="1"/>
    </xf>
    <xf numFmtId="0" fontId="2" fillId="11" borderId="35" applyAlignment="1" pivotButton="0" quotePrefix="0" xfId="0">
      <alignment horizontal="center" vertical="center" wrapText="1"/>
    </xf>
    <xf numFmtId="0" fontId="2" fillId="11" borderId="80" applyAlignment="1" pivotButton="0" quotePrefix="0" xfId="0">
      <alignment horizontal="center" vertical="center" wrapText="1"/>
    </xf>
    <xf numFmtId="0" fontId="16" fillId="21" borderId="35" applyAlignment="1" pivotButton="0" quotePrefix="0" xfId="0">
      <alignment horizontal="center"/>
    </xf>
    <xf numFmtId="164" fontId="44" fillId="0" borderId="7" applyAlignment="1" pivotButton="0" quotePrefix="0" xfId="0">
      <alignment horizontal="center" wrapText="1"/>
    </xf>
    <xf numFmtId="164" fontId="44" fillId="0" borderId="9" applyAlignment="1" pivotButton="0" quotePrefix="0" xfId="0">
      <alignment horizontal="center" wrapText="1"/>
    </xf>
    <xf numFmtId="0" fontId="15" fillId="19" borderId="1" applyAlignment="1" pivotButton="0" quotePrefix="0" xfId="0">
      <alignment horizontal="center"/>
    </xf>
    <xf numFmtId="0" fontId="15" fillId="0" borderId="37" pivotButton="0" quotePrefix="0" xfId="0"/>
    <xf numFmtId="0" fontId="15" fillId="0" borderId="48" pivotButton="0" quotePrefix="0" xfId="0"/>
    <xf numFmtId="0" fontId="15" fillId="20" borderId="1" applyAlignment="1" pivotButton="0" quotePrefix="0" xfId="0">
      <alignment horizontal="center"/>
    </xf>
    <xf numFmtId="0" fontId="15" fillId="19" borderId="65" applyAlignment="1" pivotButton="0" quotePrefix="0" xfId="0">
      <alignment horizontal="center"/>
    </xf>
    <xf numFmtId="0" fontId="15" fillId="19" borderId="37" applyAlignment="1" pivotButton="0" quotePrefix="0" xfId="0">
      <alignment horizontal="center"/>
    </xf>
    <xf numFmtId="0" fontId="15" fillId="19" borderId="48" applyAlignment="1" pivotButton="0" quotePrefix="0" xfId="0">
      <alignment horizontal="center"/>
    </xf>
    <xf numFmtId="0" fontId="15" fillId="19" borderId="48" applyAlignment="1" pivotButton="0" quotePrefix="0" xfId="1">
      <alignment horizontal="center" vertical="center"/>
    </xf>
    <xf numFmtId="0" fontId="15" fillId="19" borderId="1" applyAlignment="1" pivotButton="0" quotePrefix="0" xfId="1">
      <alignment horizontal="center" vertical="center"/>
    </xf>
    <xf numFmtId="0" fontId="15" fillId="19" borderId="65" applyAlignment="1" pivotButton="0" quotePrefix="0" xfId="1">
      <alignment horizontal="center" vertical="center"/>
    </xf>
    <xf numFmtId="0" fontId="15" fillId="21" borderId="1" applyAlignment="1" pivotButton="0" quotePrefix="0" xfId="0">
      <alignment horizontal="center"/>
    </xf>
    <xf numFmtId="0" fontId="15" fillId="0" borderId="56" applyAlignment="1" pivotButton="0" quotePrefix="0" xfId="0">
      <alignment horizontal="center"/>
    </xf>
    <xf numFmtId="165" fontId="15" fillId="0" borderId="57" pivotButton="0" quotePrefix="0" xfId="0"/>
    <xf numFmtId="0" fontId="15" fillId="0" borderId="53" pivotButton="0" quotePrefix="0" xfId="0"/>
    <xf numFmtId="0" fontId="15" fillId="0" borderId="54" pivotButton="0" quotePrefix="0" xfId="0"/>
    <xf numFmtId="165" fontId="15" fillId="0" borderId="54" applyAlignment="1" pivotButton="0" quotePrefix="0" xfId="0">
      <alignment horizontal="center" vertical="center"/>
    </xf>
    <xf numFmtId="166" fontId="15" fillId="0" borderId="57" applyAlignment="1" pivotButton="0" quotePrefix="0" xfId="0">
      <alignment horizontal="center" vertical="center"/>
    </xf>
    <xf numFmtId="0" fontId="15" fillId="0" borderId="57" pivotButton="0" quotePrefix="0" xfId="0"/>
    <xf numFmtId="165" fontId="15" fillId="0" borderId="57" applyAlignment="1" pivotButton="0" quotePrefix="0" xfId="0">
      <alignment horizontal="center" vertical="center"/>
    </xf>
    <xf numFmtId="0" fontId="33" fillId="19" borderId="1" applyAlignment="1" pivotButton="0" quotePrefix="0" xfId="0">
      <alignment horizontal="center"/>
    </xf>
    <xf numFmtId="2" fontId="15" fillId="0" borderId="1" pivotButton="0" quotePrefix="0" xfId="0"/>
    <xf numFmtId="164" fontId="15" fillId="0" borderId="1" pivotButton="0" quotePrefix="0" xfId="0"/>
    <xf numFmtId="164" fontId="15" fillId="0" borderId="0" pivotButton="0" quotePrefix="0" xfId="0"/>
    <xf numFmtId="0" fontId="15" fillId="0" borderId="57" applyAlignment="1" pivotButton="0" quotePrefix="0" xfId="0">
      <alignment horizontal="center"/>
    </xf>
    <xf numFmtId="0" fontId="15" fillId="19" borderId="1" pivotButton="0" quotePrefix="0" xfId="0"/>
    <xf numFmtId="0" fontId="15" fillId="0" borderId="52" pivotButton="0" quotePrefix="0" xfId="0"/>
    <xf numFmtId="0" fontId="18" fillId="19" borderId="1" applyAlignment="1" pivotButton="0" quotePrefix="0" xfId="1">
      <alignment horizontal="center" vertical="center"/>
    </xf>
    <xf numFmtId="2" fontId="35" fillId="21" borderId="65" applyAlignment="1" pivotButton="0" quotePrefix="0" xfId="1">
      <alignment horizontal="center" vertical="center"/>
    </xf>
    <xf numFmtId="2" fontId="13" fillId="0" borderId="1" pivotButton="0" quotePrefix="0" xfId="0"/>
    <xf numFmtId="0" fontId="34" fillId="19" borderId="65" applyAlignment="1" pivotButton="0" quotePrefix="0" xfId="1">
      <alignment horizontal="center" vertical="center"/>
    </xf>
    <xf numFmtId="0" fontId="34" fillId="0" borderId="65" applyAlignment="1" pivotButton="0" quotePrefix="0" xfId="0">
      <alignment horizontal="center" vertical="center"/>
    </xf>
    <xf numFmtId="0" fontId="34" fillId="0" borderId="48" applyAlignment="1" pivotButton="0" quotePrefix="0" xfId="0">
      <alignment horizontal="center" vertical="center"/>
    </xf>
    <xf numFmtId="0" fontId="34" fillId="21" borderId="65" applyAlignment="1" pivotButton="0" quotePrefix="0" xfId="1">
      <alignment horizontal="center" vertical="center"/>
    </xf>
    <xf numFmtId="0" fontId="34" fillId="0" borderId="47" applyAlignment="1" pivotButton="0" quotePrefix="0" xfId="0">
      <alignment horizontal="center" vertical="center"/>
    </xf>
    <xf numFmtId="0" fontId="34" fillId="0" borderId="49" applyAlignment="1" pivotButton="0" quotePrefix="0" xfId="0">
      <alignment horizontal="center" vertical="center"/>
    </xf>
    <xf numFmtId="0" fontId="34" fillId="19" borderId="1" applyAlignment="1" pivotButton="0" quotePrefix="0" xfId="1">
      <alignment horizontal="center" vertical="center"/>
    </xf>
    <xf numFmtId="0" fontId="15" fillId="0" borderId="25" applyAlignment="1" pivotButton="0" quotePrefix="0" xfId="0">
      <alignment horizontal="center"/>
    </xf>
    <xf numFmtId="0" fontId="15" fillId="0" borderId="47" pivotButton="0" quotePrefix="0" xfId="0"/>
    <xf numFmtId="0" fontId="15" fillId="0" borderId="49" pivotButton="0" quotePrefix="0" xfId="0"/>
    <xf numFmtId="165" fontId="15" fillId="0" borderId="49" applyAlignment="1" pivotButton="0" quotePrefix="0" xfId="0">
      <alignment horizontal="center" vertical="center"/>
    </xf>
    <xf numFmtId="166" fontId="15" fillId="0" borderId="25" applyAlignment="1" pivotButton="0" quotePrefix="0" xfId="0">
      <alignment horizontal="center" vertical="center"/>
    </xf>
    <xf numFmtId="0" fontId="15" fillId="0" borderId="25" pivotButton="0" quotePrefix="0" xfId="0"/>
    <xf numFmtId="165" fontId="15" fillId="0" borderId="25" applyAlignment="1" pivotButton="0" quotePrefix="0" xfId="0">
      <alignment horizontal="center" vertical="center"/>
    </xf>
    <xf numFmtId="165" fontId="15" fillId="19" borderId="1" applyAlignment="1" pivotButton="0" quotePrefix="0" xfId="1">
      <alignment horizontal="center" vertical="center"/>
    </xf>
    <xf numFmtId="0" fontId="15" fillId="19" borderId="50" applyAlignment="1" pivotButton="0" quotePrefix="0" xfId="0">
      <alignment horizontal="center"/>
    </xf>
    <xf numFmtId="0" fontId="15" fillId="19" borderId="52" applyAlignment="1" pivotButton="0" quotePrefix="0" xfId="0">
      <alignment horizontal="center"/>
    </xf>
    <xf numFmtId="0" fontId="15" fillId="19" borderId="56" applyAlignment="1" pivotButton="0" quotePrefix="0" xfId="1">
      <alignment horizontal="center" vertical="center"/>
    </xf>
    <xf numFmtId="0" fontId="15" fillId="19" borderId="57" applyAlignment="1" pivotButton="0" quotePrefix="0" xfId="1">
      <alignment horizontal="center" vertical="center"/>
    </xf>
    <xf numFmtId="0" fontId="15" fillId="19" borderId="54" applyAlignment="1" pivotButton="0" quotePrefix="0" xfId="1">
      <alignment horizontal="center" vertical="center"/>
    </xf>
    <xf numFmtId="0" fontId="15" fillId="19" borderId="37" applyAlignment="1" pivotButton="0" quotePrefix="0" xfId="1">
      <alignment horizontal="center" vertical="center"/>
    </xf>
    <xf numFmtId="0" fontId="15" fillId="0" borderId="50" pivotButton="0" quotePrefix="0" xfId="0"/>
    <xf numFmtId="0" fontId="15" fillId="0" borderId="51" pivotButton="0" quotePrefix="0" xfId="0"/>
    <xf numFmtId="166" fontId="15" fillId="0" borderId="56" applyAlignment="1" pivotButton="0" quotePrefix="0" xfId="0">
      <alignment horizontal="center" vertical="center"/>
    </xf>
    <xf numFmtId="165" fontId="15" fillId="0" borderId="56" applyAlignment="1" pivotButton="0" quotePrefix="0" xfId="0">
      <alignment horizontal="center" vertical="center"/>
    </xf>
    <xf numFmtId="0" fontId="15" fillId="0" borderId="56" applyAlignment="1" pivotButton="0" quotePrefix="0" xfId="0">
      <alignment horizontal="center" vertical="center"/>
    </xf>
    <xf numFmtId="168" fontId="15" fillId="0" borderId="52" applyAlignment="1" pivotButton="0" quotePrefix="0" xfId="0">
      <alignment horizontal="center" vertical="center"/>
    </xf>
    <xf numFmtId="166" fontId="15" fillId="0" borderId="54" applyAlignment="1" pivotButton="0" quotePrefix="0" xfId="0">
      <alignment horizontal="center" vertical="center"/>
    </xf>
    <xf numFmtId="0" fontId="15" fillId="0" borderId="57" applyAlignment="1" pivotButton="0" quotePrefix="0" xfId="0">
      <alignment horizontal="center" vertical="center"/>
    </xf>
    <xf numFmtId="168" fontId="15" fillId="0" borderId="54" applyAlignment="1" pivotButton="0" quotePrefix="0" xfId="0">
      <alignment horizontal="center" vertical="center"/>
    </xf>
    <xf numFmtId="165" fontId="15" fillId="0" borderId="25" pivotButton="0" quotePrefix="0" xfId="0"/>
    <xf numFmtId="0" fontId="15" fillId="0" borderId="55" pivotButton="0" quotePrefix="0" xfId="0"/>
    <xf numFmtId="0" fontId="15" fillId="0" borderId="25" applyAlignment="1" pivotButton="0" quotePrefix="0" xfId="0">
      <alignment horizontal="center" vertical="center"/>
    </xf>
    <xf numFmtId="168" fontId="15" fillId="0" borderId="49" applyAlignment="1" pivotButton="0" quotePrefix="0" xfId="0">
      <alignment horizontal="center" vertical="center"/>
    </xf>
    <xf numFmtId="166" fontId="15" fillId="0" borderId="49" applyAlignment="1" pivotButton="0" quotePrefix="0" xfId="0">
      <alignment horizontal="center" vertical="center"/>
    </xf>
    <xf numFmtId="166" fontId="0" fillId="0" borderId="8" applyAlignment="1" pivotButton="0" quotePrefix="0" xfId="3">
      <alignment horizontal="center" vertical="center"/>
    </xf>
    <xf numFmtId="0" fontId="32" fillId="16" borderId="18" applyAlignment="1" pivotButton="0" quotePrefix="0" xfId="3">
      <alignment horizontal="center" vertical="center"/>
    </xf>
    <xf numFmtId="0" fontId="0" fillId="0" borderId="28" pivotButton="0" quotePrefix="0" xfId="0"/>
    <xf numFmtId="0" fontId="0" fillId="0" borderId="14" pivotButton="0" quotePrefix="0" xfId="0"/>
    <xf numFmtId="0" fontId="36" fillId="19" borderId="10" applyAlignment="1" pivotButton="0" quotePrefix="0" xfId="0">
      <alignment horizontal="center"/>
    </xf>
    <xf numFmtId="0" fontId="15" fillId="0" borderId="36" pivotButton="0" quotePrefix="0" xfId="0"/>
    <xf numFmtId="0" fontId="15" fillId="0" borderId="66" pivotButton="0" quotePrefix="0" xfId="0"/>
    <xf numFmtId="0" fontId="0" fillId="0" borderId="30" pivotButton="0" quotePrefix="0" xfId="0"/>
    <xf numFmtId="0" fontId="15" fillId="19" borderId="67" applyAlignment="1" pivotButton="0" quotePrefix="0" xfId="0">
      <alignment horizontal="center"/>
    </xf>
    <xf numFmtId="0" fontId="15" fillId="19" borderId="51" applyAlignment="1" pivotButton="0" quotePrefix="0" xfId="0">
      <alignment horizontal="center"/>
    </xf>
    <xf numFmtId="0" fontId="15" fillId="19" borderId="68" applyAlignment="1" pivotButton="0" quotePrefix="0" xfId="0">
      <alignment horizontal="center"/>
    </xf>
    <xf numFmtId="0" fontId="36" fillId="19" borderId="48" applyAlignment="1" pivotButton="0" quotePrefix="0" xfId="0">
      <alignment horizontal="center" vertical="center"/>
    </xf>
    <xf numFmtId="0" fontId="0" fillId="0" borderId="31" pivotButton="0" quotePrefix="0" xfId="0"/>
    <xf numFmtId="0" fontId="36" fillId="19" borderId="1" applyAlignment="1" pivotButton="0" quotePrefix="0" xfId="0">
      <alignment horizontal="center" vertical="center"/>
    </xf>
    <xf numFmtId="0" fontId="15" fillId="19" borderId="42" applyAlignment="1" pivotButton="0" quotePrefix="0" xfId="0">
      <alignment horizontal="center"/>
    </xf>
    <xf numFmtId="0" fontId="15" fillId="19" borderId="0" applyAlignment="1" pivotButton="0" quotePrefix="0" xfId="0">
      <alignment horizontal="center"/>
    </xf>
    <xf numFmtId="0" fontId="36" fillId="19" borderId="0" applyAlignment="1" pivotButton="0" quotePrefix="0" xfId="0">
      <alignment horizontal="center" vertical="center"/>
    </xf>
    <xf numFmtId="0" fontId="15" fillId="19" borderId="43" applyAlignment="1" pivotButton="0" quotePrefix="0" xfId="0">
      <alignment horizontal="center"/>
    </xf>
    <xf numFmtId="0" fontId="15" fillId="0" borderId="0" applyAlignment="1" pivotButton="0" quotePrefix="0" xfId="0">
      <alignment horizontal="right"/>
    </xf>
    <xf numFmtId="164" fontId="15" fillId="0" borderId="67" pivotButton="0" quotePrefix="0" xfId="0"/>
    <xf numFmtId="164" fontId="15" fillId="0" borderId="51" pivotButton="0" quotePrefix="0" xfId="0"/>
    <xf numFmtId="164" fontId="15" fillId="0" borderId="68" pivotButton="0" quotePrefix="0" xfId="0"/>
    <xf numFmtId="165" fontId="15" fillId="0" borderId="52" pivotButton="0" quotePrefix="0" xfId="0"/>
    <xf numFmtId="165" fontId="15" fillId="0" borderId="56" pivotButton="0" quotePrefix="0" xfId="0"/>
    <xf numFmtId="164" fontId="15" fillId="0" borderId="42" pivotButton="0" quotePrefix="0" xfId="0"/>
    <xf numFmtId="164" fontId="15" fillId="0" borderId="43" pivotButton="0" quotePrefix="0" xfId="0"/>
    <xf numFmtId="165" fontId="15" fillId="0" borderId="54" pivotButton="0" quotePrefix="0" xfId="0"/>
    <xf numFmtId="164" fontId="15" fillId="0" borderId="69" pivotButton="0" quotePrefix="0" xfId="0"/>
    <xf numFmtId="164" fontId="15" fillId="0" borderId="55" pivotButton="0" quotePrefix="0" xfId="0"/>
    <xf numFmtId="164" fontId="15" fillId="0" borderId="70" pivotButton="0" quotePrefix="0" xfId="0"/>
    <xf numFmtId="165" fontId="15" fillId="0" borderId="49" pivotButton="0" quotePrefix="0" xfId="0"/>
    <xf numFmtId="168" fontId="15" fillId="0" borderId="52" pivotButton="0" quotePrefix="0" xfId="0"/>
    <xf numFmtId="168" fontId="15" fillId="0" borderId="56" pivotButton="0" quotePrefix="0" xfId="0"/>
    <xf numFmtId="0" fontId="15" fillId="0" borderId="42" pivotButton="0" quotePrefix="0" xfId="0"/>
    <xf numFmtId="168" fontId="15" fillId="0" borderId="54" pivotButton="0" quotePrefix="0" xfId="0"/>
    <xf numFmtId="168" fontId="15" fillId="0" borderId="57" pivotButton="0" quotePrefix="0" xfId="0"/>
    <xf numFmtId="0" fontId="15" fillId="0" borderId="43" pivotButton="0" quotePrefix="0" xfId="0"/>
    <xf numFmtId="0" fontId="15" fillId="0" borderId="44" pivotButton="0" quotePrefix="0" xfId="0"/>
    <xf numFmtId="0" fontId="15" fillId="0" borderId="45" pivotButton="0" quotePrefix="0" xfId="0"/>
    <xf numFmtId="164" fontId="15" fillId="0" borderId="45" pivotButton="0" quotePrefix="0" xfId="0"/>
    <xf numFmtId="164" fontId="15" fillId="0" borderId="46" pivotButton="0" quotePrefix="0" xfId="0"/>
    <xf numFmtId="168" fontId="15" fillId="0" borderId="49" pivotButton="0" quotePrefix="0" xfId="0"/>
    <xf numFmtId="168" fontId="15" fillId="0" borderId="25" pivotButton="0" quotePrefix="0" xfId="0"/>
    <xf numFmtId="0" fontId="0" fillId="0" borderId="63" pivotButton="0" quotePrefix="0" xfId="0"/>
    <xf numFmtId="0" fontId="36" fillId="20" borderId="10" applyAlignment="1" pivotButton="0" quotePrefix="0" xfId="0">
      <alignment horizontal="center"/>
    </xf>
    <xf numFmtId="0" fontId="36" fillId="21" borderId="67" applyAlignment="1" pivotButton="0" quotePrefix="0" xfId="0">
      <alignment horizontal="center"/>
    </xf>
    <xf numFmtId="0" fontId="36" fillId="21" borderId="51" applyAlignment="1" pivotButton="0" quotePrefix="0" xfId="0">
      <alignment horizontal="center"/>
    </xf>
    <xf numFmtId="0" fontId="36" fillId="21" borderId="68" applyAlignment="1" pivotButton="0" quotePrefix="0" xfId="0">
      <alignment horizontal="center"/>
    </xf>
    <xf numFmtId="0" fontId="36" fillId="19" borderId="52" applyAlignment="1" pivotButton="0" quotePrefix="0" xfId="0">
      <alignment horizontal="center" vertical="center"/>
    </xf>
    <xf numFmtId="0" fontId="36" fillId="21" borderId="42" applyAlignment="1" pivotButton="0" quotePrefix="0" xfId="0">
      <alignment horizontal="center"/>
    </xf>
    <xf numFmtId="0" fontId="36" fillId="21" borderId="0" applyAlignment="1" pivotButton="0" quotePrefix="0" xfId="0">
      <alignment horizontal="center"/>
    </xf>
    <xf numFmtId="0" fontId="36" fillId="21" borderId="0" applyAlignment="1" pivotButton="0" quotePrefix="0" xfId="0">
      <alignment horizontal="center" vertical="center"/>
    </xf>
    <xf numFmtId="0" fontId="36" fillId="21" borderId="43" applyAlignment="1" pivotButton="0" quotePrefix="0" xfId="0">
      <alignment horizontal="center"/>
    </xf>
    <xf numFmtId="2" fontId="15" fillId="0" borderId="67" pivotButton="0" quotePrefix="0" xfId="0"/>
    <xf numFmtId="2" fontId="15" fillId="0" borderId="51" pivotButton="0" quotePrefix="0" xfId="0"/>
    <xf numFmtId="0" fontId="15" fillId="0" borderId="68" pivotButton="0" quotePrefix="0" xfId="0"/>
    <xf numFmtId="2" fontId="15" fillId="0" borderId="42" pivotButton="0" quotePrefix="0" xfId="0"/>
    <xf numFmtId="0" fontId="0" fillId="0" borderId="36" pivotButton="0" quotePrefix="0" xfId="0"/>
    <xf numFmtId="0" fontId="0" fillId="0" borderId="58" pivotButton="0" quotePrefix="0" xfId="0"/>
    <xf numFmtId="2" fontId="15" fillId="0" borderId="44" pivotButton="0" quotePrefix="0" xfId="0"/>
    <xf numFmtId="2" fontId="15" fillId="0" borderId="45" pivotButton="0" quotePrefix="0" xfId="0"/>
    <xf numFmtId="0" fontId="15" fillId="0" borderId="46" pivotButton="0" quotePrefix="0" xfId="0"/>
    <xf numFmtId="164" fontId="0" fillId="0" borderId="25" applyAlignment="1" pivotButton="0" quotePrefix="0" xfId="3">
      <alignment horizontal="center" vertical="center"/>
    </xf>
    <xf numFmtId="0" fontId="36" fillId="19" borderId="47" applyAlignment="1" pivotButton="0" quotePrefix="0" xfId="0">
      <alignment horizontal="center"/>
    </xf>
    <xf numFmtId="0" fontId="36" fillId="19" borderId="1" applyAlignment="1" pivotButton="0" quotePrefix="0" xfId="0">
      <alignment horizontal="center"/>
    </xf>
    <xf numFmtId="0" fontId="15" fillId="0" borderId="56" pivotButton="0" quotePrefix="0" xfId="0"/>
    <xf numFmtId="0" fontId="15" fillId="0" borderId="0" applyAlignment="1" pivotButton="0" quotePrefix="0" xfId="0">
      <alignment horizontal="center" vertical="center"/>
    </xf>
    <xf numFmtId="0" fontId="15" fillId="19" borderId="1" applyAlignment="1" pivotButton="0" quotePrefix="0" xfId="1">
      <alignment horizontal="center"/>
    </xf>
    <xf numFmtId="0" fontId="15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15" fillId="19" borderId="47" applyAlignment="1" pivotButton="0" quotePrefix="0" xfId="1">
      <alignment horizontal="center" vertical="center"/>
    </xf>
    <xf numFmtId="164" fontId="0" fillId="0" borderId="8" applyAlignment="1" pivotButton="0" quotePrefix="0" xfId="3">
      <alignment horizontal="center" vertical="center"/>
    </xf>
    <xf numFmtId="1" fontId="15" fillId="0" borderId="47" pivotButton="0" quotePrefix="0" xfId="0"/>
    <xf numFmtId="1" fontId="15" fillId="0" borderId="55" pivotButton="0" quotePrefix="0" xfId="0"/>
    <xf numFmtId="2" fontId="15" fillId="0" borderId="55" pivotButton="0" quotePrefix="0" xfId="0"/>
    <xf numFmtId="2" fontId="15" fillId="0" borderId="49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20" borderId="1" applyAlignment="1" pivotButton="0" quotePrefix="0" xfId="1">
      <alignment horizontal="center" vertical="center"/>
    </xf>
    <xf numFmtId="0" fontId="36" fillId="21" borderId="1" applyAlignment="1" pivotButton="0" quotePrefix="0" xfId="0">
      <alignment horizontal="center"/>
    </xf>
    <xf numFmtId="0" fontId="15" fillId="22" borderId="1" applyAlignment="1" pivotButton="0" quotePrefix="0" xfId="1">
      <alignment horizontal="center" vertical="center"/>
    </xf>
    <xf numFmtId="166" fontId="15" fillId="11" borderId="50" pivotButton="0" quotePrefix="0" xfId="0"/>
    <xf numFmtId="166" fontId="15" fillId="11" borderId="51" pivotButton="0" quotePrefix="0" xfId="0"/>
    <xf numFmtId="166" fontId="15" fillId="0" borderId="50" pivotButton="0" quotePrefix="0" xfId="0"/>
    <xf numFmtId="166" fontId="15" fillId="0" borderId="51" pivotButton="0" quotePrefix="0" xfId="0"/>
    <xf numFmtId="166" fontId="15" fillId="0" borderId="52" pivotButton="0" quotePrefix="0" xfId="0"/>
    <xf numFmtId="165" fontId="15" fillId="0" borderId="56" applyAlignment="1" pivotButton="0" quotePrefix="0" xfId="0">
      <alignment horizontal="right"/>
    </xf>
    <xf numFmtId="2" fontId="15" fillId="0" borderId="56" applyAlignment="1" pivotButton="0" quotePrefix="0" xfId="0">
      <alignment horizontal="center"/>
    </xf>
    <xf numFmtId="2" fontId="15" fillId="0" borderId="57" applyAlignment="1" pivotButton="0" quotePrefix="0" xfId="0">
      <alignment horizontal="center"/>
    </xf>
    <xf numFmtId="166" fontId="15" fillId="11" borderId="53" pivotButton="0" quotePrefix="0" xfId="0"/>
    <xf numFmtId="166" fontId="15" fillId="11" borderId="0" pivotButton="0" quotePrefix="0" xfId="0"/>
    <xf numFmtId="166" fontId="15" fillId="0" borderId="53" pivotButton="0" quotePrefix="0" xfId="0"/>
    <xf numFmtId="166" fontId="15" fillId="0" borderId="0" pivotButton="0" quotePrefix="0" xfId="0"/>
    <xf numFmtId="166" fontId="15" fillId="0" borderId="54" pivotButton="0" quotePrefix="0" xfId="0"/>
    <xf numFmtId="165" fontId="15" fillId="0" borderId="57" applyAlignment="1" pivotButton="0" quotePrefix="0" xfId="0">
      <alignment horizontal="right"/>
    </xf>
    <xf numFmtId="2" fontId="15" fillId="0" borderId="25" applyAlignment="1" pivotButton="0" quotePrefix="0" xfId="0">
      <alignment horizontal="center"/>
    </xf>
    <xf numFmtId="0" fontId="0" fillId="2" borderId="18" applyAlignment="1" pivotButton="0" quotePrefix="0" xfId="3">
      <alignment horizontal="center"/>
    </xf>
    <xf numFmtId="165" fontId="15" fillId="0" borderId="25" applyAlignment="1" pivotButton="0" quotePrefix="0" xfId="0">
      <alignment horizontal="right"/>
    </xf>
    <xf numFmtId="166" fontId="15" fillId="0" borderId="47" pivotButton="0" quotePrefix="0" xfId="0"/>
    <xf numFmtId="166" fontId="15" fillId="0" borderId="55" pivotButton="0" quotePrefix="0" xfId="0"/>
    <xf numFmtId="166" fontId="15" fillId="0" borderId="49" pivotButton="0" quotePrefix="0" xfId="0"/>
    <xf numFmtId="0" fontId="36" fillId="19" borderId="56" applyAlignment="1" pivotButton="0" quotePrefix="0" xfId="0">
      <alignment horizontal="center"/>
    </xf>
    <xf numFmtId="2" fontId="15" fillId="11" borderId="50" pivotButton="0" quotePrefix="0" xfId="0"/>
    <xf numFmtId="2" fontId="15" fillId="11" borderId="51" pivotButton="0" quotePrefix="0" xfId="0"/>
    <xf numFmtId="2" fontId="15" fillId="11" borderId="52" pivotButton="0" quotePrefix="0" xfId="0"/>
    <xf numFmtId="2" fontId="15" fillId="0" borderId="56" pivotButton="0" quotePrefix="0" xfId="0"/>
    <xf numFmtId="2" fontId="15" fillId="0" borderId="50" pivotButton="0" quotePrefix="0" xfId="0"/>
    <xf numFmtId="2" fontId="15" fillId="11" borderId="53" pivotButton="0" quotePrefix="0" xfId="0"/>
    <xf numFmtId="2" fontId="15" fillId="11" borderId="0" pivotButton="0" quotePrefix="0" xfId="0"/>
    <xf numFmtId="2" fontId="15" fillId="11" borderId="54" pivotButton="0" quotePrefix="0" xfId="0"/>
    <xf numFmtId="2" fontId="15" fillId="0" borderId="57" pivotButton="0" quotePrefix="0" xfId="0"/>
    <xf numFmtId="2" fontId="15" fillId="0" borderId="53" pivotButton="0" quotePrefix="0" xfId="0"/>
    <xf numFmtId="0" fontId="0" fillId="3" borderId="18" applyAlignment="1" pivotButton="0" quotePrefix="0" xfId="3">
      <alignment horizontal="center" vertical="center"/>
    </xf>
    <xf numFmtId="0" fontId="0" fillId="3" borderId="18" applyAlignment="1" pivotButton="0" quotePrefix="0" xfId="2">
      <alignment horizontal="center" vertical="center"/>
    </xf>
    <xf numFmtId="2" fontId="15" fillId="11" borderId="47" pivotButton="0" quotePrefix="0" xfId="0"/>
    <xf numFmtId="2" fontId="15" fillId="11" borderId="55" pivotButton="0" quotePrefix="0" xfId="0"/>
    <xf numFmtId="2" fontId="15" fillId="11" borderId="49" pivotButton="0" quotePrefix="0" xfId="0"/>
    <xf numFmtId="2" fontId="15" fillId="0" borderId="25" pivotButton="0" quotePrefix="0" xfId="0"/>
    <xf numFmtId="2" fontId="15" fillId="0" borderId="47" pivotButton="0" quotePrefix="0" xfId="0"/>
    <xf numFmtId="0" fontId="37" fillId="7" borderId="71" applyAlignment="1" pivotButton="0" quotePrefix="0" xfId="1">
      <alignment horizontal="center" vertical="center"/>
    </xf>
    <xf numFmtId="0" fontId="15" fillId="0" borderId="72" pivotButton="0" quotePrefix="0" xfId="0"/>
    <xf numFmtId="0" fontId="15" fillId="0" borderId="73" pivotButton="0" quotePrefix="0" xfId="0"/>
    <xf numFmtId="0" fontId="38" fillId="23" borderId="71" applyAlignment="1" pivotButton="0" quotePrefix="0" xfId="0">
      <alignment horizontal="center" vertical="center"/>
    </xf>
    <xf numFmtId="167" fontId="38" fillId="23" borderId="71" applyAlignment="1" pivotButton="0" quotePrefix="0" xfId="0">
      <alignment horizontal="center" vertical="center"/>
    </xf>
    <xf numFmtId="0" fontId="39" fillId="24" borderId="71" applyAlignment="1" pivotButton="0" quotePrefix="0" xfId="0">
      <alignment horizontal="center" vertical="center"/>
    </xf>
    <xf numFmtId="167" fontId="39" fillId="24" borderId="71" applyAlignment="1" pivotButton="0" quotePrefix="0" xfId="0">
      <alignment horizontal="center" vertical="center"/>
    </xf>
    <xf numFmtId="167" fontId="15" fillId="0" borderId="71" applyAlignment="1" pivotButton="0" quotePrefix="0" xfId="0">
      <alignment horizontal="center" vertical="center"/>
    </xf>
    <xf numFmtId="167" fontId="15" fillId="25" borderId="71" applyAlignment="1" pivotButton="0" quotePrefix="0" xfId="0">
      <alignment horizontal="center" vertical="center"/>
    </xf>
    <xf numFmtId="167" fontId="15" fillId="0" borderId="0" pivotButton="0" quotePrefix="0" xfId="0"/>
    <xf numFmtId="0" fontId="40" fillId="9" borderId="71" applyAlignment="1" pivotButton="0" quotePrefix="0" xfId="0">
      <alignment horizontal="center" vertical="center"/>
    </xf>
    <xf numFmtId="0" fontId="15" fillId="0" borderId="53" applyAlignment="1" pivotButton="0" quotePrefix="0" xfId="0">
      <alignment horizontal="center"/>
    </xf>
    <xf numFmtId="165" fontId="15" fillId="0" borderId="1" pivotButton="0" quotePrefix="0" xfId="0"/>
    <xf numFmtId="166" fontId="15" fillId="0" borderId="1" pivotButton="0" quotePrefix="0" xfId="0"/>
    <xf numFmtId="0" fontId="15" fillId="0" borderId="50" applyAlignment="1" pivotButton="0" quotePrefix="0" xfId="0">
      <alignment horizontal="center"/>
    </xf>
    <xf numFmtId="0" fontId="15" fillId="0" borderId="47" applyAlignment="1" pivotButton="0" quotePrefix="0" xfId="0">
      <alignment horizontal="center"/>
    </xf>
    <xf numFmtId="0" fontId="36" fillId="19" borderId="67" applyAlignment="1" pivotButton="0" quotePrefix="0" xfId="0">
      <alignment horizontal="center"/>
    </xf>
    <xf numFmtId="0" fontId="36" fillId="19" borderId="51" applyAlignment="1" pivotButton="0" quotePrefix="0" xfId="0">
      <alignment horizontal="center"/>
    </xf>
    <xf numFmtId="0" fontId="36" fillId="19" borderId="68" applyAlignment="1" pivotButton="0" quotePrefix="0" xfId="0">
      <alignment horizontal="center"/>
    </xf>
    <xf numFmtId="0" fontId="36" fillId="19" borderId="42" applyAlignment="1" pivotButton="0" quotePrefix="0" xfId="0">
      <alignment horizontal="center"/>
    </xf>
    <xf numFmtId="0" fontId="36" fillId="19" borderId="0" applyAlignment="1" pivotButton="0" quotePrefix="0" xfId="0">
      <alignment horizontal="center"/>
    </xf>
    <xf numFmtId="0" fontId="36" fillId="19" borderId="43" applyAlignment="1" pivotButton="0" quotePrefix="0" xfId="0">
      <alignment horizontal="center"/>
    </xf>
    <xf numFmtId="2" fontId="15" fillId="0" borderId="68" pivotButton="0" quotePrefix="0" xfId="0"/>
    <xf numFmtId="2" fontId="15" fillId="0" borderId="43" pivotButton="0" quotePrefix="0" xfId="0"/>
    <xf numFmtId="2" fontId="15" fillId="0" borderId="46" pivotButton="0" quotePrefix="0" xfId="0"/>
    <xf numFmtId="0" fontId="15" fillId="21" borderId="1" applyAlignment="1" pivotButton="0" quotePrefix="0" xfId="1">
      <alignment horizontal="center" vertical="center"/>
    </xf>
    <xf numFmtId="0" fontId="38" fillId="23" borderId="47" applyAlignment="1" pivotButton="0" quotePrefix="0" xfId="0">
      <alignment horizontal="center" vertical="center" wrapText="1"/>
    </xf>
    <xf numFmtId="165" fontId="15" fillId="11" borderId="50" pivotButton="0" quotePrefix="0" xfId="0"/>
    <xf numFmtId="165" fontId="15" fillId="11" borderId="51" pivotButton="0" quotePrefix="0" xfId="0"/>
    <xf numFmtId="165" fontId="15" fillId="0" borderId="50" pivotButton="0" quotePrefix="0" xfId="0"/>
    <xf numFmtId="165" fontId="15" fillId="0" borderId="51" pivotButton="0" quotePrefix="0" xfId="0"/>
    <xf numFmtId="165" fontId="15" fillId="11" borderId="53" pivotButton="0" quotePrefix="0" xfId="0"/>
    <xf numFmtId="165" fontId="15" fillId="11" borderId="0" pivotButton="0" quotePrefix="0" xfId="0"/>
    <xf numFmtId="165" fontId="15" fillId="0" borderId="53" pivotButton="0" quotePrefix="0" xfId="0"/>
    <xf numFmtId="0" fontId="41" fillId="0" borderId="0" applyAlignment="1" pivotButton="0" quotePrefix="0" xfId="0">
      <alignment horizontal="left"/>
    </xf>
    <xf numFmtId="165" fontId="15" fillId="0" borderId="47" pivotButton="0" quotePrefix="0" xfId="0"/>
    <xf numFmtId="165" fontId="15" fillId="0" borderId="55" pivotButton="0" quotePrefix="0" xfId="0"/>
    <xf numFmtId="0" fontId="42" fillId="23" borderId="0" applyAlignment="1" pivotButton="0" quotePrefix="0" xfId="0">
      <alignment horizontal="center" vertical="center" wrapText="1"/>
    </xf>
    <xf numFmtId="2" fontId="15" fillId="0" borderId="52" pivotButton="0" quotePrefix="0" xfId="0"/>
    <xf numFmtId="166" fontId="0" fillId="0" borderId="10" applyAlignment="1" pivotButton="0" quotePrefix="0" xfId="3">
      <alignment horizontal="center" vertical="center"/>
    </xf>
    <xf numFmtId="2" fontId="15" fillId="0" borderId="54" pivotButton="0" quotePrefix="0" xfId="0"/>
    <xf numFmtId="166" fontId="0" fillId="0" borderId="11" applyAlignment="1" pivotButton="0" quotePrefix="0" xfId="3">
      <alignment horizontal="center" vertical="center"/>
    </xf>
    <xf numFmtId="165" fontId="34" fillId="0" borderId="1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15" fillId="19" borderId="50" applyAlignment="1" pivotButton="0" quotePrefix="0" xfId="1">
      <alignment horizontal="center" vertical="center"/>
    </xf>
    <xf numFmtId="165" fontId="15" fillId="0" borderId="50" applyAlignment="1" pivotButton="0" quotePrefix="0" xfId="0">
      <alignment horizontal="center" vertical="center"/>
    </xf>
    <xf numFmtId="0" fontId="0" fillId="0" borderId="32" pivotButton="0" quotePrefix="0" xfId="0"/>
    <xf numFmtId="165" fontId="15" fillId="0" borderId="47" applyAlignment="1" pivotButton="0" quotePrefix="0" xfId="0">
      <alignment horizontal="center" vertical="center"/>
    </xf>
    <xf numFmtId="165" fontId="15" fillId="0" borderId="53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0" fillId="0" borderId="64" pivotButton="0" quotePrefix="0" xfId="0"/>
    <xf numFmtId="0" fontId="43" fillId="19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2" fontId="15" fillId="0" borderId="0" applyAlignment="1" pivotButton="0" quotePrefix="0" xfId="0">
      <alignment horizontal="center" vertical="center"/>
    </xf>
    <xf numFmtId="0" fontId="43" fillId="20" borderId="1" applyAlignment="1" pivotButton="0" quotePrefix="0" xfId="0">
      <alignment horizontal="center" vertical="center" wrapText="1"/>
    </xf>
    <xf numFmtId="169" fontId="15" fillId="0" borderId="1" applyAlignment="1" pivotButton="0" quotePrefix="0" xfId="0">
      <alignment horizontal="center" vertical="center"/>
    </xf>
    <xf numFmtId="1" fontId="38" fillId="23" borderId="1" applyAlignment="1" pivotButton="0" quotePrefix="0" xfId="0">
      <alignment horizontal="center" vertical="center" wrapText="1"/>
    </xf>
    <xf numFmtId="0" fontId="15" fillId="19" borderId="56" applyAlignment="1" pivotButton="0" quotePrefix="0" xfId="0">
      <alignment horizontal="center"/>
    </xf>
    <xf numFmtId="0" fontId="15" fillId="0" borderId="51" applyAlignment="1" pivotButton="0" quotePrefix="0" xfId="0">
      <alignment horizontal="center"/>
    </xf>
    <xf numFmtId="165" fontId="15" fillId="0" borderId="56" applyAlignment="1" pivotButton="0" quotePrefix="0" xfId="0">
      <alignment horizontal="center"/>
    </xf>
    <xf numFmtId="165" fontId="15" fillId="0" borderId="57" applyAlignment="1" pivotButton="0" quotePrefix="0" xfId="0">
      <alignment horizontal="center"/>
    </xf>
    <xf numFmtId="2" fontId="35" fillId="19" borderId="65" applyAlignment="1" pivotButton="0" quotePrefix="0" xfId="1">
      <alignment horizontal="center" vertical="center"/>
    </xf>
    <xf numFmtId="0" fontId="15" fillId="0" borderId="55" applyAlignment="1" pivotButton="0" quotePrefix="0" xfId="0">
      <alignment horizontal="center"/>
    </xf>
    <xf numFmtId="165" fontId="15" fillId="0" borderId="25" applyAlignment="1" pivotButton="0" quotePrefix="0" xfId="0">
      <alignment horizontal="center"/>
    </xf>
    <xf numFmtId="0" fontId="15" fillId="19" borderId="53" applyAlignment="1" pivotButton="0" quotePrefix="0" xfId="0">
      <alignment horizontal="center"/>
    </xf>
    <xf numFmtId="165" fontId="15" fillId="19" borderId="57" applyAlignment="1" pivotButton="0" quotePrefix="0" xfId="1">
      <alignment horizontal="center" vertical="center"/>
    </xf>
    <xf numFmtId="165" fontId="15" fillId="26" borderId="57" applyAlignment="1" pivotButton="0" quotePrefix="0" xfId="0">
      <alignment horizontal="center"/>
    </xf>
    <xf numFmtId="165" fontId="15" fillId="26" borderId="57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4" pivotButton="0" quotePrefix="0" xfId="0"/>
    <xf numFmtId="0" fontId="36" fillId="19" borderId="25" applyAlignment="1" pivotButton="0" quotePrefix="0" xfId="0">
      <alignment horizontal="center"/>
    </xf>
    <xf numFmtId="167" fontId="15" fillId="27" borderId="71" applyAlignment="1" pivotButton="0" quotePrefix="0" xfId="0">
      <alignment horizontal="center" vertical="center"/>
    </xf>
    <xf numFmtId="0" fontId="15" fillId="26" borderId="53" applyAlignment="1" pivotButton="0" quotePrefix="0" xfId="0">
      <alignment horizontal="center"/>
    </xf>
    <xf numFmtId="166" fontId="15" fillId="26" borderId="57" applyAlignment="1" pivotButton="0" quotePrefix="0" xfId="0">
      <alignment horizontal="center" vertical="center"/>
    </xf>
    <xf numFmtId="0" fontId="36" fillId="28" borderId="10" applyAlignment="1" pivotButton="0" quotePrefix="0" xfId="0">
      <alignment horizontal="center"/>
    </xf>
    <xf numFmtId="0" fontId="36" fillId="28" borderId="48" applyAlignment="1" pivotButton="0" quotePrefix="0" xfId="0">
      <alignment horizontal="center" vertical="center"/>
    </xf>
    <xf numFmtId="0" fontId="36" fillId="28" borderId="1" applyAlignment="1" pivotButton="0" quotePrefix="0" xfId="0">
      <alignment horizontal="center" vertical="center"/>
    </xf>
    <xf numFmtId="0" fontId="36" fillId="28" borderId="52" applyAlignment="1" pivotButton="0" quotePrefix="0" xfId="0">
      <alignment horizontal="center" vertical="center"/>
    </xf>
    <xf numFmtId="0" fontId="36" fillId="28" borderId="47" applyAlignment="1" pivotButton="0" quotePrefix="0" xfId="0">
      <alignment horizontal="center"/>
    </xf>
    <xf numFmtId="0" fontId="36" fillId="28" borderId="1" applyAlignment="1" pivotButton="0" quotePrefix="0" xfId="0">
      <alignment horizontal="center"/>
    </xf>
    <xf numFmtId="0" fontId="36" fillId="28" borderId="1" applyAlignment="1" pivotButton="0" quotePrefix="0" xfId="1">
      <alignment horizontal="center"/>
    </xf>
    <xf numFmtId="0" fontId="15" fillId="0" borderId="0" applyAlignment="1" pivotButton="0" quotePrefix="0" xfId="1">
      <alignment vertical="center"/>
    </xf>
    <xf numFmtId="0" fontId="36" fillId="28" borderId="1" applyAlignment="1" pivotButton="0" quotePrefix="0" xfId="1">
      <alignment horizontal="center" vertical="center"/>
    </xf>
    <xf numFmtId="0" fontId="15" fillId="28" borderId="1" applyAlignment="1" pivotButton="0" quotePrefix="0" xfId="0">
      <alignment horizontal="center"/>
    </xf>
    <xf numFmtId="0" fontId="36" fillId="28" borderId="56" applyAlignment="1" pivotButton="0" quotePrefix="0" xfId="0">
      <alignment horizontal="center"/>
    </xf>
    <xf numFmtId="0" fontId="48" fillId="23" borderId="65" applyAlignment="1" pivotButton="0" quotePrefix="0" xfId="0">
      <alignment horizontal="center" vertical="center" wrapText="1"/>
    </xf>
    <xf numFmtId="0" fontId="0" fillId="0" borderId="37" pivotButton="0" quotePrefix="0" xfId="0"/>
    <xf numFmtId="0" fontId="48" fillId="23" borderId="1" applyAlignment="1" pivotButton="0" quotePrefix="0" xfId="0">
      <alignment horizontal="center" vertical="center" wrapText="1"/>
    </xf>
    <xf numFmtId="0" fontId="0" fillId="0" borderId="48" pivotButton="0" quotePrefix="0" xfId="0"/>
    <xf numFmtId="0" fontId="38" fillId="23" borderId="50" applyAlignment="1" pivotButton="0" quotePrefix="0" xfId="0">
      <alignment horizontal="center" vertical="center" wrapText="1"/>
    </xf>
    <xf numFmtId="0" fontId="38" fillId="23" borderId="65" applyAlignment="1" pivotButton="0" quotePrefix="0" xfId="0">
      <alignment horizontal="center" vertical="center" wrapText="1"/>
    </xf>
    <xf numFmtId="0" fontId="38" fillId="23" borderId="37" applyAlignment="1" pivotButton="0" quotePrefix="0" xfId="0">
      <alignment horizontal="center" vertical="center" wrapText="1"/>
    </xf>
    <xf numFmtId="0" fontId="38" fillId="23" borderId="49" applyAlignment="1" pivotButton="0" quotePrefix="0" xfId="0">
      <alignment horizontal="center" vertical="center" wrapText="1"/>
    </xf>
    <xf numFmtId="1" fontId="15" fillId="21" borderId="71" applyAlignment="1" pivotButton="0" quotePrefix="0" xfId="0">
      <alignment horizontal="center" vertical="center"/>
    </xf>
    <xf numFmtId="2" fontId="15" fillId="0" borderId="71" applyAlignment="1" pivotButton="0" quotePrefix="0" xfId="0">
      <alignment horizontal="center" vertical="center"/>
    </xf>
    <xf numFmtId="0" fontId="13" fillId="10" borderId="56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 wrapText="1"/>
    </xf>
    <xf numFmtId="2" fontId="13" fillId="10" borderId="1" applyAlignment="1" pivotButton="0" quotePrefix="0" xfId="0">
      <alignment horizontal="center" vertical="center" wrapText="1"/>
    </xf>
    <xf numFmtId="0" fontId="13" fillId="10" borderId="57" applyAlignment="1" pivotButton="0" quotePrefix="0" xfId="0">
      <alignment horizontal="center" vertical="center" wrapText="1"/>
    </xf>
    <xf numFmtId="168" fontId="13" fillId="10" borderId="1" applyAlignment="1" pivotButton="0" quotePrefix="0" xfId="0">
      <alignment horizontal="center" vertical="center" wrapText="1"/>
    </xf>
    <xf numFmtId="0" fontId="13" fillId="10" borderId="25" applyAlignment="1" pivotButton="0" quotePrefix="0" xfId="0">
      <alignment horizontal="center" vertical="center" wrapText="1"/>
    </xf>
    <xf numFmtId="0" fontId="37" fillId="7" borderId="71" applyAlignment="1" pivotButton="0" quotePrefix="0" xfId="0">
      <alignment horizontal="center" vertical="center" wrapText="1"/>
    </xf>
    <xf numFmtId="0" fontId="15" fillId="21" borderId="71" applyAlignment="1" pivotButton="0" quotePrefix="0" xfId="0">
      <alignment horizontal="center" vertical="center"/>
    </xf>
    <xf numFmtId="0" fontId="50" fillId="29" borderId="71" applyAlignment="1" pivotButton="0" quotePrefix="0" xfId="0">
      <alignment horizontal="center" vertical="center"/>
    </xf>
    <xf numFmtId="0" fontId="15" fillId="21" borderId="71" applyAlignment="1" pivotButton="0" quotePrefix="0" xfId="1">
      <alignment horizontal="center" vertical="center"/>
    </xf>
    <xf numFmtId="0" fontId="51" fillId="30" borderId="71" applyAlignment="1" pivotButton="0" quotePrefix="0" xfId="0">
      <alignment horizontal="center" vertical="center"/>
    </xf>
    <xf numFmtId="0" fontId="38" fillId="23" borderId="2" applyAlignment="1" pivotButton="0" quotePrefix="0" xfId="0">
      <alignment horizontal="center" vertical="center" wrapText="1"/>
    </xf>
    <xf numFmtId="0" fontId="38" fillId="23" borderId="4" applyAlignment="1" pivotButton="0" quotePrefix="0" xfId="0">
      <alignment horizontal="center" vertical="center" wrapText="1"/>
    </xf>
    <xf numFmtId="0" fontId="0" fillId="0" borderId="66" pivotButton="0" quotePrefix="0" xfId="0"/>
    <xf numFmtId="0" fontId="15" fillId="21" borderId="83" applyAlignment="1" pivotButton="0" quotePrefix="0" xfId="1">
      <alignment horizontal="center" vertical="center"/>
    </xf>
    <xf numFmtId="0" fontId="15" fillId="21" borderId="56" applyAlignment="1" pivotButton="0" quotePrefix="0" xfId="1">
      <alignment horizontal="center" vertical="center"/>
    </xf>
    <xf numFmtId="0" fontId="15" fillId="21" borderId="84" applyAlignment="1" pivotButton="0" quotePrefix="0" xfId="1">
      <alignment horizontal="center" vertical="center"/>
    </xf>
    <xf numFmtId="0" fontId="15" fillId="20" borderId="10" applyAlignment="1" pivotButton="0" quotePrefix="0" xfId="1">
      <alignment horizontal="center" vertical="center"/>
    </xf>
    <xf numFmtId="167" fontId="15" fillId="0" borderId="2" applyAlignment="1" pivotButton="0" quotePrefix="0" xfId="0">
      <alignment horizontal="center" vertical="center"/>
    </xf>
    <xf numFmtId="167" fontId="15" fillId="0" borderId="3" applyAlignment="1" pivotButton="0" quotePrefix="0" xfId="0">
      <alignment horizontal="center" vertical="center"/>
    </xf>
    <xf numFmtId="167" fontId="15" fillId="0" borderId="4" applyAlignment="1" pivotButton="0" quotePrefix="0" xfId="0">
      <alignment horizontal="center" vertical="center"/>
    </xf>
    <xf numFmtId="167" fontId="15" fillId="0" borderId="7" applyAlignment="1" pivotButton="0" quotePrefix="0" xfId="0">
      <alignment horizontal="center" vertical="center"/>
    </xf>
    <xf numFmtId="167" fontId="15" fillId="0" borderId="8" applyAlignment="1" pivotButton="0" quotePrefix="0" xfId="0">
      <alignment horizontal="center" vertical="center"/>
    </xf>
    <xf numFmtId="167" fontId="15" fillId="0" borderId="9" applyAlignment="1" pivotButton="0" quotePrefix="0" xfId="0">
      <alignment horizontal="center" vertical="center"/>
    </xf>
    <xf numFmtId="0" fontId="15" fillId="20" borderId="32" applyAlignment="1" pivotButton="0" quotePrefix="0" xfId="1">
      <alignment horizontal="center" vertical="center"/>
    </xf>
    <xf numFmtId="167" fontId="15" fillId="0" borderId="24" applyAlignment="1" pivotButton="0" quotePrefix="0" xfId="0">
      <alignment horizontal="center" vertical="center"/>
    </xf>
    <xf numFmtId="167" fontId="15" fillId="0" borderId="25" applyAlignment="1" pivotButton="0" quotePrefix="0" xfId="0">
      <alignment horizontal="center" vertical="center"/>
    </xf>
    <xf numFmtId="167" fontId="15" fillId="0" borderId="26" applyAlignment="1" pivotButton="0" quotePrefix="0" xfId="0">
      <alignment horizontal="center" vertical="center"/>
    </xf>
    <xf numFmtId="0" fontId="30" fillId="14" borderId="29" applyAlignment="1" pivotButton="0" quotePrefix="0" xfId="3">
      <alignment horizontal="center" vertical="center"/>
    </xf>
    <xf numFmtId="0" fontId="30" fillId="17" borderId="23" applyAlignment="1" pivotButton="0" quotePrefix="0" xfId="2">
      <alignment horizontal="center" vertical="center"/>
    </xf>
    <xf numFmtId="0" fontId="0" fillId="0" borderId="46" pivotButton="0" quotePrefix="0" xfId="0"/>
    <xf numFmtId="0" fontId="0" fillId="0" borderId="45" pivotButton="0" quotePrefix="0" xfId="0"/>
  </cellXfs>
  <cellStyles count="4">
    <cellStyle name="Normal" xfId="0" builtinId="0"/>
    <cellStyle name="Normalny 2" xfId="1"/>
    <cellStyle name="Dobry" xfId="2"/>
    <cellStyle name="Normalny" xfId="3"/>
  </cellStyles>
  <dxfs count="3"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14</col>
      <colOff>203200</colOff>
      <row>0</row>
      <rowOff>63500</rowOff>
    </from>
    <to>
      <col>22</col>
      <colOff>444500</colOff>
      <row>43</row>
      <rowOff>139700</rowOff>
    </to>
    <pic>
      <nvPicPr>
        <cNvPr id="2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13" customWidth="1" min="1" max="1"/>
    <col width="11.972656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.390625" customWidth="1" min="8" max="8"/>
    <col width="13" customWidth="1" min="9" max="9"/>
    <col width="11.9726562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1.97265625" customWidth="1" min="16" max="16"/>
    <col width="13" customWidth="1" min="17" max="17"/>
    <col width="13" customWidth="1" min="18" max="18"/>
  </cols>
  <sheetData>
    <row r="1">
      <c r="A1" s="476" t="n"/>
      <c r="B1" s="476" t="n"/>
      <c r="C1" s="476" t="n"/>
      <c r="D1" s="476" t="n"/>
      <c r="E1" s="476" t="n"/>
      <c r="F1" s="476" t="n"/>
      <c r="G1" s="476" t="n"/>
      <c r="H1" s="476" t="n"/>
      <c r="I1" s="476" t="n"/>
      <c r="J1" s="476" t="n"/>
      <c r="K1" s="476" t="n"/>
      <c r="L1" s="476" t="n"/>
      <c r="M1" s="476" t="n"/>
      <c r="N1" s="476" t="n"/>
      <c r="O1" s="476" t="n"/>
      <c r="P1" s="476" t="n"/>
      <c r="Q1" s="476" t="n"/>
      <c r="R1" s="476" t="n"/>
    </row>
    <row r="2">
      <c r="A2" s="476" t="n"/>
      <c r="B2" s="477" t="n"/>
      <c r="C2" s="477" t="n"/>
      <c r="D2" s="477" t="n"/>
      <c r="E2" s="477" t="n"/>
      <c r="F2" s="476" t="n"/>
      <c r="G2" s="476" t="n"/>
      <c r="H2" s="476" t="n"/>
      <c r="I2" s="476" t="n"/>
      <c r="J2" s="477" t="n"/>
      <c r="K2" s="477" t="n"/>
      <c r="L2" s="477" t="n"/>
      <c r="M2" s="477" t="n"/>
      <c r="N2" s="476" t="n"/>
      <c r="O2" s="476" t="n"/>
      <c r="P2" s="477" t="n"/>
      <c r="Q2" s="477" t="n"/>
      <c r="R2" s="477" t="n"/>
    </row>
    <row r="3" ht="15.95" customHeight="1">
      <c r="A3" s="476" t="n"/>
      <c r="B3" s="478" t="n"/>
      <c r="C3" s="478" t="n"/>
      <c r="D3" s="478" t="n"/>
      <c r="E3" s="478" t="n"/>
      <c r="F3" s="476" t="n"/>
      <c r="G3" s="476" t="n"/>
      <c r="H3" s="476" t="n"/>
      <c r="I3" s="476" t="n"/>
      <c r="J3" s="478" t="n"/>
      <c r="K3" s="478" t="n"/>
      <c r="L3" s="478" t="n"/>
      <c r="M3" s="478" t="n"/>
      <c r="N3" s="476" t="n"/>
      <c r="O3" s="476" t="n"/>
      <c r="P3" s="478" t="n"/>
      <c r="Q3" s="478" t="n"/>
      <c r="R3" s="478" t="n"/>
    </row>
    <row r="4" ht="14.45" customHeight="1">
      <c r="A4" s="479" t="inlineStr">
        <is>
          <t>Wyniki pomiaru wyjściowego</t>
        </is>
      </c>
      <c r="B4" s="480" t="n"/>
      <c r="C4" s="480" t="n"/>
      <c r="D4" s="481" t="n"/>
      <c r="E4" s="482" t="n"/>
      <c r="F4" s="483" t="inlineStr">
        <is>
          <t>Wyniki pomiaru aktualnego</t>
        </is>
      </c>
      <c r="G4" s="480" t="n"/>
      <c r="H4" s="481" t="n"/>
      <c r="I4" s="476" t="n"/>
      <c r="J4" s="484" t="inlineStr">
        <is>
          <t>Numer ID</t>
        </is>
      </c>
      <c r="K4" s="485" t="n">
        <v>3</v>
      </c>
      <c r="L4" s="476" t="n"/>
      <c r="M4" s="486" t="n"/>
      <c r="N4" s="476" t="n"/>
      <c r="O4" s="476" t="n"/>
      <c r="P4" s="476" t="n"/>
      <c r="Q4" s="487" t="n"/>
      <c r="R4" s="487" t="n"/>
    </row>
    <row r="5" ht="18" customHeight="1">
      <c r="A5" s="488" t="inlineStr">
        <is>
          <t>c</t>
        </is>
      </c>
      <c r="B5" s="489" t="inlineStr">
        <is>
          <t>l</t>
        </is>
      </c>
      <c r="C5" s="489" t="inlineStr">
        <is>
          <t>p</t>
        </is>
      </c>
      <c r="D5" s="489" t="inlineStr">
        <is>
          <t>Lobs.</t>
        </is>
      </c>
      <c r="E5" s="490" t="inlineStr">
        <is>
          <t>c</t>
        </is>
      </c>
      <c r="F5" s="489" t="inlineStr">
        <is>
          <t>l</t>
        </is>
      </c>
      <c r="G5" s="489" t="inlineStr">
        <is>
          <t>p</t>
        </is>
      </c>
      <c r="H5" s="489" t="inlineStr">
        <is>
          <t>Lobs.</t>
        </is>
      </c>
      <c r="I5" s="476" t="n"/>
      <c r="J5" s="491" t="inlineStr">
        <is>
          <t>σβ</t>
        </is>
      </c>
      <c r="K5" s="492" t="n">
        <v>3</v>
      </c>
      <c r="L5" s="492" t="inlineStr">
        <is>
          <t>cc</t>
        </is>
      </c>
      <c r="M5" s="486" t="n"/>
      <c r="N5" s="476" t="n"/>
      <c r="O5" s="476" t="n"/>
      <c r="P5" s="476" t="n"/>
      <c r="Q5" s="487" t="n"/>
      <c r="R5" s="487" t="n"/>
    </row>
    <row r="6" ht="16.35" customHeight="1">
      <c r="A6" s="493" t="n">
        <v>7</v>
      </c>
      <c r="B6" s="493" t="n">
        <v>1</v>
      </c>
      <c r="C6" s="493" t="n">
        <v>0</v>
      </c>
      <c r="D6" s="494" t="n">
        <v>271.7062</v>
      </c>
      <c r="E6" s="495" t="n">
        <v>7</v>
      </c>
      <c r="F6" s="496" t="n">
        <v>1</v>
      </c>
      <c r="G6" s="493" t="n">
        <v>0</v>
      </c>
      <c r="H6" s="496" t="n">
        <v>271.702</v>
      </c>
      <c r="I6" s="486" t="n"/>
      <c r="J6" s="491" t="inlineStr">
        <is>
          <t>σd</t>
        </is>
      </c>
      <c r="K6" s="492" t="inlineStr">
        <is>
          <t>0,001+10-6d</t>
        </is>
      </c>
      <c r="L6" s="492" t="inlineStr">
        <is>
          <t>[m]</t>
        </is>
      </c>
      <c r="M6" s="486" t="n"/>
      <c r="N6" s="476" t="n"/>
      <c r="O6" s="476" t="n"/>
      <c r="P6" s="476" t="n"/>
      <c r="Q6" s="487" t="n"/>
      <c r="R6" s="487" t="n"/>
    </row>
    <row r="7">
      <c r="A7" s="497" t="n">
        <v>7</v>
      </c>
      <c r="B7" s="497" t="n">
        <v>5</v>
      </c>
      <c r="C7" s="497" t="n">
        <v>0</v>
      </c>
      <c r="D7" s="498" t="n">
        <v>155.7243</v>
      </c>
      <c r="E7" s="499" t="n">
        <v>7</v>
      </c>
      <c r="F7" s="500" t="n">
        <v>5</v>
      </c>
      <c r="G7" s="497" t="n">
        <v>0</v>
      </c>
      <c r="H7" s="500" t="n">
        <v>155.7279</v>
      </c>
      <c r="I7" s="486" t="n"/>
      <c r="J7" s="501" t="n"/>
      <c r="K7" s="501" t="n"/>
      <c r="L7" s="501" t="n"/>
      <c r="M7" s="486" t="n"/>
      <c r="N7" s="476" t="n"/>
      <c r="O7" s="476" t="n"/>
      <c r="P7" s="476" t="n"/>
      <c r="Q7" s="487" t="n"/>
      <c r="R7" s="487" t="n"/>
    </row>
    <row r="8">
      <c r="A8" s="497" t="n">
        <v>7</v>
      </c>
      <c r="B8" s="497" t="n">
        <v>6</v>
      </c>
      <c r="C8" s="497" t="n">
        <v>0</v>
      </c>
      <c r="D8" s="498" t="n">
        <v>178.4659</v>
      </c>
      <c r="E8" s="499" t="n">
        <v>7</v>
      </c>
      <c r="F8" s="500" t="n">
        <v>6</v>
      </c>
      <c r="G8" s="497" t="n">
        <v>0</v>
      </c>
      <c r="H8" s="500" t="n">
        <v>178.4685</v>
      </c>
      <c r="I8" s="486" t="n"/>
      <c r="J8" s="491" t="inlineStr">
        <is>
          <t>ρcc</t>
        </is>
      </c>
      <c r="K8" s="502" t="n">
        <v>636619.7723675814</v>
      </c>
      <c r="L8" s="501" t="n"/>
      <c r="M8" s="486" t="n"/>
      <c r="N8" s="476" t="n"/>
      <c r="O8" s="476" t="n"/>
      <c r="P8" s="476" t="n"/>
      <c r="Q8" s="487" t="n"/>
      <c r="R8" s="487" t="n"/>
    </row>
    <row r="9">
      <c r="A9" s="497" t="n">
        <v>7</v>
      </c>
      <c r="B9" s="497" t="n">
        <v>8</v>
      </c>
      <c r="C9" s="497" t="n">
        <v>0</v>
      </c>
      <c r="D9" s="498" t="n">
        <v>148.0717</v>
      </c>
      <c r="E9" s="499" t="n">
        <v>7</v>
      </c>
      <c r="F9" s="500" t="n">
        <v>8</v>
      </c>
      <c r="G9" s="497" t="n">
        <v>0</v>
      </c>
      <c r="H9" s="500" t="n">
        <v>148.0689</v>
      </c>
      <c r="I9" s="486" t="n"/>
      <c r="J9" s="501" t="n"/>
      <c r="K9" s="501" t="n"/>
      <c r="L9" s="501" t="n"/>
      <c r="M9" s="486" t="n"/>
      <c r="N9" s="476" t="n"/>
      <c r="O9" s="476" t="n"/>
      <c r="P9" s="476" t="n"/>
      <c r="Q9" s="487" t="n"/>
      <c r="R9" s="487" t="n"/>
    </row>
    <row r="10">
      <c r="A10" s="497" t="n">
        <v>7</v>
      </c>
      <c r="B10" s="497" t="n">
        <v>9</v>
      </c>
      <c r="C10" s="497" t="n">
        <v>0</v>
      </c>
      <c r="D10" s="498" t="n">
        <v>174.5226</v>
      </c>
      <c r="E10" s="499" t="n">
        <v>7</v>
      </c>
      <c r="F10" s="500" t="n">
        <v>9</v>
      </c>
      <c r="G10" s="497" t="n">
        <v>0</v>
      </c>
      <c r="H10" s="500" t="n">
        <v>174.522</v>
      </c>
      <c r="I10" s="486" t="n"/>
      <c r="J10" s="491" t="inlineStr">
        <is>
          <t>n (obserwacje)</t>
        </is>
      </c>
      <c r="K10" s="503" t="n">
        <v>32</v>
      </c>
      <c r="L10" s="501" t="n"/>
      <c r="M10" s="486" t="n"/>
      <c r="N10" s="476" t="n"/>
      <c r="O10" s="476" t="n"/>
      <c r="P10" s="476" t="n"/>
      <c r="Q10" s="487" t="n"/>
      <c r="R10" s="487" t="n"/>
    </row>
    <row r="11">
      <c r="A11" s="497" t="n">
        <v>8</v>
      </c>
      <c r="B11" s="497" t="n">
        <v>1</v>
      </c>
      <c r="C11" s="497" t="n">
        <v>0</v>
      </c>
      <c r="D11" s="498" t="n">
        <v>149.9983</v>
      </c>
      <c r="E11" s="499" t="n">
        <v>8</v>
      </c>
      <c r="F11" s="500" t="n">
        <v>1</v>
      </c>
      <c r="G11" s="497" t="n">
        <v>0</v>
      </c>
      <c r="H11" s="500" t="n">
        <v>150.0006</v>
      </c>
      <c r="I11" s="486" t="n"/>
      <c r="J11" s="491" t="inlineStr">
        <is>
          <t>u (niewiadome)</t>
        </is>
      </c>
      <c r="K11" s="492" t="n">
        <v>16</v>
      </c>
      <c r="L11" s="501" t="n"/>
      <c r="M11" s="486" t="n"/>
      <c r="N11" s="476" t="n"/>
      <c r="O11" s="476" t="n"/>
      <c r="P11" s="476" t="n"/>
      <c r="Q11" s="487" t="n"/>
      <c r="R11" s="487" t="n"/>
    </row>
    <row r="12">
      <c r="A12" s="497" t="n">
        <v>8</v>
      </c>
      <c r="B12" s="497" t="n">
        <v>9</v>
      </c>
      <c r="C12" s="497" t="n">
        <v>0</v>
      </c>
      <c r="D12" s="498" t="n">
        <v>166.1118</v>
      </c>
      <c r="E12" s="499" t="n">
        <v>8</v>
      </c>
      <c r="F12" s="500" t="n">
        <v>9</v>
      </c>
      <c r="G12" s="497" t="n">
        <v>0</v>
      </c>
      <c r="H12" s="500" t="n">
        <v>166.1145</v>
      </c>
      <c r="I12" s="486" t="n"/>
      <c r="J12" s="491" t="inlineStr">
        <is>
          <t>d (defekt)</t>
        </is>
      </c>
      <c r="K12" s="492" t="n">
        <v>3</v>
      </c>
      <c r="L12" s="501" t="n"/>
      <c r="M12" s="486" t="n"/>
      <c r="N12" s="476" t="n"/>
      <c r="O12" s="476" t="n"/>
      <c r="P12" s="476" t="n"/>
      <c r="Q12" s="487" t="n"/>
      <c r="R12" s="487" t="n"/>
    </row>
    <row r="13">
      <c r="A13" s="497" t="n">
        <v>8</v>
      </c>
      <c r="B13" s="497" t="n">
        <v>7</v>
      </c>
      <c r="C13" s="497" t="n">
        <v>0</v>
      </c>
      <c r="D13" s="498" t="n">
        <v>148.0732</v>
      </c>
      <c r="E13" s="499" t="n">
        <v>8</v>
      </c>
      <c r="F13" s="500" t="n">
        <v>7</v>
      </c>
      <c r="G13" s="497" t="n">
        <v>0</v>
      </c>
      <c r="H13" s="500" t="n">
        <v>148.0712</v>
      </c>
      <c r="I13" s="486" t="n"/>
      <c r="J13" s="476" t="n"/>
      <c r="K13" s="476" t="n"/>
      <c r="L13" s="476" t="n"/>
      <c r="M13" s="486" t="n"/>
      <c r="N13" s="476" t="n"/>
      <c r="O13" s="476" t="n"/>
      <c r="P13" s="504" t="n"/>
      <c r="Q13" s="504" t="n"/>
      <c r="R13" s="504" t="n"/>
    </row>
    <row r="14">
      <c r="A14" s="497" t="n">
        <v>8</v>
      </c>
      <c r="B14" s="497" t="n">
        <v>6</v>
      </c>
      <c r="C14" s="497" t="n">
        <v>0</v>
      </c>
      <c r="D14" s="498" t="n">
        <v>320.0413</v>
      </c>
      <c r="E14" s="499" t="n">
        <v>8</v>
      </c>
      <c r="F14" s="500" t="n">
        <v>6</v>
      </c>
      <c r="G14" s="497" t="n">
        <v>0</v>
      </c>
      <c r="H14" s="500" t="n">
        <v>320.0445</v>
      </c>
      <c r="I14" s="486" t="n"/>
      <c r="J14" s="476" t="n"/>
      <c r="K14" s="476" t="n"/>
      <c r="L14" s="476" t="n"/>
      <c r="M14" s="486" t="n"/>
      <c r="N14" s="476" t="n"/>
      <c r="O14" s="476" t="n"/>
      <c r="P14" s="504" t="n"/>
      <c r="Q14" s="504" t="n"/>
      <c r="R14" s="504" t="n"/>
    </row>
    <row r="15" ht="15.95" customHeight="1">
      <c r="A15" s="497" t="n">
        <v>1</v>
      </c>
      <c r="B15" s="497" t="n">
        <v>3</v>
      </c>
      <c r="C15" s="497" t="n">
        <v>0</v>
      </c>
      <c r="D15" s="498" t="n">
        <v>266.1756</v>
      </c>
      <c r="E15" s="499" t="n">
        <v>1</v>
      </c>
      <c r="F15" s="500" t="n">
        <v>2</v>
      </c>
      <c r="G15" s="497" t="n">
        <v>0</v>
      </c>
      <c r="H15" s="500" t="n">
        <v>147.1241</v>
      </c>
      <c r="I15" s="486" t="n"/>
      <c r="J15" s="476" t="n"/>
      <c r="K15" s="476" t="n"/>
      <c r="L15" s="476" t="n"/>
      <c r="M15" s="486" t="n"/>
      <c r="N15" s="476" t="n"/>
      <c r="O15" s="476" t="n"/>
      <c r="P15" s="504" t="n"/>
      <c r="Q15" s="504" t="n"/>
      <c r="R15" s="504" t="n"/>
    </row>
    <row r="16" ht="15.95" customHeight="1">
      <c r="A16" s="497" t="n">
        <v>1</v>
      </c>
      <c r="B16" s="497" t="n">
        <v>9</v>
      </c>
      <c r="C16" s="497" t="n">
        <v>0</v>
      </c>
      <c r="D16" s="498" t="n">
        <v>168.6215</v>
      </c>
      <c r="E16" s="499" t="n">
        <v>1</v>
      </c>
      <c r="F16" s="500" t="n">
        <v>9</v>
      </c>
      <c r="G16" s="497" t="n">
        <v>0</v>
      </c>
      <c r="H16" s="500" t="n">
        <v>168.6108</v>
      </c>
      <c r="I16" s="486" t="n"/>
      <c r="J16" s="505" t="inlineStr">
        <is>
          <t>Współrzędne przybliżone</t>
        </is>
      </c>
      <c r="K16" s="506" t="n"/>
      <c r="L16" s="507" t="n"/>
      <c r="M16" s="486" t="n"/>
      <c r="N16" s="476" t="n"/>
      <c r="O16" s="476" t="n"/>
      <c r="P16" s="504" t="n"/>
      <c r="Q16" s="504" t="n"/>
      <c r="R16" s="504" t="n"/>
    </row>
    <row r="17" ht="18" customHeight="1">
      <c r="A17" s="497" t="n">
        <v>1</v>
      </c>
      <c r="B17" s="497" t="n">
        <v>7</v>
      </c>
      <c r="C17" s="497" t="n">
        <v>0</v>
      </c>
      <c r="D17" s="498" t="n">
        <v>271.7081</v>
      </c>
      <c r="E17" s="499" t="n">
        <v>1</v>
      </c>
      <c r="F17" s="500" t="n">
        <v>7</v>
      </c>
      <c r="G17" s="497" t="n">
        <v>0</v>
      </c>
      <c r="H17" s="500" t="n">
        <v>271.7008</v>
      </c>
      <c r="I17" s="486" t="n"/>
      <c r="J17" s="508" t="inlineStr">
        <is>
          <t>Nr</t>
        </is>
      </c>
      <c r="K17" s="509" t="inlineStr">
        <is>
          <t>X0</t>
        </is>
      </c>
      <c r="L17" s="510" t="inlineStr">
        <is>
          <t>Y0</t>
        </is>
      </c>
      <c r="M17" s="486" t="n"/>
      <c r="N17" s="476" t="n"/>
      <c r="O17" s="476" t="n"/>
      <c r="P17" s="504" t="n"/>
      <c r="Q17" s="504" t="n"/>
      <c r="R17" s="504" t="n"/>
    </row>
    <row r="18">
      <c r="A18" s="497" t="n">
        <v>3</v>
      </c>
      <c r="B18" s="497" t="n">
        <v>5</v>
      </c>
      <c r="C18" s="497" t="n">
        <v>0</v>
      </c>
      <c r="D18" s="498" t="n">
        <v>304.0138</v>
      </c>
      <c r="E18" s="499" t="n">
        <v>2</v>
      </c>
      <c r="F18" s="500" t="n">
        <v>8</v>
      </c>
      <c r="G18" s="497" t="n">
        <v>0</v>
      </c>
      <c r="H18" s="500" t="n">
        <v>253.4723</v>
      </c>
      <c r="I18" s="486" t="n"/>
      <c r="J18" s="511" t="n">
        <v>1</v>
      </c>
      <c r="K18" s="512" t="n">
        <v>240</v>
      </c>
      <c r="L18" s="513" t="n">
        <v>120</v>
      </c>
      <c r="M18" s="486" t="n"/>
      <c r="N18" s="476" t="n"/>
      <c r="O18" s="476" t="n"/>
      <c r="P18" s="476" t="n"/>
      <c r="Q18" s="476" t="n"/>
      <c r="R18" s="476" t="n"/>
    </row>
    <row r="19">
      <c r="A19" s="497" t="n">
        <v>3</v>
      </c>
      <c r="B19" s="497" t="n">
        <v>9</v>
      </c>
      <c r="C19" s="497" t="n">
        <v>0</v>
      </c>
      <c r="D19" s="498" t="n">
        <v>164.2349</v>
      </c>
      <c r="E19" s="499" t="n">
        <v>2</v>
      </c>
      <c r="F19" s="500" t="n">
        <v>9</v>
      </c>
      <c r="G19" s="497" t="n">
        <v>0</v>
      </c>
      <c r="H19" s="500" t="n">
        <v>145.9865</v>
      </c>
      <c r="I19" s="486" t="n"/>
      <c r="J19" s="514" t="n">
        <v>2</v>
      </c>
      <c r="K19" s="515" t="n">
        <v>385</v>
      </c>
      <c r="L19" s="516" t="n">
        <v>145</v>
      </c>
      <c r="M19" s="486" t="n"/>
      <c r="N19" s="476" t="n"/>
      <c r="O19" s="476" t="n"/>
      <c r="P19" s="476" t="n"/>
      <c r="Q19" s="476" t="n"/>
      <c r="R19" s="476" t="n"/>
    </row>
    <row r="20">
      <c r="A20" s="497" t="n">
        <v>3</v>
      </c>
      <c r="B20" s="497" t="n">
        <v>4</v>
      </c>
      <c r="C20" s="497" t="n">
        <v>0</v>
      </c>
      <c r="D20" s="498" t="n">
        <v>194.1629</v>
      </c>
      <c r="E20" s="499" t="n">
        <v>2</v>
      </c>
      <c r="F20" s="500" t="n">
        <v>4</v>
      </c>
      <c r="G20" s="497" t="n">
        <v>0</v>
      </c>
      <c r="H20" s="500" t="n">
        <v>294.2725</v>
      </c>
      <c r="I20" s="486" t="n"/>
      <c r="J20" s="514" t="n">
        <v>3</v>
      </c>
      <c r="K20" s="517" t="n">
        <v>475</v>
      </c>
      <c r="L20" s="518" t="n">
        <v>245</v>
      </c>
      <c r="M20" s="486" t="n"/>
      <c r="N20" s="476" t="n"/>
      <c r="O20" s="476" t="n"/>
      <c r="P20" s="476" t="n"/>
      <c r="Q20" s="476" t="n"/>
      <c r="R20" s="476" t="n"/>
    </row>
    <row r="21">
      <c r="A21" s="497" t="n">
        <v>4</v>
      </c>
      <c r="B21" s="497" t="n">
        <v>5</v>
      </c>
      <c r="C21" s="497" t="n">
        <v>0</v>
      </c>
      <c r="D21" s="498" t="n">
        <v>150.4167</v>
      </c>
      <c r="E21" s="499" t="n">
        <v>4</v>
      </c>
      <c r="F21" s="500" t="n">
        <v>5</v>
      </c>
      <c r="G21" s="497" t="n">
        <v>0</v>
      </c>
      <c r="H21" s="500" t="n">
        <v>150.4243</v>
      </c>
      <c r="I21" s="486" t="n"/>
      <c r="J21" s="514" t="n">
        <v>4</v>
      </c>
      <c r="K21" s="517" t="n">
        <v>435</v>
      </c>
      <c r="L21" s="518" t="n">
        <v>435</v>
      </c>
      <c r="M21" s="486" t="n"/>
      <c r="N21" s="476" t="n"/>
      <c r="O21" s="476" t="n"/>
      <c r="P21" s="476" t="n"/>
      <c r="Q21" s="476" t="n"/>
      <c r="R21" s="476" t="n"/>
    </row>
    <row r="22">
      <c r="A22" s="497" t="n">
        <v>4</v>
      </c>
      <c r="B22" s="497" t="n">
        <v>7</v>
      </c>
      <c r="C22" s="497" t="n">
        <v>0</v>
      </c>
      <c r="D22" s="498" t="n">
        <v>259.8561</v>
      </c>
      <c r="E22" s="499" t="n">
        <v>4</v>
      </c>
      <c r="F22" s="500" t="n">
        <v>7</v>
      </c>
      <c r="G22" s="497" t="n">
        <v>0</v>
      </c>
      <c r="H22" s="500" t="n">
        <v>259.868</v>
      </c>
      <c r="I22" s="486" t="n"/>
      <c r="J22" s="514" t="n">
        <v>5</v>
      </c>
      <c r="K22" s="517" t="n">
        <v>295</v>
      </c>
      <c r="L22" s="518" t="n">
        <v>490</v>
      </c>
      <c r="M22" s="486" t="n"/>
      <c r="N22" s="476" t="n"/>
      <c r="O22" s="476" t="n"/>
      <c r="P22" s="476" t="n"/>
      <c r="Q22" s="476" t="n"/>
      <c r="R22" s="476" t="n"/>
    </row>
    <row r="23">
      <c r="A23" s="497" t="n">
        <v>4</v>
      </c>
      <c r="B23" s="497" t="n">
        <v>9</v>
      </c>
      <c r="C23" s="497" t="n">
        <v>0</v>
      </c>
      <c r="D23" s="498" t="n">
        <v>203.6004</v>
      </c>
      <c r="E23" s="497" t="n">
        <v>4</v>
      </c>
      <c r="F23" s="500" t="n">
        <v>9</v>
      </c>
      <c r="G23" s="497" t="n">
        <v>0</v>
      </c>
      <c r="H23" s="500" t="n">
        <v>203.6019</v>
      </c>
      <c r="I23" s="486" t="n"/>
      <c r="J23" s="514" t="n">
        <v>6</v>
      </c>
      <c r="K23" s="517" t="n">
        <v>145</v>
      </c>
      <c r="L23" s="518" t="n">
        <v>560</v>
      </c>
      <c r="M23" s="476" t="n"/>
      <c r="N23" s="476" t="n"/>
      <c r="O23" s="476" t="n"/>
      <c r="P23" s="476" t="n"/>
      <c r="Q23" s="476" t="n"/>
      <c r="R23" s="476" t="n"/>
    </row>
    <row r="24">
      <c r="A24" s="497" t="n">
        <v>6</v>
      </c>
      <c r="B24" s="519" t="n">
        <v>9</v>
      </c>
      <c r="C24" s="519" t="n">
        <v>0</v>
      </c>
      <c r="D24" s="520" t="n">
        <v>333.4194</v>
      </c>
      <c r="E24" s="519" t="n">
        <v>6</v>
      </c>
      <c r="F24" s="500" t="n">
        <v>9</v>
      </c>
      <c r="G24" s="497" t="n">
        <v>0</v>
      </c>
      <c r="H24" s="500" t="n">
        <v>333.4174</v>
      </c>
      <c r="I24" s="486" t="n"/>
      <c r="J24" s="521" t="n">
        <v>7</v>
      </c>
      <c r="K24" s="522" t="n">
        <v>180</v>
      </c>
      <c r="L24" s="523" t="n">
        <v>385</v>
      </c>
      <c r="M24" s="478" t="n"/>
      <c r="N24" s="476" t="n"/>
      <c r="O24" s="476" t="n"/>
      <c r="P24" s="476" t="n"/>
      <c r="Q24" s="476" t="n"/>
      <c r="R24" s="476" t="n"/>
    </row>
    <row r="25" ht="15.95" customHeight="1">
      <c r="A25" s="524" t="n">
        <v>6</v>
      </c>
      <c r="B25" s="524" t="n">
        <v>5</v>
      </c>
      <c r="C25" s="524" t="n">
        <v>0</v>
      </c>
      <c r="D25" s="525" t="n">
        <v>165.528</v>
      </c>
      <c r="E25" s="499" t="n">
        <v>6</v>
      </c>
      <c r="F25" s="526" t="n">
        <v>5</v>
      </c>
      <c r="G25" s="524" t="n">
        <v>0</v>
      </c>
      <c r="H25" s="526" t="n">
        <v>165.5303</v>
      </c>
      <c r="I25" s="486" t="n"/>
      <c r="J25" s="514" t="n">
        <v>8</v>
      </c>
      <c r="K25" s="517" t="n">
        <v>150</v>
      </c>
      <c r="L25" s="518" t="n">
        <v>240</v>
      </c>
      <c r="M25" s="486" t="n"/>
      <c r="N25" s="476" t="n"/>
      <c r="O25" s="476" t="n"/>
      <c r="P25" s="476" t="n"/>
      <c r="Q25" s="476" t="n"/>
      <c r="R25" s="476" t="n"/>
    </row>
    <row r="26" ht="15.95" customHeight="1">
      <c r="A26" s="493" t="n">
        <v>9</v>
      </c>
      <c r="B26" s="493" t="n">
        <v>1</v>
      </c>
      <c r="C26" s="493" t="n">
        <v>3</v>
      </c>
      <c r="D26" s="494" t="n">
        <v>117.9893</v>
      </c>
      <c r="E26" s="499" t="n">
        <v>9</v>
      </c>
      <c r="F26" s="496" t="n">
        <v>1</v>
      </c>
      <c r="G26" s="493" t="n">
        <v>2</v>
      </c>
      <c r="H26" s="496" t="n">
        <v>61.3342</v>
      </c>
      <c r="I26" s="486" t="n"/>
      <c r="J26" s="527" t="n">
        <v>9</v>
      </c>
      <c r="K26" s="528" t="n">
        <v>313</v>
      </c>
      <c r="L26" s="529" t="n">
        <v>272</v>
      </c>
      <c r="M26" s="486" t="n"/>
      <c r="N26" s="476" t="n"/>
      <c r="O26" s="476" t="n"/>
      <c r="P26" s="476" t="n"/>
      <c r="Q26" s="476" t="n"/>
      <c r="R26" s="476" t="n"/>
    </row>
    <row r="27">
      <c r="A27" s="497" t="n">
        <v>9</v>
      </c>
      <c r="B27" s="497" t="n">
        <v>3</v>
      </c>
      <c r="C27" s="497" t="n">
        <v>4</v>
      </c>
      <c r="D27" s="498" t="n">
        <v>69.6093</v>
      </c>
      <c r="E27" s="499" t="n">
        <v>9</v>
      </c>
      <c r="F27" s="500" t="n">
        <v>2</v>
      </c>
      <c r="G27" s="497" t="n">
        <v>4</v>
      </c>
      <c r="H27" s="500" t="n">
        <v>126.2606</v>
      </c>
      <c r="I27" s="486" t="n"/>
      <c r="J27" s="476" t="n"/>
      <c r="K27" s="476" t="n"/>
      <c r="L27" s="476" t="n"/>
      <c r="M27" s="486" t="n"/>
      <c r="N27" s="476" t="n"/>
      <c r="O27" s="476" t="n"/>
      <c r="P27" s="476" t="n"/>
      <c r="Q27" s="476" t="n"/>
      <c r="R27" s="476" t="n"/>
    </row>
    <row r="28">
      <c r="A28" s="497" t="n">
        <v>9</v>
      </c>
      <c r="B28" s="497" t="n">
        <v>4</v>
      </c>
      <c r="C28" s="497" t="n">
        <v>5</v>
      </c>
      <c r="D28" s="498" t="n">
        <v>46.1487</v>
      </c>
      <c r="E28" s="499" t="n">
        <v>9</v>
      </c>
      <c r="F28" s="500" t="n">
        <v>4</v>
      </c>
      <c r="G28" s="497" t="n">
        <v>5</v>
      </c>
      <c r="H28" s="500" t="n">
        <v>46.1513</v>
      </c>
      <c r="I28" s="486" t="n"/>
      <c r="J28" s="476" t="n"/>
      <c r="K28" s="476" t="n"/>
      <c r="L28" s="476" t="n"/>
      <c r="M28" s="486" t="n"/>
      <c r="N28" s="476" t="n"/>
      <c r="O28" s="476" t="n"/>
      <c r="P28" s="476" t="n"/>
      <c r="Q28" s="476" t="n"/>
      <c r="R28" s="476" t="n"/>
    </row>
    <row r="29">
      <c r="A29" s="497" t="n">
        <v>9</v>
      </c>
      <c r="B29" s="497" t="n">
        <v>5</v>
      </c>
      <c r="C29" s="497" t="n">
        <v>7</v>
      </c>
      <c r="D29" s="498" t="n">
        <v>49.92</v>
      </c>
      <c r="E29" s="499" t="n">
        <v>9</v>
      </c>
      <c r="F29" s="500" t="n">
        <v>5</v>
      </c>
      <c r="G29" s="497" t="n">
        <v>7</v>
      </c>
      <c r="H29" s="500" t="n">
        <v>49.9219</v>
      </c>
      <c r="I29" s="486" t="n"/>
      <c r="J29" s="476" t="n"/>
      <c r="K29" s="476" t="n"/>
      <c r="L29" s="476" t="n"/>
      <c r="M29" s="486" t="n"/>
      <c r="N29" s="476" t="n"/>
      <c r="O29" s="476" t="n"/>
      <c r="P29" s="476" t="n"/>
      <c r="Q29" s="476" t="n"/>
      <c r="R29" s="476" t="n"/>
    </row>
    <row r="30">
      <c r="A30" s="497" t="n">
        <v>9</v>
      </c>
      <c r="B30" s="497" t="n">
        <v>7</v>
      </c>
      <c r="C30" s="497" t="n">
        <v>8</v>
      </c>
      <c r="D30" s="498" t="n">
        <v>57.1766</v>
      </c>
      <c r="E30" s="499" t="n">
        <v>9</v>
      </c>
      <c r="F30" s="500" t="n">
        <v>7</v>
      </c>
      <c r="G30" s="497" t="n">
        <v>8</v>
      </c>
      <c r="H30" s="500" t="n">
        <v>57.1764</v>
      </c>
      <c r="I30" s="486" t="n"/>
      <c r="J30" s="476" t="n"/>
      <c r="K30" s="476" t="n"/>
      <c r="L30" s="476" t="n"/>
      <c r="M30" s="486" t="n"/>
      <c r="N30" s="476" t="n"/>
      <c r="O30" s="476" t="n"/>
      <c r="P30" s="476" t="n"/>
      <c r="Q30" s="476" t="n"/>
      <c r="R30" s="476" t="n"/>
    </row>
    <row r="31">
      <c r="A31" s="497" t="n">
        <v>9</v>
      </c>
      <c r="B31" s="497" t="n">
        <v>8</v>
      </c>
      <c r="C31" s="497" t="n">
        <v>1</v>
      </c>
      <c r="D31" s="498" t="n">
        <v>59.1555</v>
      </c>
      <c r="E31" s="499" t="n">
        <v>9</v>
      </c>
      <c r="F31" s="500" t="n">
        <v>8</v>
      </c>
      <c r="G31" s="497" t="n">
        <v>1</v>
      </c>
      <c r="H31" s="500" t="n">
        <v>59.1567</v>
      </c>
      <c r="I31" s="486" t="n"/>
      <c r="J31" s="476" t="n"/>
      <c r="K31" s="476" t="n"/>
      <c r="L31" s="476" t="n"/>
      <c r="M31" s="486" t="n"/>
      <c r="N31" s="476" t="n"/>
      <c r="O31" s="476" t="n"/>
      <c r="P31" s="476" t="n"/>
      <c r="Q31" s="476" t="n"/>
      <c r="R31" s="476" t="n"/>
    </row>
    <row r="32">
      <c r="A32" s="497" t="n">
        <v>6</v>
      </c>
      <c r="B32" s="497" t="n">
        <v>8</v>
      </c>
      <c r="C32" s="497" t="n">
        <v>7</v>
      </c>
      <c r="D32" s="498" t="n">
        <v>11.5719</v>
      </c>
      <c r="E32" s="499" t="n">
        <v>6</v>
      </c>
      <c r="F32" s="500" t="n">
        <v>8</v>
      </c>
      <c r="G32" s="497" t="n">
        <v>7</v>
      </c>
      <c r="H32" s="500" t="n">
        <v>11.5714</v>
      </c>
      <c r="I32" s="486" t="n"/>
      <c r="J32" s="476" t="n"/>
      <c r="K32" s="476" t="n"/>
      <c r="L32" s="476" t="n"/>
      <c r="M32" s="486" t="n"/>
      <c r="N32" s="476" t="n"/>
      <c r="O32" s="476" t="n"/>
      <c r="P32" s="476" t="n"/>
      <c r="Q32" s="476" t="n"/>
      <c r="R32" s="476" t="n"/>
    </row>
    <row r="33">
      <c r="A33" s="497" t="n">
        <v>6</v>
      </c>
      <c r="B33" s="497" t="n">
        <v>7</v>
      </c>
      <c r="C33" s="497" t="n">
        <v>9</v>
      </c>
      <c r="D33" s="498" t="n">
        <v>21.0515</v>
      </c>
      <c r="E33" s="499" t="n">
        <v>6</v>
      </c>
      <c r="F33" s="500" t="n">
        <v>7</v>
      </c>
      <c r="G33" s="497" t="n">
        <v>9</v>
      </c>
      <c r="H33" s="500" t="n">
        <v>21.0531</v>
      </c>
      <c r="I33" s="486" t="n"/>
      <c r="J33" s="476" t="n"/>
      <c r="K33" s="476" t="n"/>
      <c r="L33" s="476" t="n"/>
      <c r="M33" s="486" t="n"/>
      <c r="N33" s="476" t="n"/>
      <c r="O33" s="476" t="n"/>
      <c r="P33" s="476" t="n"/>
      <c r="Q33" s="476" t="n"/>
      <c r="R33" s="476" t="n"/>
    </row>
    <row r="34">
      <c r="A34" s="497" t="n">
        <v>6</v>
      </c>
      <c r="B34" s="497" t="n">
        <v>9</v>
      </c>
      <c r="C34" s="497" t="n">
        <v>5</v>
      </c>
      <c r="D34" s="498" t="n">
        <v>38.5847</v>
      </c>
      <c r="E34" s="499" t="n">
        <v>6</v>
      </c>
      <c r="F34" s="500" t="n">
        <v>9</v>
      </c>
      <c r="G34" s="497" t="n">
        <v>5</v>
      </c>
      <c r="H34" s="500" t="n">
        <v>38.5857</v>
      </c>
      <c r="I34" s="486" t="n"/>
      <c r="J34" s="476" t="n"/>
      <c r="K34" s="476" t="n"/>
      <c r="L34" s="476" t="n"/>
      <c r="M34" s="486" t="n"/>
      <c r="N34" s="476" t="n"/>
      <c r="O34" s="476" t="n"/>
      <c r="P34" s="476" t="n"/>
      <c r="Q34" s="476" t="n"/>
      <c r="R34" s="476" t="n"/>
    </row>
    <row r="35">
      <c r="A35" s="497" t="n">
        <v>5</v>
      </c>
      <c r="B35" s="497" t="n">
        <v>6</v>
      </c>
      <c r="C35" s="497" t="n">
        <v>7</v>
      </c>
      <c r="D35" s="498" t="n">
        <v>74.90470000000001</v>
      </c>
      <c r="E35" s="499" t="n">
        <v>5</v>
      </c>
      <c r="F35" s="500" t="n">
        <v>6</v>
      </c>
      <c r="G35" s="497" t="n">
        <v>7</v>
      </c>
      <c r="H35" s="500" t="n">
        <v>74.9054</v>
      </c>
      <c r="I35" s="486" t="n"/>
      <c r="J35" s="476" t="n"/>
      <c r="K35" s="476" t="n"/>
      <c r="L35" s="476" t="n"/>
      <c r="M35" s="486" t="n"/>
      <c r="N35" s="476" t="n"/>
      <c r="O35" s="476" t="n"/>
      <c r="P35" s="476" t="n"/>
      <c r="Q35" s="476" t="n"/>
      <c r="R35" s="476" t="n"/>
    </row>
    <row r="36">
      <c r="A36" s="497" t="n">
        <v>5</v>
      </c>
      <c r="B36" s="497" t="n">
        <v>7</v>
      </c>
      <c r="C36" s="497" t="n">
        <v>9</v>
      </c>
      <c r="D36" s="498" t="n">
        <v>58.1366</v>
      </c>
      <c r="E36" s="499" t="n">
        <v>5</v>
      </c>
      <c r="F36" s="500" t="n">
        <v>7</v>
      </c>
      <c r="G36" s="497" t="n">
        <v>9</v>
      </c>
      <c r="H36" s="500" t="n">
        <v>58.1359</v>
      </c>
      <c r="I36" s="486" t="n"/>
      <c r="J36" s="476" t="n"/>
      <c r="K36" s="476" t="n"/>
      <c r="L36" s="476" t="n"/>
      <c r="M36" s="486" t="n"/>
      <c r="N36" s="476" t="n"/>
      <c r="O36" s="476" t="n"/>
      <c r="P36" s="476" t="n"/>
      <c r="Q36" s="476" t="n"/>
      <c r="R36" s="476" t="n"/>
    </row>
    <row r="37" ht="15.95" customHeight="1">
      <c r="A37" s="524" t="n">
        <v>5</v>
      </c>
      <c r="B37" s="524" t="n">
        <v>9</v>
      </c>
      <c r="C37" s="524" t="n">
        <v>4</v>
      </c>
      <c r="D37" s="525" t="n">
        <v>70.9251</v>
      </c>
      <c r="E37" s="524" t="n">
        <v>5</v>
      </c>
      <c r="F37" s="526" t="n">
        <v>9</v>
      </c>
      <c r="G37" s="524" t="n">
        <v>4</v>
      </c>
      <c r="H37" s="526" t="n">
        <v>70.9246</v>
      </c>
      <c r="I37" s="486" t="n"/>
      <c r="J37" s="476" t="n"/>
      <c r="K37" s="476" t="n"/>
      <c r="L37" s="476" t="n"/>
      <c r="M37" s="476" t="n"/>
      <c r="N37" s="476" t="n"/>
      <c r="O37" s="476" t="n"/>
      <c r="P37" s="476" t="n"/>
      <c r="Q37" s="476" t="n"/>
      <c r="R37" s="476" t="n"/>
    </row>
  </sheetData>
  <mergeCells count="3">
    <mergeCell ref="A4:D4"/>
    <mergeCell ref="J16:L16"/>
    <mergeCell ref="F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21"/>
  <sheetViews>
    <sheetView workbookViewId="0">
      <selection activeCell="A1" sqref="A1"/>
    </sheetView>
  </sheetViews>
  <sheetFormatPr baseColWidth="10" defaultColWidth="8.83203125" defaultRowHeight="15"/>
  <cols>
    <col width="6.45703125" customWidth="1" min="1" max="1"/>
    <col width="13.98828125" customWidth="1" min="2" max="4"/>
    <col width="13" customWidth="1" min="3" max="3"/>
    <col width="11.02734375" customWidth="1" min="4" max="4"/>
    <col width="13.98828125" customWidth="1" min="5" max="5"/>
    <col width="13" customWidth="1" min="6" max="7"/>
    <col width="13" customWidth="1" min="7" max="7"/>
    <col width="11.02734375" customWidth="1" min="8" max="13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6"/>
    <col width="13" customWidth="1" min="15" max="15"/>
    <col width="13" customWidth="1" min="16" max="16"/>
    <col width="11.02734375" customWidth="1" min="17" max="23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0.22265625" customWidth="1" min="31" max="31"/>
    <col width="13" customWidth="1" min="32" max="32"/>
    <col width="9.55078125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/>
    <row r="2">
      <c r="B2" s="530" t="n"/>
      <c r="C2" s="531" t="n"/>
      <c r="D2" s="531" t="n"/>
      <c r="E2" s="532" t="n"/>
      <c r="P2" s="530" t="n"/>
      <c r="Q2" s="531" t="n"/>
      <c r="R2" s="532" t="n"/>
      <c r="S2" s="533" t="n"/>
      <c r="T2" s="531" t="n"/>
      <c r="U2" s="531" t="n"/>
      <c r="V2" s="532" t="n"/>
    </row>
    <row r="3" ht="17.1" customHeight="1">
      <c r="B3" s="534" t="inlineStr">
        <is>
          <t>c</t>
        </is>
      </c>
      <c r="C3" s="535" t="inlineStr">
        <is>
          <t>l</t>
        </is>
      </c>
      <c r="D3" s="535" t="inlineStr">
        <is>
          <t>p</t>
        </is>
      </c>
      <c r="E3" s="530" t="inlineStr">
        <is>
          <t>L obs [m]</t>
        </is>
      </c>
      <c r="F3" s="534" t="inlineStr">
        <is>
          <t>∆x</t>
        </is>
      </c>
      <c r="G3" s="536" t="inlineStr">
        <is>
          <t>∆y</t>
        </is>
      </c>
      <c r="H3" s="537" t="inlineStr">
        <is>
          <t>L przyb [m]</t>
        </is>
      </c>
      <c r="I3" s="538" t="inlineStr">
        <is>
          <t>Az [g]</t>
        </is>
      </c>
      <c r="J3" s="538" t="inlineStr">
        <is>
          <t>Sin Az</t>
        </is>
      </c>
      <c r="K3" s="539" t="inlineStr">
        <is>
          <t>Cos Az</t>
        </is>
      </c>
      <c r="L3" s="537" t="inlineStr">
        <is>
          <t>Błąd [m]</t>
        </is>
      </c>
      <c r="M3" s="538" t="inlineStr">
        <is>
          <t>l [m]</t>
        </is>
      </c>
      <c r="N3" s="538" t="n"/>
      <c r="O3" s="411" t="n"/>
      <c r="P3" s="530" t="inlineStr">
        <is>
          <t>Współrzedne przybliżone</t>
        </is>
      </c>
      <c r="Q3" s="506" t="n"/>
      <c r="R3" s="507" t="n"/>
      <c r="S3" s="540" t="n"/>
      <c r="T3" s="540" t="n"/>
      <c r="U3" s="540" t="n"/>
      <c r="V3" s="540" t="n"/>
    </row>
    <row r="4">
      <c r="B4" s="541">
        <f>'_calc_Dane'!B5</f>
        <v/>
      </c>
      <c r="C4" s="541">
        <f>'_calc_Dane'!C5</f>
        <v/>
      </c>
      <c r="D4" s="541">
        <f>'_calc_Dane'!D5</f>
        <v/>
      </c>
      <c r="E4" s="542">
        <f>'_calc_Dane'!E5</f>
        <v/>
      </c>
      <c r="F4" s="543">
        <f>'_calc_Dane'!M5-'_calc_Dane'!M11</f>
        <v/>
      </c>
      <c r="G4" s="544">
        <f>'_calc_Dane'!N5-'_calc_Dane'!N11</f>
        <v/>
      </c>
      <c r="H4" s="545">
        <f>SQRT(F4^2+G4^2)</f>
        <v/>
      </c>
      <c r="I4" s="546">
        <f>IF(ATAN2(F4,G4)*200/PI()&lt;0,ATAN2(F4,G4)*200/PI()+400)</f>
        <v/>
      </c>
      <c r="J4" s="547">
        <f>SIN(I4*PI()/200)</f>
        <v/>
      </c>
      <c r="K4" s="543">
        <f>COS(I4*PI()/200)</f>
        <v/>
      </c>
      <c r="L4" s="544">
        <f>0.001+0.000001*E4</f>
        <v/>
      </c>
      <c r="M4" s="548">
        <f>H4-E4</f>
        <v/>
      </c>
      <c r="N4" s="548" t="n"/>
      <c r="O4" s="413" t="n"/>
      <c r="P4" s="549" t="inlineStr">
        <is>
          <t>NR</t>
        </is>
      </c>
      <c r="Q4" s="550" t="inlineStr">
        <is>
          <t>Xo</t>
        </is>
      </c>
      <c r="R4" s="550" t="inlineStr">
        <is>
          <t>Yo</t>
        </is>
      </c>
      <c r="S4" s="551" t="n"/>
      <c r="T4" s="551" t="n"/>
      <c r="U4" s="551" t="n"/>
      <c r="V4" s="551" t="n"/>
      <c r="W4" s="552" t="n"/>
    </row>
    <row r="5">
      <c r="B5" s="553">
        <f>'_calc_Dane'!B6</f>
        <v/>
      </c>
      <c r="C5" s="553">
        <f>'_calc_Dane'!C6</f>
        <v/>
      </c>
      <c r="D5" s="553">
        <f>'_calc_Dane'!D6</f>
        <v/>
      </c>
      <c r="E5" s="542">
        <f>'_calc_Dane'!E6</f>
        <v/>
      </c>
      <c r="F5" s="543">
        <f>'_calc_Dane'!M9-'_calc_Dane'!M11</f>
        <v/>
      </c>
      <c r="G5" s="544">
        <f>'_calc_Dane'!N9-'_calc_Dane'!N11</f>
        <v/>
      </c>
      <c r="H5" s="545">
        <f>SQRT(F5^2+G5^2)</f>
        <v/>
      </c>
      <c r="I5" s="546">
        <f>IF(ATAN2(F5,G5)*200/PI()&lt;0,ATAN2(F5,G5)*200/PI()+400,ATAN2(F5,G5)*200/PI())</f>
        <v/>
      </c>
      <c r="J5" s="547">
        <f>SIN(I5*PI()/200)</f>
        <v/>
      </c>
      <c r="K5" s="543">
        <f>COS(I5*PI()/200)</f>
        <v/>
      </c>
      <c r="L5" s="544">
        <f>0.001+0.000001*E5</f>
        <v/>
      </c>
      <c r="M5" s="548">
        <f>H5-E5</f>
        <v/>
      </c>
      <c r="N5" s="548" t="n"/>
      <c r="P5" s="549" t="n">
        <v>1</v>
      </c>
      <c r="Q5" s="550" t="n">
        <v>240</v>
      </c>
      <c r="R5" s="550" t="n">
        <v>120</v>
      </c>
      <c r="S5" s="551" t="n"/>
      <c r="T5" s="551" t="n"/>
      <c r="U5" s="551" t="n"/>
      <c r="V5" s="551" t="n"/>
      <c r="W5" s="552" t="n"/>
    </row>
    <row r="6">
      <c r="B6" s="553">
        <f>'_calc_Dane'!B7</f>
        <v/>
      </c>
      <c r="C6" s="553">
        <f>'_calc_Dane'!C7</f>
        <v/>
      </c>
      <c r="D6" s="553">
        <f>'_calc_Dane'!D7</f>
        <v/>
      </c>
      <c r="E6" s="542">
        <f>'_calc_Dane'!E7</f>
        <v/>
      </c>
      <c r="F6" s="543">
        <f>'_calc_Dane'!M10-'_calc_Dane'!M11</f>
        <v/>
      </c>
      <c r="G6" s="544">
        <f>'_calc_Dane'!N10-'_calc_Dane'!N11</f>
        <v/>
      </c>
      <c r="H6" s="545">
        <f>SQRT(F6^2+G6^2)</f>
        <v/>
      </c>
      <c r="I6" s="546">
        <f>IF(ATAN2(F6,G6)*200/PI()&lt;0,ATAN2(F6,G6)*200/PI()+400,ATAN2(F6,G6)*200/PI())</f>
        <v/>
      </c>
      <c r="J6" s="547">
        <f>SIN(I6*PI()/200)</f>
        <v/>
      </c>
      <c r="K6" s="543">
        <f>COS(I6*PI()/200)</f>
        <v/>
      </c>
      <c r="L6" s="544">
        <f>0.001+0.000001*E6</f>
        <v/>
      </c>
      <c r="M6" s="548">
        <f>H6-E6</f>
        <v/>
      </c>
      <c r="N6" s="548" t="n"/>
      <c r="P6" s="549" t="n">
        <v>2</v>
      </c>
      <c r="Q6" s="550" t="n">
        <v>385</v>
      </c>
      <c r="R6" s="550" t="n">
        <v>145</v>
      </c>
      <c r="S6" s="551" t="n"/>
      <c r="T6" s="551" t="n"/>
      <c r="U6" s="551" t="n"/>
      <c r="V6" s="551" t="n"/>
      <c r="W6" s="552" t="n"/>
    </row>
    <row r="7">
      <c r="B7" s="553">
        <f>'_calc_Dane'!B8</f>
        <v/>
      </c>
      <c r="C7" s="553">
        <f>'_calc_Dane'!C8</f>
        <v/>
      </c>
      <c r="D7" s="553">
        <f>'_calc_Dane'!D8</f>
        <v/>
      </c>
      <c r="E7" s="542">
        <f>'_calc_Dane'!E8</f>
        <v/>
      </c>
      <c r="F7" s="543">
        <f>'_calc_Dane'!M12-'_calc_Dane'!M11</f>
        <v/>
      </c>
      <c r="G7" s="544">
        <f>'_calc_Dane'!N12-'_calc_Dane'!N11</f>
        <v/>
      </c>
      <c r="H7" s="545">
        <f>SQRT(F7^2+G7^2)</f>
        <v/>
      </c>
      <c r="I7" s="546">
        <f>IF(ATAN2(F7,G7)*200/PI()&lt;0,ATAN2(F7,G7)*200/PI()+400)</f>
        <v/>
      </c>
      <c r="J7" s="547">
        <f>SIN(I7*PI()/200)</f>
        <v/>
      </c>
      <c r="K7" s="543">
        <f>COS(I7*PI()/200)</f>
        <v/>
      </c>
      <c r="L7" s="544">
        <f>0.001+0.000001*E7</f>
        <v/>
      </c>
      <c r="M7" s="548">
        <f>H7-E7</f>
        <v/>
      </c>
      <c r="N7" s="548" t="n"/>
      <c r="P7" s="549" t="n">
        <v>3</v>
      </c>
      <c r="Q7" s="550" t="n">
        <v>475</v>
      </c>
      <c r="R7" s="550" t="n">
        <v>245</v>
      </c>
      <c r="S7" s="551" t="n"/>
      <c r="T7" s="551" t="n"/>
      <c r="U7" s="551" t="n"/>
      <c r="V7" s="551" t="n"/>
      <c r="W7" s="552" t="n"/>
    </row>
    <row r="8">
      <c r="B8" s="553">
        <f>'_calc_Dane'!B9</f>
        <v/>
      </c>
      <c r="C8" s="553">
        <f>'_calc_Dane'!C9</f>
        <v/>
      </c>
      <c r="D8" s="553">
        <f>'_calc_Dane'!D9</f>
        <v/>
      </c>
      <c r="E8" s="542">
        <f>'_calc_Dane'!E9</f>
        <v/>
      </c>
      <c r="F8" s="543">
        <f>'_calc_Dane'!M13-'_calc_Dane'!M11</f>
        <v/>
      </c>
      <c r="G8" s="544">
        <f>'_calc_Dane'!N13-'_calc_Dane'!N11</f>
        <v/>
      </c>
      <c r="H8" s="545">
        <f>SQRT(F8^2+G8^2)</f>
        <v/>
      </c>
      <c r="I8" s="546">
        <f>IF(ATAN2(F8,G8)*200/PI()&lt;0,ATAN2(F8,G8)*200/PI()+400)</f>
        <v/>
      </c>
      <c r="J8" s="547">
        <f>SIN(I8*PI()/200)</f>
        <v/>
      </c>
      <c r="K8" s="543">
        <f>COS(I8*PI()/200)</f>
        <v/>
      </c>
      <c r="L8" s="544">
        <f>0.001+0.000001*E8</f>
        <v/>
      </c>
      <c r="M8" s="548">
        <f>H8-E8</f>
        <v/>
      </c>
      <c r="N8" s="548" t="n"/>
      <c r="P8" s="549" t="n">
        <v>4</v>
      </c>
      <c r="Q8" s="550" t="n">
        <v>435</v>
      </c>
      <c r="R8" s="550" t="n">
        <v>435</v>
      </c>
      <c r="S8" s="551" t="n"/>
      <c r="T8" s="551" t="n"/>
      <c r="U8" s="551" t="n"/>
      <c r="V8" s="551" t="n"/>
      <c r="W8" s="552" t="n"/>
    </row>
    <row r="9">
      <c r="B9" s="553">
        <f>'_calc_Dane'!B10</f>
        <v/>
      </c>
      <c r="C9" s="553">
        <f>'_calc_Dane'!C10</f>
        <v/>
      </c>
      <c r="D9" s="553">
        <f>'_calc_Dane'!D10</f>
        <v/>
      </c>
      <c r="E9" s="542">
        <f>'_calc_Dane'!E10</f>
        <v/>
      </c>
      <c r="F9" s="543">
        <f>'_calc_Dane'!M5-'_calc_Dane'!M12</f>
        <v/>
      </c>
      <c r="G9" s="544">
        <f>'_calc_Dane'!N5-'_calc_Dane'!N12</f>
        <v/>
      </c>
      <c r="H9" s="545">
        <f>SQRT(F9^2+G9^2)</f>
        <v/>
      </c>
      <c r="I9" s="546">
        <f>IF(ATAN2(F9,G9)*200/PI()&lt;0,ATAN2(F9,G9)*200/PI()+400)</f>
        <v/>
      </c>
      <c r="J9" s="547">
        <f>SIN(I9*PI()/200)</f>
        <v/>
      </c>
      <c r="K9" s="543">
        <f>COS(I9*PI()/200)</f>
        <v/>
      </c>
      <c r="L9" s="544">
        <f>0.001+0.000001*E9</f>
        <v/>
      </c>
      <c r="M9" s="548">
        <f>H9-E9</f>
        <v/>
      </c>
      <c r="N9" s="548" t="n"/>
      <c r="P9" s="549" t="n">
        <v>5</v>
      </c>
      <c r="Q9" s="550" t="n">
        <v>295</v>
      </c>
      <c r="R9" s="550" t="n">
        <v>490</v>
      </c>
      <c r="S9" s="551" t="n"/>
      <c r="T9" s="551" t="n"/>
      <c r="U9" s="551" t="n"/>
      <c r="V9" s="551" t="n"/>
      <c r="W9" s="552" t="n"/>
    </row>
    <row r="10">
      <c r="B10" s="553">
        <f>'_calc_Dane'!B11</f>
        <v/>
      </c>
      <c r="C10" s="553">
        <f>'_calc_Dane'!C11</f>
        <v/>
      </c>
      <c r="D10" s="553">
        <f>'_calc_Dane'!D11</f>
        <v/>
      </c>
      <c r="E10" s="542">
        <f>'_calc_Dane'!E11</f>
        <v/>
      </c>
      <c r="F10" s="543">
        <f>'_calc_Dane'!M13-'_calc_Dane'!M12</f>
        <v/>
      </c>
      <c r="G10" s="544">
        <f>'_calc_Dane'!N13-'_calc_Dane'!N12</f>
        <v/>
      </c>
      <c r="H10" s="545">
        <f>SQRT(F10^2+G10^2)</f>
        <v/>
      </c>
      <c r="I10" s="546">
        <f>IF(ATAN2(F10,G10)*200/PI()&lt;0,ATAN2(F10,G10)*200/PI()+400,ATAN2(F10,G10)*200/PI())</f>
        <v/>
      </c>
      <c r="J10" s="547">
        <f>SIN(I10*PI()/200)</f>
        <v/>
      </c>
      <c r="K10" s="543">
        <f>COS(I10*PI()/200)</f>
        <v/>
      </c>
      <c r="L10" s="544">
        <f>0.001+0.000001*E10</f>
        <v/>
      </c>
      <c r="M10" s="548">
        <f>H10-E10</f>
        <v/>
      </c>
      <c r="N10" s="548" t="n"/>
      <c r="P10" s="549" t="n">
        <v>6</v>
      </c>
      <c r="Q10" s="550" t="n">
        <v>145</v>
      </c>
      <c r="R10" s="550" t="n">
        <v>560</v>
      </c>
      <c r="S10" s="551" t="n"/>
      <c r="T10" s="551" t="n"/>
      <c r="U10" s="551" t="n"/>
      <c r="V10" s="551" t="n"/>
      <c r="W10" s="552" t="n"/>
    </row>
    <row r="11">
      <c r="B11" s="553">
        <f>'_calc_Dane'!B12</f>
        <v/>
      </c>
      <c r="C11" s="553">
        <f>'_calc_Dane'!C12</f>
        <v/>
      </c>
      <c r="D11" s="553">
        <f>'_calc_Dane'!D12</f>
        <v/>
      </c>
      <c r="E11" s="542">
        <f>'_calc_Dane'!E12</f>
        <v/>
      </c>
      <c r="F11" s="543">
        <f>'_calc_Dane'!M11-'_calc_Dane'!M12</f>
        <v/>
      </c>
      <c r="G11" s="544">
        <f>'_calc_Dane'!N11-'_calc_Dane'!N12</f>
        <v/>
      </c>
      <c r="H11" s="545">
        <f>SQRT(F11^2+G11^2)</f>
        <v/>
      </c>
      <c r="I11" s="546">
        <f>IF(ATAN2(F11,G11)*200/PI()&lt;0,ATAN2(F11,G11)*200/PI()+400,ATAN2(F11,G11)*200/PI())</f>
        <v/>
      </c>
      <c r="J11" s="547">
        <f>SIN(I11*PI()/200)</f>
        <v/>
      </c>
      <c r="K11" s="543">
        <f>COS(I11*PI()/200)</f>
        <v/>
      </c>
      <c r="L11" s="544">
        <f>0.001+0.000001*E11</f>
        <v/>
      </c>
      <c r="M11" s="548">
        <f>H11-E11</f>
        <v/>
      </c>
      <c r="N11" s="548" t="n"/>
      <c r="P11" s="549" t="n">
        <v>7</v>
      </c>
      <c r="Q11" s="550" t="n">
        <v>180</v>
      </c>
      <c r="R11" s="550" t="n">
        <v>385</v>
      </c>
      <c r="S11" s="551" t="n"/>
      <c r="T11" s="551" t="n"/>
      <c r="U11" s="551" t="n"/>
      <c r="V11" s="551" t="n"/>
      <c r="W11" s="552" t="n"/>
    </row>
    <row r="12">
      <c r="B12" s="553">
        <f>'_calc_Dane'!B13</f>
        <v/>
      </c>
      <c r="C12" s="553">
        <f>'_calc_Dane'!C13</f>
        <v/>
      </c>
      <c r="D12" s="553">
        <f>'_calc_Dane'!D13</f>
        <v/>
      </c>
      <c r="E12" s="542">
        <f>'_calc_Dane'!E13</f>
        <v/>
      </c>
      <c r="F12" s="543">
        <f>'_calc_Dane'!M10-'_calc_Dane'!M12</f>
        <v/>
      </c>
      <c r="G12" s="544">
        <f>'_calc_Dane'!N10-'_calc_Dane'!N12</f>
        <v/>
      </c>
      <c r="H12" s="545">
        <f>SQRT(F12^2+G12^2)</f>
        <v/>
      </c>
      <c r="I12" s="546">
        <f>IF(ATAN2(F12,G12)*200/PI()&lt;0,ATAN2(F12,G12)*200/PI()+400,ATAN2(F12,G12)*200/PI())</f>
        <v/>
      </c>
      <c r="J12" s="547">
        <f>SIN(I12*PI()/200)</f>
        <v/>
      </c>
      <c r="K12" s="543">
        <f>COS(I12*PI()/200)</f>
        <v/>
      </c>
      <c r="L12" s="544">
        <f>0.001+0.000001*E12</f>
        <v/>
      </c>
      <c r="M12" s="548">
        <f>H12-E12</f>
        <v/>
      </c>
      <c r="N12" s="548" t="n"/>
      <c r="P12" s="549" t="n">
        <v>8</v>
      </c>
      <c r="Q12" s="550" t="n">
        <v>150</v>
      </c>
      <c r="R12" s="550" t="n">
        <v>240</v>
      </c>
      <c r="S12" s="551" t="n"/>
      <c r="T12" s="551" t="n"/>
      <c r="U12" s="551" t="n"/>
      <c r="V12" s="551" t="n"/>
      <c r="W12" s="552" t="n"/>
    </row>
    <row r="13">
      <c r="B13" s="553">
        <f>'_calc_Dane'!B14</f>
        <v/>
      </c>
      <c r="C13" s="553">
        <f>'_calc_Dane'!C14</f>
        <v/>
      </c>
      <c r="D13" s="553">
        <f>'_calc_Dane'!D14</f>
        <v/>
      </c>
      <c r="E13" s="542">
        <f>'_calc_Dane'!E14</f>
        <v/>
      </c>
      <c r="F13" s="543">
        <f>'_calc_Dane'!M7-'_calc_Dane'!M5</f>
        <v/>
      </c>
      <c r="G13" s="544">
        <f>'_calc_Dane'!N7-'_calc_Dane'!N5</f>
        <v/>
      </c>
      <c r="H13" s="545">
        <f>SQRT(F13^2+G13^2)</f>
        <v/>
      </c>
      <c r="I13" s="546">
        <f>IF(ATAN2(F13,G13)*200/PI()&lt;0,ATAN2(F13,G13)*200/PI()+400,ATAN2(F13,G13)*200/PI())</f>
        <v/>
      </c>
      <c r="J13" s="547">
        <f>SIN(I13*PI()/200)</f>
        <v/>
      </c>
      <c r="K13" s="543">
        <f>COS(I13*PI()/200)</f>
        <v/>
      </c>
      <c r="L13" s="544">
        <f>0.001+0.000001*E13</f>
        <v/>
      </c>
      <c r="M13" s="548">
        <f>H13-E13</f>
        <v/>
      </c>
      <c r="N13" s="548" t="n"/>
      <c r="P13" s="13" t="n">
        <v>9</v>
      </c>
      <c r="Q13" s="14" t="n">
        <v>314</v>
      </c>
      <c r="R13" s="15" t="n">
        <v>271</v>
      </c>
    </row>
    <row r="14" ht="17.1" customHeight="1">
      <c r="B14" s="553">
        <f>'_calc_Dane'!B15</f>
        <v/>
      </c>
      <c r="C14" s="553">
        <f>'_calc_Dane'!C15</f>
        <v/>
      </c>
      <c r="D14" s="553">
        <f>'_calc_Dane'!D15</f>
        <v/>
      </c>
      <c r="E14" s="542">
        <f>'_calc_Dane'!E15</f>
        <v/>
      </c>
      <c r="F14" s="543">
        <f>'_calc_Dane'!M13-'_calc_Dane'!M5</f>
        <v/>
      </c>
      <c r="G14" s="544">
        <f>'_calc_Dane'!N13-'_calc_Dane'!N5</f>
        <v/>
      </c>
      <c r="H14" s="545">
        <f>SQRT(F14^2+G14^2)</f>
        <v/>
      </c>
      <c r="I14" s="546">
        <f>IF(ATAN2(F14,G14)*200/PI()&lt;0,ATAN2(F14,G14)*200/PI()+400,ATAN2(F14,G14)*200/PI())</f>
        <v/>
      </c>
      <c r="J14" s="547">
        <f>SIN(I14*PI()/200)</f>
        <v/>
      </c>
      <c r="K14" s="543">
        <f>COS(I14*PI()/200)</f>
        <v/>
      </c>
      <c r="L14" s="544">
        <f>0.001+0.000001*E14</f>
        <v/>
      </c>
      <c r="M14" s="548">
        <f>H14-E14</f>
        <v/>
      </c>
      <c r="N14" s="548" t="n"/>
      <c r="P14" s="554" t="n"/>
      <c r="Q14" s="555" t="n"/>
      <c r="T14" s="556" t="n"/>
      <c r="U14" s="503" t="n"/>
      <c r="V14" s="557" t="n"/>
      <c r="W14" s="558" t="n"/>
    </row>
    <row r="15" ht="17.1" customHeight="1">
      <c r="B15" s="553">
        <f>'_calc_Dane'!B16</f>
        <v/>
      </c>
      <c r="C15" s="553">
        <f>'_calc_Dane'!C16</f>
        <v/>
      </c>
      <c r="D15" s="553">
        <f>'_calc_Dane'!D16</f>
        <v/>
      </c>
      <c r="E15" s="542">
        <f>'_calc_Dane'!E16</f>
        <v/>
      </c>
      <c r="F15" s="543">
        <f>'_calc_Dane'!M11-'_calc_Dane'!M5</f>
        <v/>
      </c>
      <c r="G15" s="544">
        <f>'_calc_Dane'!N11-'_calc_Dane'!N5</f>
        <v/>
      </c>
      <c r="H15" s="545">
        <f>SQRT(F15^2+G15^2)</f>
        <v/>
      </c>
      <c r="I15" s="546">
        <f>IF(ATAN2(F15,G15)*200/PI()&lt;0,ATAN2(F15,G15)*200/PI()+400,ATAN2(F15,G15)*200/PI())</f>
        <v/>
      </c>
      <c r="J15" s="547">
        <f>SIN(I15*PI()/200)</f>
        <v/>
      </c>
      <c r="K15" s="543">
        <f>COS(I15*PI()/200)</f>
        <v/>
      </c>
      <c r="L15" s="544">
        <f>0.001+0.000001*E15</f>
        <v/>
      </c>
      <c r="M15" s="548">
        <f>H15-E15</f>
        <v/>
      </c>
      <c r="N15" s="548" t="n"/>
      <c r="P15" s="559" t="n"/>
      <c r="Q15" s="560" t="n"/>
      <c r="R15" s="561" t="n"/>
      <c r="T15" s="556" t="n"/>
      <c r="U15" s="503" t="n"/>
      <c r="V15" s="562" t="n"/>
      <c r="W15" s="550" t="n"/>
    </row>
    <row r="16" ht="17.1" customHeight="1">
      <c r="B16" s="553">
        <f>'_calc_Dane'!B17</f>
        <v/>
      </c>
      <c r="C16" s="553">
        <f>'_calc_Dane'!C17</f>
        <v/>
      </c>
      <c r="D16" s="553">
        <f>'_calc_Dane'!D17</f>
        <v/>
      </c>
      <c r="E16" s="542">
        <f>'_calc_Dane'!E17</f>
        <v/>
      </c>
      <c r="F16" s="543">
        <f>'_calc_Dane'!M9-'_calc_Dane'!M7</f>
        <v/>
      </c>
      <c r="G16" s="544">
        <f>'_calc_Dane'!N9-'_calc_Dane'!N7</f>
        <v/>
      </c>
      <c r="H16" s="545">
        <f>SQRT(F16^2+G16^2)</f>
        <v/>
      </c>
      <c r="I16" s="546">
        <f>IF(ATAN2(F16,G16)*200/PI()&lt;0,ATAN2(F16,G16)*200/PI()+400,ATAN2(F16,G16)*200/PI())</f>
        <v/>
      </c>
      <c r="J16" s="547">
        <f>SIN(I16*PI()/200)</f>
        <v/>
      </c>
      <c r="K16" s="543">
        <f>COS(I16*PI()/200)</f>
        <v/>
      </c>
      <c r="L16" s="544">
        <f>0.001+0.000001*E16</f>
        <v/>
      </c>
      <c r="M16" s="548">
        <f>H16-E16</f>
        <v/>
      </c>
      <c r="N16" s="548" t="n"/>
      <c r="P16" s="559" t="n"/>
      <c r="Q16" s="563" t="n"/>
      <c r="R16" s="564" t="n"/>
      <c r="T16" s="556" t="n"/>
      <c r="U16" s="492" t="n"/>
      <c r="V16" s="501" t="n"/>
    </row>
    <row r="17">
      <c r="B17" s="553">
        <f>'_calc_Dane'!B18</f>
        <v/>
      </c>
      <c r="C17" s="553">
        <f>'_calc_Dane'!C18</f>
        <v/>
      </c>
      <c r="D17" s="553">
        <f>'_calc_Dane'!D18</f>
        <v/>
      </c>
      <c r="E17" s="542">
        <f>'_calc_Dane'!E18</f>
        <v/>
      </c>
      <c r="F17" s="543">
        <f>'_calc_Dane'!M13-'_calc_Dane'!M7</f>
        <v/>
      </c>
      <c r="G17" s="544">
        <f>'_calc_Dane'!N13-'_calc_Dane'!N7</f>
        <v/>
      </c>
      <c r="H17" s="545">
        <f>SQRT(F17^2+G17^2)</f>
        <v/>
      </c>
      <c r="I17" s="546">
        <f>IF(ATAN2(F17,G17)*200/PI()&lt;0,ATAN2(F17,G17)*200/PI()+400,ATAN2(F17,G17)*200/PI())</f>
        <v/>
      </c>
      <c r="J17" s="547">
        <f>SIN(I17*PI()/200)</f>
        <v/>
      </c>
      <c r="K17" s="543">
        <f>COS(I17*PI()/200)</f>
        <v/>
      </c>
      <c r="L17" s="544">
        <f>0.001+0.000001*E17</f>
        <v/>
      </c>
      <c r="M17" s="548">
        <f>H17-E17</f>
        <v/>
      </c>
      <c r="N17" s="548" t="n"/>
      <c r="P17" s="501" t="n"/>
      <c r="Q17" s="501" t="n"/>
      <c r="R17" s="501" t="n"/>
    </row>
    <row r="18">
      <c r="B18" s="553">
        <f>'_calc_Dane'!B19</f>
        <v/>
      </c>
      <c r="C18" s="553">
        <f>'_calc_Dane'!C19</f>
        <v/>
      </c>
      <c r="D18" s="553">
        <f>'_calc_Dane'!D19</f>
        <v/>
      </c>
      <c r="E18" s="542">
        <f>'_calc_Dane'!E19</f>
        <v/>
      </c>
      <c r="F18" s="543">
        <f>'_calc_Dane'!M8-'_calc_Dane'!M7</f>
        <v/>
      </c>
      <c r="G18" s="544">
        <f>'_calc_Dane'!N8-'_calc_Dane'!N7</f>
        <v/>
      </c>
      <c r="H18" s="545">
        <f>SQRT(F18^2+G18^2)</f>
        <v/>
      </c>
      <c r="I18" s="546">
        <f>IF(ATAN2(F18,G18)*200/PI()&lt;0,ATAN2(F18,G18)*200/PI()+400,ATAN2(F18,G18)*200/PI())</f>
        <v/>
      </c>
      <c r="J18" s="547">
        <f>SIN(I18*PI()/200)</f>
        <v/>
      </c>
      <c r="K18" s="543">
        <f>COS(I18*PI()/200)</f>
        <v/>
      </c>
      <c r="L18" s="544">
        <f>0.001+0.000001*E18</f>
        <v/>
      </c>
      <c r="M18" s="548">
        <f>H18-E18</f>
        <v/>
      </c>
      <c r="N18" s="548" t="n"/>
      <c r="P18" s="565" t="n"/>
      <c r="Q18" s="502" t="n"/>
      <c r="R18" s="501" t="n"/>
    </row>
    <row r="19">
      <c r="B19" s="553">
        <f>'_calc_Dane'!B20</f>
        <v/>
      </c>
      <c r="C19" s="553">
        <f>'_calc_Dane'!C20</f>
        <v/>
      </c>
      <c r="D19" s="553">
        <f>'_calc_Dane'!D20</f>
        <v/>
      </c>
      <c r="E19" s="542">
        <f>'_calc_Dane'!E20</f>
        <v/>
      </c>
      <c r="F19" s="543">
        <f>'_calc_Dane'!M9-'_calc_Dane'!M8</f>
        <v/>
      </c>
      <c r="G19" s="544">
        <f>'_calc_Dane'!N9-'_calc_Dane'!N8</f>
        <v/>
      </c>
      <c r="H19" s="545">
        <f>SQRT(F19^2+G19^2)</f>
        <v/>
      </c>
      <c r="I19" s="546">
        <f>IF(ATAN2(F19,G19)*200/PI()&lt;0,ATAN2(F19,G19)*200/PI()+400,ATAN2(F19,G19)*200/PI())</f>
        <v/>
      </c>
      <c r="J19" s="547">
        <f>SIN(I19*PI()/200)</f>
        <v/>
      </c>
      <c r="K19" s="543">
        <f>COS(I19*PI()/200)</f>
        <v/>
      </c>
      <c r="L19" s="544">
        <f>0.001+0.000001*E19</f>
        <v/>
      </c>
      <c r="M19" s="548">
        <f>H19-E19</f>
        <v/>
      </c>
      <c r="N19" s="548" t="n"/>
      <c r="P19" s="501" t="n"/>
      <c r="Q19" s="501" t="n"/>
      <c r="R19" s="501" t="n"/>
    </row>
    <row r="20">
      <c r="B20" s="553">
        <f>'_calc_Dane'!B21</f>
        <v/>
      </c>
      <c r="C20" s="553">
        <f>'_calc_Dane'!C21</f>
        <v/>
      </c>
      <c r="D20" s="553">
        <f>'_calc_Dane'!D21</f>
        <v/>
      </c>
      <c r="E20" s="542">
        <f>'_calc_Dane'!E21</f>
        <v/>
      </c>
      <c r="F20" s="543">
        <f>'_calc_Dane'!M11-'_calc_Dane'!M8</f>
        <v/>
      </c>
      <c r="G20" s="544">
        <f>'_calc_Dane'!N11-'_calc_Dane'!N8</f>
        <v/>
      </c>
      <c r="H20" s="545">
        <f>SQRT(F20^2+G20^2)</f>
        <v/>
      </c>
      <c r="I20" s="546">
        <f>IF(ATAN2(F20,G20)*200/PI()&lt;0,ATAN2(F20,G20)*200/PI()+400)</f>
        <v/>
      </c>
      <c r="J20" s="547">
        <f>SIN(I20*PI()/200)</f>
        <v/>
      </c>
      <c r="K20" s="543">
        <f>COS(I20*PI()/200)</f>
        <v/>
      </c>
      <c r="L20" s="544">
        <f>0.001+0.000001*E20</f>
        <v/>
      </c>
      <c r="M20" s="548">
        <f>H20-E20</f>
        <v/>
      </c>
      <c r="N20" s="548" t="n"/>
    </row>
    <row r="21">
      <c r="B21" s="553">
        <f>'_calc_Dane'!B22</f>
        <v/>
      </c>
      <c r="C21" s="553">
        <f>'_calc_Dane'!C22</f>
        <v/>
      </c>
      <c r="D21" s="553">
        <f>'_calc_Dane'!D22</f>
        <v/>
      </c>
      <c r="E21" s="542">
        <f>'_calc_Dane'!E22</f>
        <v/>
      </c>
      <c r="F21" s="543">
        <f>'_calc_Dane'!M13-'_calc_Dane'!M8</f>
        <v/>
      </c>
      <c r="G21" s="544">
        <f>'_calc_Dane'!N13-'_calc_Dane'!N8</f>
        <v/>
      </c>
      <c r="H21" s="545">
        <f>SQRT(F21^2+G21^2)</f>
        <v/>
      </c>
      <c r="I21" s="546">
        <f>IF(ATAN2(F21,G21)*200/PI()&lt;0,ATAN2(F21,G21)*200/PI()+400)</f>
        <v/>
      </c>
      <c r="J21" s="547">
        <f>SIN(I21*PI()/200)</f>
        <v/>
      </c>
      <c r="K21" s="543">
        <f>COS(I21*PI()/200)</f>
        <v/>
      </c>
      <c r="L21" s="544">
        <f>0.001+0.000001*E21</f>
        <v/>
      </c>
      <c r="M21" s="548">
        <f>H21-E21</f>
        <v/>
      </c>
      <c r="N21" s="548" t="n"/>
    </row>
    <row r="22">
      <c r="B22" s="553">
        <f>'_calc_Dane'!B23</f>
        <v/>
      </c>
      <c r="C22" s="553">
        <f>'_calc_Dane'!C23</f>
        <v/>
      </c>
      <c r="D22" s="553">
        <f>'_calc_Dane'!D23</f>
        <v/>
      </c>
      <c r="E22" s="542">
        <f>'_calc_Dane'!E23</f>
        <v/>
      </c>
      <c r="F22" s="543">
        <f>'_calc_Dane'!M13-'_calc_Dane'!M10</f>
        <v/>
      </c>
      <c r="G22" s="544">
        <f>'_calc_Dane'!N13-'_calc_Dane'!N10</f>
        <v/>
      </c>
      <c r="H22" s="545">
        <f>SQRT(F22^2+G22^2)</f>
        <v/>
      </c>
      <c r="I22" s="546">
        <f>IF(ATAN2(F22,G22)*200/PI()&lt;0,ATAN2(F22,G22)*200/PI()+400)</f>
        <v/>
      </c>
      <c r="J22" s="547">
        <f>SIN(I22*PI()/200)</f>
        <v/>
      </c>
      <c r="K22" s="543">
        <f>COS(I22*PI()/200)</f>
        <v/>
      </c>
      <c r="L22" s="544">
        <f>0.001+0.000001*E22</f>
        <v/>
      </c>
      <c r="M22" s="548">
        <f>H22-E22</f>
        <v/>
      </c>
      <c r="N22" s="548" t="n"/>
    </row>
    <row r="23">
      <c r="B23" s="566">
        <f>'_calc_Dane'!B24</f>
        <v/>
      </c>
      <c r="C23" s="566">
        <f>'_calc_Dane'!C24</f>
        <v/>
      </c>
      <c r="D23" s="566">
        <f>'_calc_Dane'!D24</f>
        <v/>
      </c>
      <c r="E23" s="542">
        <f>'_calc_Dane'!E24</f>
        <v/>
      </c>
      <c r="F23" s="567">
        <f>'_calc_Dane'!M9-'_calc_Dane'!M10</f>
        <v/>
      </c>
      <c r="G23" s="568">
        <f>'_calc_Dane'!N9-'_calc_Dane'!N10</f>
        <v/>
      </c>
      <c r="H23" s="569">
        <f>SQRT(F23^2+G23^2)</f>
        <v/>
      </c>
      <c r="I23" s="570">
        <f>IF(ATAN2(F23,G23)*200/PI()&lt;0,ATAN2(F23,G23)*200/PI()+400)</f>
        <v/>
      </c>
      <c r="J23" s="571">
        <f>SIN(I23*PI()/200)</f>
        <v/>
      </c>
      <c r="K23" s="567">
        <f>COS(I23*PI()/200)</f>
        <v/>
      </c>
      <c r="L23" s="568">
        <f>0.001+0.000001*E23</f>
        <v/>
      </c>
      <c r="M23" s="572">
        <f>H23-E23</f>
        <v/>
      </c>
      <c r="N23" s="572" t="n"/>
    </row>
    <row r="24" ht="15.95" customHeight="1">
      <c r="B24" s="534" t="n"/>
      <c r="C24" s="535" t="n"/>
      <c r="D24" s="535" t="n"/>
      <c r="E24" s="573" t="n"/>
      <c r="F24" s="534" t="n"/>
      <c r="G24" s="536" t="n"/>
      <c r="H24" s="574" t="n"/>
      <c r="I24" s="575" t="n"/>
      <c r="J24" s="530" t="n"/>
      <c r="K24" s="530" t="n"/>
      <c r="L24" s="576" t="n"/>
      <c r="M24" s="577" t="n"/>
      <c r="N24" s="578" t="n"/>
      <c r="O24" s="538" t="n"/>
      <c r="P24" s="539" t="n"/>
      <c r="Q24" s="539" t="n"/>
      <c r="R24" s="537" t="n"/>
      <c r="S24" s="539" t="n"/>
      <c r="T24" s="579" t="n"/>
      <c r="U24" s="534" t="n"/>
      <c r="V24" s="536" t="n"/>
      <c r="W24" s="534" t="n"/>
      <c r="X24" s="536" t="n"/>
      <c r="Y24" s="538" t="n"/>
      <c r="Z24" s="537" t="n"/>
      <c r="AA24" s="538" t="n"/>
    </row>
    <row r="25" ht="18" customHeight="1">
      <c r="B25" s="541" t="inlineStr">
        <is>
          <t>c</t>
        </is>
      </c>
      <c r="C25" s="541" t="inlineStr">
        <is>
          <t>l</t>
        </is>
      </c>
      <c r="D25" s="541" t="inlineStr">
        <is>
          <t>p</t>
        </is>
      </c>
      <c r="E25" s="542" t="inlineStr">
        <is>
          <t>b obs [g]</t>
        </is>
      </c>
      <c r="F25" s="580" t="inlineStr">
        <is>
          <t>∆xcl</t>
        </is>
      </c>
      <c r="G25" s="581" t="inlineStr">
        <is>
          <t>∆ycl</t>
        </is>
      </c>
      <c r="H25" s="580" t="inlineStr">
        <is>
          <t>∆xcp</t>
        </is>
      </c>
      <c r="I25" s="555" t="inlineStr">
        <is>
          <t>∆ycp</t>
        </is>
      </c>
      <c r="J25" s="547" t="inlineStr">
        <is>
          <t>d²cl</t>
        </is>
      </c>
      <c r="K25" s="547" t="inlineStr">
        <is>
          <t>d²cp</t>
        </is>
      </c>
      <c r="L25" s="582" t="inlineStr">
        <is>
          <t>Az cl [g]</t>
        </is>
      </c>
      <c r="M25" s="582" t="inlineStr">
        <is>
          <t>Az cp [g]</t>
        </is>
      </c>
      <c r="N25" s="583" t="inlineStr">
        <is>
          <t>b przyb [g]</t>
        </is>
      </c>
      <c r="O25" s="584" t="inlineStr">
        <is>
          <t>Błąd [cc]</t>
        </is>
      </c>
      <c r="P25" s="585" t="inlineStr">
        <is>
          <t>l [g]</t>
        </is>
      </c>
      <c r="Q25" s="580" t="inlineStr">
        <is>
          <t>Al.</t>
        </is>
      </c>
      <c r="R25" s="555" t="inlineStr">
        <is>
          <t>Bl</t>
        </is>
      </c>
      <c r="S25" s="580" t="inlineStr">
        <is>
          <t>Ap</t>
        </is>
      </c>
      <c r="T25" s="581" t="inlineStr">
        <is>
          <t>Bp</t>
        </is>
      </c>
      <c r="U25" s="543" t="n"/>
      <c r="V25" s="544" t="n"/>
      <c r="W25" s="543" t="n"/>
      <c r="X25" s="544" t="n"/>
      <c r="Y25" s="546" t="n"/>
      <c r="Z25" s="586" t="n"/>
      <c r="AA25" s="548" t="n"/>
    </row>
    <row r="26">
      <c r="B26" s="553">
        <f>'_calc_Dane'!B25</f>
        <v/>
      </c>
      <c r="C26" s="553">
        <f>'_calc_Dane'!C25</f>
        <v/>
      </c>
      <c r="D26" s="553">
        <f>'_calc_Dane'!D25</f>
        <v/>
      </c>
      <c r="E26" s="542">
        <f>'_calc_Dane'!E25</f>
        <v/>
      </c>
      <c r="F26" s="543">
        <f>'_calc_Dane'!M5-'_calc_Dane'!M13</f>
        <v/>
      </c>
      <c r="G26" s="35">
        <f>'_calc_Dane'!N5-'_calc_Dane'!N13</f>
        <v/>
      </c>
      <c r="H26" s="543">
        <f>'_calc_Dane'!M7-'_calc_Dane'!M13</f>
        <v/>
      </c>
      <c r="I26" s="544">
        <f>'_calc_Dane'!N7-'_calc_Dane'!N13</f>
        <v/>
      </c>
      <c r="J26" s="547">
        <f>F26^2+G26^2</f>
        <v/>
      </c>
      <c r="K26" s="547">
        <f>H26^2+I26^2</f>
        <v/>
      </c>
      <c r="L26" s="546">
        <f>IF(ATAN2(F26,G26)*200/PI()&lt;0,ATAN2(F26,G26)*200/PI()+400,ATAN2(F26,G26)*200/PI())</f>
        <v/>
      </c>
      <c r="M26" s="546">
        <f>IF(ATAN2(H26,I26)*200/PI()&lt;0,ATAN2(H26,I26)*200/PI()+400,ATAN2(H26,I26)*200/PI())</f>
        <v/>
      </c>
      <c r="N26" s="548">
        <f>IF(M26-L26&lt;0,M26-L26+400,M26-L26)</f>
        <v/>
      </c>
      <c r="O26" s="587">
        <f>'_calc_Dane'!$M$15</f>
        <v/>
      </c>
      <c r="P26" s="588">
        <f>N26-E26</f>
        <v/>
      </c>
      <c r="Q26" s="543">
        <f>F26/J26*2000000/PI()</f>
        <v/>
      </c>
      <c r="R26" s="544">
        <f>G26/J26*2000000/PI()</f>
        <v/>
      </c>
      <c r="S26" s="543">
        <f>H26/K26*2000000/PI()</f>
        <v/>
      </c>
      <c r="T26" s="61">
        <f>I26/K26*2000000/PI()</f>
        <v/>
      </c>
      <c r="U26" s="543" t="n"/>
      <c r="V26" s="544" t="n"/>
      <c r="W26" s="543" t="n"/>
      <c r="X26" s="544" t="n"/>
      <c r="Y26" s="546" t="n"/>
      <c r="Z26" s="586" t="n"/>
      <c r="AA26" s="548" t="n"/>
    </row>
    <row r="27">
      <c r="B27" s="553">
        <f>'_calc_Dane'!B26</f>
        <v/>
      </c>
      <c r="C27" s="553">
        <f>'_calc_Dane'!C26</f>
        <v/>
      </c>
      <c r="D27" s="553">
        <f>'_calc_Dane'!D26</f>
        <v/>
      </c>
      <c r="E27" s="542">
        <f>'_calc_Dane'!E26</f>
        <v/>
      </c>
      <c r="F27" s="543">
        <f>'_calc_Dane'!M7-'_calc_Dane'!M13</f>
        <v/>
      </c>
      <c r="G27" s="1">
        <f>'_calc_Dane'!N7-'_calc_Dane'!N13</f>
        <v/>
      </c>
      <c r="H27" s="543">
        <f>'_calc_Dane'!M8-'_calc_Dane'!M13</f>
        <v/>
      </c>
      <c r="I27" s="544">
        <f>'_calc_Dane'!N8-'_calc_Dane'!N13</f>
        <v/>
      </c>
      <c r="J27" s="547">
        <f>F27^2+G27^2</f>
        <v/>
      </c>
      <c r="K27" s="547">
        <f>H27^2+I27^2</f>
        <v/>
      </c>
      <c r="L27" s="546">
        <f>IF(ATAN2(F27,G27)*200/PI()&lt;0,ATAN2(F27,G27)*200/PI()+400,ATAN2(F27,G27)*200/PI())</f>
        <v/>
      </c>
      <c r="M27" s="546">
        <f>IF(ATAN2(H27,I27)*200/PI()&lt;0,ATAN2(H27,I27)*200/PI()+400,ATAN2(H27,I27)*200/PI())</f>
        <v/>
      </c>
      <c r="N27" s="548">
        <f>IF(M27-L27&lt;0,M27-L27+400,M27-L27)</f>
        <v/>
      </c>
      <c r="O27" s="587">
        <f>'_calc_Dane'!$M$15</f>
        <v/>
      </c>
      <c r="P27" s="588">
        <f>N27-E27</f>
        <v/>
      </c>
      <c r="Q27" s="543">
        <f>F27/J27*2000000/PI()</f>
        <v/>
      </c>
      <c r="R27" s="544">
        <f>G27/J27*2000000/PI()</f>
        <v/>
      </c>
      <c r="S27" s="543">
        <f>H27/K27*2000000/PI()</f>
        <v/>
      </c>
      <c r="T27" s="12">
        <f>I27/K27*2000000/PI()</f>
        <v/>
      </c>
      <c r="U27" s="543" t="n"/>
      <c r="V27" s="544" t="n"/>
      <c r="W27" s="543" t="n"/>
      <c r="X27" s="544" t="n"/>
      <c r="Y27" s="546" t="n"/>
      <c r="Z27" s="586" t="n"/>
      <c r="AA27" s="548" t="n"/>
    </row>
    <row r="28">
      <c r="B28" s="553">
        <f>'_calc_Dane'!B27</f>
        <v/>
      </c>
      <c r="C28" s="553">
        <f>'_calc_Dane'!C27</f>
        <v/>
      </c>
      <c r="D28" s="553">
        <f>'_calc_Dane'!D27</f>
        <v/>
      </c>
      <c r="E28" s="542">
        <f>'_calc_Dane'!E27</f>
        <v/>
      </c>
      <c r="F28" s="543">
        <f>'_calc_Dane'!M8-'_calc_Dane'!M13</f>
        <v/>
      </c>
      <c r="G28" s="1">
        <f>'_calc_Dane'!N8-'_calc_Dane'!N13</f>
        <v/>
      </c>
      <c r="H28" s="543">
        <f>'_calc_Dane'!M9-'_calc_Dane'!M13</f>
        <v/>
      </c>
      <c r="I28" s="544">
        <f>'_calc_Dane'!N9-'_calc_Dane'!N13</f>
        <v/>
      </c>
      <c r="J28" s="547">
        <f>F28^2+G28^2</f>
        <v/>
      </c>
      <c r="K28" s="547">
        <f>H28^2+I28^2</f>
        <v/>
      </c>
      <c r="L28" s="546">
        <f>IF(ATAN2(F28,G28)*200/PI()&lt;0,ATAN2(F28,G28)*200/PI()+400,ATAN2(F28,G28)*200/PI())</f>
        <v/>
      </c>
      <c r="M28" s="546">
        <f>IF(ATAN2(H28,I28)*200/PI()&lt;0,ATAN2(H28,I28)*200/PI()+400,ATAN2(H28,I28)*200/PI())</f>
        <v/>
      </c>
      <c r="N28" s="548">
        <f>IF(M28-L28&lt;0,M28-L28+400,M28-L28)</f>
        <v/>
      </c>
      <c r="O28" s="587">
        <f>'_calc_Dane'!$M$15</f>
        <v/>
      </c>
      <c r="P28" s="588">
        <f>N28-E28</f>
        <v/>
      </c>
      <c r="Q28" s="543">
        <f>F28/J28*2000000/PI()</f>
        <v/>
      </c>
      <c r="R28" s="544">
        <f>G28/J28*2000000/PI()</f>
        <v/>
      </c>
      <c r="S28" s="543">
        <f>H28/K28*2000000/PI()</f>
        <v/>
      </c>
      <c r="T28" s="12">
        <f>I28/K28*2000000/PI()</f>
        <v/>
      </c>
      <c r="U28" s="543" t="n"/>
      <c r="V28" s="544" t="n"/>
      <c r="W28" s="543" t="n"/>
      <c r="X28" s="544" t="n"/>
      <c r="Y28" s="546" t="n"/>
      <c r="Z28" s="586" t="n"/>
      <c r="AA28" s="548" t="n"/>
    </row>
    <row r="29">
      <c r="B29" s="553">
        <f>'_calc_Dane'!B28</f>
        <v/>
      </c>
      <c r="C29" s="553">
        <f>'_calc_Dane'!C28</f>
        <v/>
      </c>
      <c r="D29" s="553">
        <f>'_calc_Dane'!D28</f>
        <v/>
      </c>
      <c r="E29" s="542">
        <f>'_calc_Dane'!E28</f>
        <v/>
      </c>
      <c r="F29" s="543">
        <f>'_calc_Dane'!M9-'_calc_Dane'!M13</f>
        <v/>
      </c>
      <c r="G29" s="1">
        <f>'_calc_Dane'!N9-'_calc_Dane'!N13</f>
        <v/>
      </c>
      <c r="H29" s="543">
        <f>'_calc_Dane'!M11-'_calc_Dane'!M13</f>
        <v/>
      </c>
      <c r="I29" s="544">
        <f>'_calc_Dane'!N11-'_calc_Dane'!N13</f>
        <v/>
      </c>
      <c r="J29" s="547">
        <f>F29^2+G29^2</f>
        <v/>
      </c>
      <c r="K29" s="547">
        <f>H29^2+I29^2</f>
        <v/>
      </c>
      <c r="L29" s="546">
        <f>IF(ATAN2(F29,G29)*200/PI()&lt;0,ATAN2(F29,G29)*200/PI()+400,ATAN2(F29,G29)*200/PI())</f>
        <v/>
      </c>
      <c r="M29" s="546">
        <f>IF(ATAN2(H29,I29)*200/PI()&lt;0,ATAN2(H29,I29)*200/PI()+400,ATAN2(H29,I29)*200/PI())</f>
        <v/>
      </c>
      <c r="N29" s="548">
        <f>IF(M29-L29&lt;0,M29-L29+400,M29-L29)</f>
        <v/>
      </c>
      <c r="O29" s="587">
        <f>'_calc_Dane'!$M$15</f>
        <v/>
      </c>
      <c r="P29" s="588">
        <f>N29-E29</f>
        <v/>
      </c>
      <c r="Q29" s="543">
        <f>F29/J29*2000000/PI()</f>
        <v/>
      </c>
      <c r="R29" s="544">
        <f>G29/J29*2000000/PI()</f>
        <v/>
      </c>
      <c r="S29" s="543">
        <f>H29/K29*2000000/PI()</f>
        <v/>
      </c>
      <c r="T29" s="12">
        <f>I29/K29*2000000/PI()</f>
        <v/>
      </c>
      <c r="U29" s="543" t="n"/>
      <c r="V29" s="544" t="n"/>
      <c r="W29" s="543" t="n"/>
      <c r="X29" s="544" t="n"/>
      <c r="Y29" s="546" t="n"/>
      <c r="Z29" s="586" t="n"/>
      <c r="AA29" s="548" t="n"/>
    </row>
    <row r="30">
      <c r="B30" s="553">
        <f>'_calc_Dane'!B29</f>
        <v/>
      </c>
      <c r="C30" s="553">
        <f>'_calc_Dane'!C29</f>
        <v/>
      </c>
      <c r="D30" s="553">
        <f>'_calc_Dane'!D29</f>
        <v/>
      </c>
      <c r="E30" s="542">
        <f>'_calc_Dane'!E29</f>
        <v/>
      </c>
      <c r="F30" s="543">
        <f>'_calc_Dane'!M11-'_calc_Dane'!M13</f>
        <v/>
      </c>
      <c r="G30" s="1">
        <f>'_calc_Dane'!N11-'_calc_Dane'!N13</f>
        <v/>
      </c>
      <c r="H30" s="543">
        <f>'_calc_Dane'!M12-'_calc_Dane'!M13</f>
        <v/>
      </c>
      <c r="I30" s="544">
        <f>'_calc_Dane'!N12-'_calc_Dane'!N13</f>
        <v/>
      </c>
      <c r="J30" s="547">
        <f>F30^2+G30^2</f>
        <v/>
      </c>
      <c r="K30" s="547">
        <f>H30^2+I30^2</f>
        <v/>
      </c>
      <c r="L30" s="546">
        <f>IF(ATAN2(F30,G30)*200/PI()&lt;0,ATAN2(F30,G30)*200/PI()+400,ATAN2(F30,G30)*200/PI())</f>
        <v/>
      </c>
      <c r="M30" s="546">
        <f>IF(ATAN2(H30,I30)*200/PI()&lt;0,ATAN2(H30,I30)*200/PI()+400,ATAN2(H30,I30)*200/PI())</f>
        <v/>
      </c>
      <c r="N30" s="548">
        <f>IF(M30-L30&lt;0,M30-L30+400,M30-L30)</f>
        <v/>
      </c>
      <c r="O30" s="587">
        <f>'_calc_Dane'!$M$15</f>
        <v/>
      </c>
      <c r="P30" s="588">
        <f>N30-E30</f>
        <v/>
      </c>
      <c r="Q30" s="543">
        <f>F30/J30*2000000/PI()</f>
        <v/>
      </c>
      <c r="R30" s="544">
        <f>G30/J30*2000000/PI()</f>
        <v/>
      </c>
      <c r="S30" s="543">
        <f>H30/K30*2000000/PI()</f>
        <v/>
      </c>
      <c r="T30" s="12">
        <f>I30/K30*2000000/PI()</f>
        <v/>
      </c>
      <c r="U30" s="543" t="n"/>
      <c r="V30" s="544" t="n"/>
      <c r="W30" s="543" t="n"/>
      <c r="X30" s="544" t="n"/>
      <c r="Y30" s="546" t="n"/>
      <c r="Z30" s="586" t="n"/>
      <c r="AA30" s="548" t="n"/>
    </row>
    <row r="31">
      <c r="B31" s="553">
        <f>'_calc_Dane'!B30</f>
        <v/>
      </c>
      <c r="C31" s="553">
        <f>'_calc_Dane'!C30</f>
        <v/>
      </c>
      <c r="D31" s="553">
        <f>'_calc_Dane'!D30</f>
        <v/>
      </c>
      <c r="E31" s="542">
        <f>'_calc_Dane'!E30</f>
        <v/>
      </c>
      <c r="F31" s="543">
        <f>'_calc_Dane'!M12-'_calc_Dane'!M13</f>
        <v/>
      </c>
      <c r="G31" s="1">
        <f>'_calc_Dane'!N12-'_calc_Dane'!N13</f>
        <v/>
      </c>
      <c r="H31" s="543">
        <f>'_calc_Dane'!M5-'_calc_Dane'!M13</f>
        <v/>
      </c>
      <c r="I31" s="544">
        <f>'_calc_Dane'!N5-'_calc_Dane'!N13</f>
        <v/>
      </c>
      <c r="J31" s="547">
        <f>F31^2+G31^2</f>
        <v/>
      </c>
      <c r="K31" s="547">
        <f>H31^2+I31^2</f>
        <v/>
      </c>
      <c r="L31" s="546">
        <f>IF(ATAN2(F31,G31)*200/PI()&lt;0,ATAN2(F31,G31)*200/PI()+400,ATAN2(F31,G31)*200/PI())</f>
        <v/>
      </c>
      <c r="M31" s="546">
        <f>IF(ATAN2(H31,I31)*200/PI()&lt;0,ATAN2(H31,I31)*200/PI()+400,ATAN2(H31,I31)*200/PI())</f>
        <v/>
      </c>
      <c r="N31" s="548">
        <f>IF(M31-L31&lt;0,M31-L31+400,M31-L31)</f>
        <v/>
      </c>
      <c r="O31" s="587">
        <f>'_calc_Dane'!$M$15</f>
        <v/>
      </c>
      <c r="P31" s="588">
        <f>N31-E31</f>
        <v/>
      </c>
      <c r="Q31" s="543">
        <f>F31/J31*2000000/PI()</f>
        <v/>
      </c>
      <c r="R31" s="544">
        <f>G31/J31*2000000/PI()</f>
        <v/>
      </c>
      <c r="S31" s="543">
        <f>H31/K31*2000000/PI()</f>
        <v/>
      </c>
      <c r="T31" s="12">
        <f>I31/K31*2000000/PI()</f>
        <v/>
      </c>
      <c r="U31" s="543" t="n"/>
      <c r="V31" s="544" t="n"/>
      <c r="W31" s="543" t="n"/>
      <c r="X31" s="544" t="n"/>
      <c r="Y31" s="546" t="n"/>
      <c r="Z31" s="586" t="n"/>
      <c r="AA31" s="548" t="n"/>
    </row>
    <row r="32">
      <c r="B32" s="553">
        <f>'_calc_Dane'!B31</f>
        <v/>
      </c>
      <c r="C32" s="553">
        <f>'_calc_Dane'!C31</f>
        <v/>
      </c>
      <c r="D32" s="553">
        <f>'_calc_Dane'!D31</f>
        <v/>
      </c>
      <c r="E32" s="542">
        <f>'_calc_Dane'!E31</f>
        <v/>
      </c>
      <c r="F32" s="543">
        <f>'_calc_Dane'!M12-'_calc_Dane'!M10</f>
        <v/>
      </c>
      <c r="G32" s="1">
        <f>'_calc_Dane'!N12-'_calc_Dane'!N10</f>
        <v/>
      </c>
      <c r="H32" s="543">
        <f>'_calc_Dane'!M11-'_calc_Dane'!M10</f>
        <v/>
      </c>
      <c r="I32" s="544">
        <f>'_calc_Dane'!N11-'_calc_Dane'!N10</f>
        <v/>
      </c>
      <c r="J32" s="547">
        <f>F32^2+G32^2</f>
        <v/>
      </c>
      <c r="K32" s="547">
        <f>H32^2+I32^2</f>
        <v/>
      </c>
      <c r="L32" s="546">
        <f>IF(ATAN2(F32,G32)*200/PI()&lt;0,ATAN2(F32,G32)*200/PI()+400,ATAN2(F32,G32)*200/PI())</f>
        <v/>
      </c>
      <c r="M32" s="546">
        <f>IF(ATAN2(H32,I32)*200/PI()&lt;0,ATAN2(H32,I32)*200/PI()+400,ATAN2(H32,I32)*200/PI())</f>
        <v/>
      </c>
      <c r="N32" s="548">
        <f>IF(M32-L32&lt;0,M32-L32+400,M32-L32)</f>
        <v/>
      </c>
      <c r="O32" s="587">
        <f>'_calc_Dane'!$M$15</f>
        <v/>
      </c>
      <c r="P32" s="588">
        <f>N32-E32</f>
        <v/>
      </c>
      <c r="Q32" s="543">
        <f>F32/J32*2000000/PI()</f>
        <v/>
      </c>
      <c r="R32" s="544">
        <f>G32/J32*2000000/PI()</f>
        <v/>
      </c>
      <c r="S32" s="543">
        <f>H32/K32*2000000/PI()</f>
        <v/>
      </c>
      <c r="T32" s="12">
        <f>I32/K32*2000000/PI()</f>
        <v/>
      </c>
      <c r="U32" s="543" t="n"/>
      <c r="V32" s="544" t="n"/>
      <c r="W32" s="543" t="n"/>
      <c r="X32" s="544" t="n"/>
      <c r="Y32" s="546" t="n"/>
      <c r="Z32" s="586" t="n"/>
      <c r="AA32" s="548" t="n"/>
    </row>
    <row r="33">
      <c r="B33" s="553">
        <f>'_calc_Dane'!B32</f>
        <v/>
      </c>
      <c r="C33" s="553">
        <f>'_calc_Dane'!C32</f>
        <v/>
      </c>
      <c r="D33" s="553">
        <f>'_calc_Dane'!D32</f>
        <v/>
      </c>
      <c r="E33" s="542">
        <f>'_calc_Dane'!E32</f>
        <v/>
      </c>
      <c r="F33" s="543">
        <f>'_calc_Dane'!M11-'_calc_Dane'!M10</f>
        <v/>
      </c>
      <c r="G33" s="1">
        <f>'_calc_Dane'!N11-'_calc_Dane'!N10</f>
        <v/>
      </c>
      <c r="H33" s="543">
        <f>'_calc_Dane'!M13-'_calc_Dane'!M10</f>
        <v/>
      </c>
      <c r="I33" s="544">
        <f>'_calc_Dane'!N13-'_calc_Dane'!N10</f>
        <v/>
      </c>
      <c r="J33" s="547">
        <f>F33^2+G33^2</f>
        <v/>
      </c>
      <c r="K33" s="547">
        <f>H33^2+I33^2</f>
        <v/>
      </c>
      <c r="L33" s="546">
        <f>IF(ATAN2(F33,G33)*200/PI()&lt;0,ATAN2(F33,G33)*200/PI()+400,ATAN2(F33,G33)*200/PI())</f>
        <v/>
      </c>
      <c r="M33" s="546">
        <f>IF(ATAN2(H33,I33)*200/PI()&lt;0,ATAN2(H33,I33)*200/PI()+400,ATAN2(H33,I33)*200/PI())</f>
        <v/>
      </c>
      <c r="N33" s="548">
        <f>IF(M33-L33&lt;0,M33-L33+400,M33-L33)</f>
        <v/>
      </c>
      <c r="O33" s="587">
        <f>'_calc_Dane'!$M$15</f>
        <v/>
      </c>
      <c r="P33" s="588">
        <f>N33-E33</f>
        <v/>
      </c>
      <c r="Q33" s="543">
        <f>F33/J33*2000000/PI()</f>
        <v/>
      </c>
      <c r="R33" s="544">
        <f>G33/J33*2000000/PI()</f>
        <v/>
      </c>
      <c r="S33" s="543">
        <f>H33/K33*2000000/PI()</f>
        <v/>
      </c>
      <c r="T33" s="12">
        <f>I33/K33*2000000/PI()</f>
        <v/>
      </c>
      <c r="U33" s="543" t="n"/>
      <c r="V33" s="544" t="n"/>
      <c r="W33" s="543" t="n"/>
      <c r="X33" s="544" t="n"/>
      <c r="Y33" s="546" t="n"/>
      <c r="Z33" s="586" t="n"/>
      <c r="AA33" s="548" t="n"/>
    </row>
    <row r="34">
      <c r="B34" s="553">
        <f>'_calc_Dane'!B33</f>
        <v/>
      </c>
      <c r="C34" s="553">
        <f>'_calc_Dane'!C33</f>
        <v/>
      </c>
      <c r="D34" s="553">
        <f>'_calc_Dane'!D33</f>
        <v/>
      </c>
      <c r="E34" s="542">
        <f>'_calc_Dane'!E33</f>
        <v/>
      </c>
      <c r="F34" s="543">
        <f>'_calc_Dane'!M13-'_calc_Dane'!M10</f>
        <v/>
      </c>
      <c r="G34" s="1">
        <f>'_calc_Dane'!N13-'_calc_Dane'!N10</f>
        <v/>
      </c>
      <c r="H34" s="543">
        <f>'_calc_Dane'!M9-'_calc_Dane'!M10</f>
        <v/>
      </c>
      <c r="I34" s="544">
        <f>'_calc_Dane'!N9-'_calc_Dane'!N10</f>
        <v/>
      </c>
      <c r="J34" s="547">
        <f>F34^2+G34^2</f>
        <v/>
      </c>
      <c r="K34" s="547">
        <f>H34^2+I34^2</f>
        <v/>
      </c>
      <c r="L34" s="546">
        <f>IF(ATAN2(F34,G34)*200/PI()&lt;0,ATAN2(F34,G34)*200/PI()+400,ATAN2(F34,G34)*200/PI())</f>
        <v/>
      </c>
      <c r="M34" s="546">
        <f>IF(ATAN2(H34,I34)*200/PI()&lt;0,ATAN2(H34,I34)*200/PI()+400,ATAN2(H34,I34)*200/PI())</f>
        <v/>
      </c>
      <c r="N34" s="548">
        <f>IF(M34-L34&lt;0,M34-L34+400,M34-L34)</f>
        <v/>
      </c>
      <c r="O34" s="587">
        <f>'_calc_Dane'!$M$15</f>
        <v/>
      </c>
      <c r="P34" s="588">
        <f>N34-E34</f>
        <v/>
      </c>
      <c r="Q34" s="543">
        <f>F34/J34*2000000/PI()</f>
        <v/>
      </c>
      <c r="R34" s="544">
        <f>G34/J34*2000000/PI()</f>
        <v/>
      </c>
      <c r="S34" s="543">
        <f>H34/K34*2000000/PI()</f>
        <v/>
      </c>
      <c r="T34" s="12">
        <f>I34/K34*2000000/PI()</f>
        <v/>
      </c>
      <c r="U34" s="543" t="n"/>
      <c r="V34" s="544" t="n"/>
      <c r="W34" s="543" t="n"/>
      <c r="X34" s="544" t="n"/>
      <c r="Y34" s="546" t="n"/>
      <c r="Z34" s="586" t="n"/>
      <c r="AA34" s="548" t="n"/>
    </row>
    <row r="35">
      <c r="B35" s="553">
        <f>'_calc_Dane'!B34</f>
        <v/>
      </c>
      <c r="C35" s="553">
        <f>'_calc_Dane'!C34</f>
        <v/>
      </c>
      <c r="D35" s="553">
        <f>'_calc_Dane'!D34</f>
        <v/>
      </c>
      <c r="E35" s="542">
        <f>'_calc_Dane'!E34</f>
        <v/>
      </c>
      <c r="F35" s="543">
        <f>'_calc_Dane'!M10-'_calc_Dane'!M9</f>
        <v/>
      </c>
      <c r="G35" s="1">
        <f>'_calc_Dane'!N10-'_calc_Dane'!N9</f>
        <v/>
      </c>
      <c r="H35" s="543">
        <f>'_calc_Dane'!M11-'_calc_Dane'!M9</f>
        <v/>
      </c>
      <c r="I35" s="544">
        <f>'_calc_Dane'!N11-'_calc_Dane'!N9</f>
        <v/>
      </c>
      <c r="J35" s="547">
        <f>F35^2+G35^2</f>
        <v/>
      </c>
      <c r="K35" s="547">
        <f>H35^2+I35^2</f>
        <v/>
      </c>
      <c r="L35" s="546">
        <f>IF(ATAN2(F35,G35)*200/PI()&lt;0,ATAN2(F35,G35)*200/PI()+400,ATAN2(F35,G35)*200/PI())</f>
        <v/>
      </c>
      <c r="M35" s="546">
        <f>IF(ATAN2(H35,I35)*200/PI()&lt;0,ATAN2(H35,I35)*200/PI()+400,ATAN2(H35,I35)*200/PI())</f>
        <v/>
      </c>
      <c r="N35" s="548">
        <f>IF(M35-L35&lt;0,M35-L35+400,M35-L35)</f>
        <v/>
      </c>
      <c r="O35" s="587">
        <f>'_calc_Dane'!$M$15</f>
        <v/>
      </c>
      <c r="P35" s="588">
        <f>N35-E35</f>
        <v/>
      </c>
      <c r="Q35" s="543">
        <f>F35/J35*2000000/PI()</f>
        <v/>
      </c>
      <c r="R35" s="544">
        <f>G35/J35*2000000/PI()</f>
        <v/>
      </c>
      <c r="S35" s="543">
        <f>H35/K35*2000000/PI()</f>
        <v/>
      </c>
      <c r="T35" s="12">
        <f>I35/K35*2000000/PI()</f>
        <v/>
      </c>
      <c r="U35" s="543" t="n"/>
      <c r="V35" s="544" t="n"/>
      <c r="W35" s="543" t="n"/>
      <c r="X35" s="544" t="n"/>
      <c r="Y35" s="546" t="n"/>
      <c r="Z35" s="586" t="n"/>
      <c r="AA35" s="548" t="n"/>
    </row>
    <row r="36">
      <c r="B36" s="566">
        <f>'_calc_Dane'!B35</f>
        <v/>
      </c>
      <c r="C36" s="566">
        <f>'_calc_Dane'!C35</f>
        <v/>
      </c>
      <c r="D36" s="566">
        <f>'_calc_Dane'!D35</f>
        <v/>
      </c>
      <c r="E36" s="589">
        <f>'_calc_Dane'!E35</f>
        <v/>
      </c>
      <c r="F36" s="567">
        <f>'_calc_Dane'!M11-'_calc_Dane'!M9</f>
        <v/>
      </c>
      <c r="G36" s="590">
        <f>'_calc_Dane'!N11-'_calc_Dane'!N9</f>
        <v/>
      </c>
      <c r="H36" s="567">
        <f>'_calc_Dane'!M13-'_calc_Dane'!M9</f>
        <v/>
      </c>
      <c r="I36" s="568">
        <f>'_calc_Dane'!N13-'_calc_Dane'!N9</f>
        <v/>
      </c>
      <c r="J36" s="571">
        <f>F36^2+G36^2</f>
        <v/>
      </c>
      <c r="K36" s="571">
        <f>H36^2+I36^2</f>
        <v/>
      </c>
      <c r="L36" s="570">
        <f>IF(ATAN2(F36,G36)*200/PI()&lt;0,ATAN2(F36,G36)*200/PI()+400,ATAN2(F36,G36)*200/PI())</f>
        <v/>
      </c>
      <c r="M36" s="570">
        <f>IF(ATAN2(H36,I36)*200/PI()&lt;0,ATAN2(H36,I36)*200/PI()+400,ATAN2(H36,I36)*200/PI())</f>
        <v/>
      </c>
      <c r="N36" s="572">
        <f>IF(M36-L36&lt;0,M36-L36+400,M36-L36)</f>
        <v/>
      </c>
      <c r="O36" s="591">
        <f>'_calc_Dane'!$M$15</f>
        <v/>
      </c>
      <c r="P36" s="592">
        <f>N36-E36</f>
        <v/>
      </c>
      <c r="Q36" s="567">
        <f>F36/J36*2000000/PI()</f>
        <v/>
      </c>
      <c r="R36" s="568">
        <f>G36/J36*2000000/PI()</f>
        <v/>
      </c>
      <c r="S36" s="567">
        <f>H36/K36*2000000/PI()</f>
        <v/>
      </c>
      <c r="T36" s="590">
        <f>I36/K36*2000000/PI()</f>
        <v/>
      </c>
      <c r="U36" s="567" t="n"/>
      <c r="V36" s="568" t="n"/>
      <c r="W36" s="567" t="n"/>
      <c r="X36" s="568" t="n"/>
      <c r="Y36" s="570" t="n"/>
      <c r="Z36" s="593" t="n"/>
      <c r="AA36" s="572" t="n"/>
    </row>
    <row r="37">
      <c r="B37" s="46">
        <f>'_calc_Dane'!B36</f>
        <v/>
      </c>
      <c r="C37" s="47">
        <f>'_calc_Dane'!C36</f>
        <v/>
      </c>
      <c r="D37" s="14">
        <f>'_calc_Dane'!D36</f>
        <v/>
      </c>
      <c r="E37" s="14">
        <f>'_calc_Dane'!E36</f>
        <v/>
      </c>
      <c r="F37" s="14">
        <f>'_calc_Dane'!M13-'_calc_Dane'!M9</f>
        <v/>
      </c>
      <c r="G37" s="14">
        <f>'_calc_Dane'!N13-'_calc_Dane'!N9</f>
        <v/>
      </c>
      <c r="H37" s="14">
        <f>'_calc_Dane'!M8-'_calc_Dane'!M9</f>
        <v/>
      </c>
      <c r="I37" s="14">
        <f>'_calc_Dane'!N8-'_calc_Dane'!N9</f>
        <v/>
      </c>
      <c r="J37" s="14">
        <f>F37^2+G37^2</f>
        <v/>
      </c>
      <c r="K37" s="14">
        <f>H37^2+I37^2</f>
        <v/>
      </c>
      <c r="L37" s="14">
        <f>IF(ATAN2(F37,G37)*200/PI()&lt;0,ATAN2(F37,G37)*200/PI()+400,ATAN2(F37,G37)*200/PI())</f>
        <v/>
      </c>
      <c r="M37" s="14">
        <f>IF(ATAN2(H37,I37)*200/PI()&lt;0,ATAN2(H37,I37)*200/PI()+400,ATAN2(H37,I37)*200/PI())</f>
        <v/>
      </c>
      <c r="N37" s="14">
        <f>IF(M37-L37&lt;0,M37-L37+400,M37-L37)</f>
        <v/>
      </c>
      <c r="O37" s="14">
        <f>'_calc_Dane'!$M$15</f>
        <v/>
      </c>
      <c r="P37" s="594">
        <f>N37-E37</f>
        <v/>
      </c>
      <c r="Q37" s="14">
        <f>F37/J37*2000000/PI()</f>
        <v/>
      </c>
      <c r="R37" s="14">
        <f>G37/J37*2000000/PI()</f>
        <v/>
      </c>
      <c r="S37" s="14">
        <f>H37/K37*2000000/PI()</f>
        <v/>
      </c>
      <c r="T37" s="15">
        <f>I37/K37*2000000/PI()</f>
        <v/>
      </c>
    </row>
    <row r="38"/>
    <row r="39" ht="15.95" customHeight="1">
      <c r="B39" s="595" t="inlineStr">
        <is>
          <t>a</t>
        </is>
      </c>
      <c r="C39" s="596" t="n"/>
      <c r="D39" s="596" t="n"/>
      <c r="E39" s="596" t="n"/>
      <c r="F39" s="596" t="n"/>
      <c r="G39" s="596" t="n"/>
      <c r="H39" s="596" t="n"/>
      <c r="I39" s="596" t="n"/>
      <c r="J39" s="596" t="n"/>
      <c r="K39" s="596" t="n"/>
      <c r="L39" s="596" t="n"/>
      <c r="M39" s="596" t="n"/>
      <c r="N39" s="596" t="n"/>
      <c r="O39" s="596" t="n"/>
      <c r="P39" s="596" t="n"/>
      <c r="Q39" s="597" t="n"/>
      <c r="S39" s="595" t="inlineStr">
        <is>
          <t>l [m/cc]</t>
        </is>
      </c>
    </row>
    <row r="40" ht="18" customHeight="1">
      <c r="B40" s="598" t="inlineStr">
        <is>
          <t>dx</t>
        </is>
      </c>
      <c r="C40" s="599" t="inlineStr">
        <is>
          <t>dy</t>
        </is>
      </c>
      <c r="D40" s="599" t="inlineStr">
        <is>
          <t>dx</t>
        </is>
      </c>
      <c r="E40" s="599" t="inlineStr">
        <is>
          <t>dy</t>
        </is>
      </c>
      <c r="F40" s="599" t="inlineStr">
        <is>
          <t>dx</t>
        </is>
      </c>
      <c r="G40" s="599" t="inlineStr">
        <is>
          <t>dy</t>
        </is>
      </c>
      <c r="H40" s="599" t="inlineStr">
        <is>
          <t>dx</t>
        </is>
      </c>
      <c r="I40" s="599" t="inlineStr">
        <is>
          <t>dy</t>
        </is>
      </c>
      <c r="J40" s="599" t="inlineStr">
        <is>
          <t>dx</t>
        </is>
      </c>
      <c r="K40" s="599" t="inlineStr">
        <is>
          <t>dy</t>
        </is>
      </c>
      <c r="L40" s="599" t="inlineStr">
        <is>
          <t>dx</t>
        </is>
      </c>
      <c r="M40" s="599" t="inlineStr">
        <is>
          <t>dy</t>
        </is>
      </c>
      <c r="N40" s="599" t="inlineStr">
        <is>
          <t>dx</t>
        </is>
      </c>
      <c r="O40" s="599" t="inlineStr">
        <is>
          <t>dy</t>
        </is>
      </c>
      <c r="P40" s="599" t="inlineStr">
        <is>
          <t>dx</t>
        </is>
      </c>
      <c r="Q40" s="600" t="inlineStr">
        <is>
          <t>dy</t>
        </is>
      </c>
      <c r="S40" s="601" t="n"/>
    </row>
    <row r="41" ht="15.75" customHeight="1">
      <c r="B41" s="602" t="n">
        <v>1</v>
      </c>
      <c r="C41" s="603" t="n">
        <v>1</v>
      </c>
      <c r="D41" s="603" t="n">
        <v>3</v>
      </c>
      <c r="E41" s="603" t="n">
        <v>3</v>
      </c>
      <c r="F41" s="603" t="n">
        <v>4</v>
      </c>
      <c r="G41" s="603" t="n">
        <v>4</v>
      </c>
      <c r="H41" s="603" t="n">
        <v>5</v>
      </c>
      <c r="I41" s="603" t="n">
        <v>5</v>
      </c>
      <c r="J41" s="603" t="n">
        <v>6</v>
      </c>
      <c r="K41" s="603" t="n">
        <v>6</v>
      </c>
      <c r="L41" s="603" t="n">
        <v>7</v>
      </c>
      <c r="M41" s="603" t="n">
        <v>7</v>
      </c>
      <c r="N41" s="603" t="n">
        <v>8</v>
      </c>
      <c r="O41" s="603" t="n">
        <v>8</v>
      </c>
      <c r="P41" s="603" t="n">
        <v>9</v>
      </c>
      <c r="Q41" s="604" t="n">
        <v>9</v>
      </c>
      <c r="R41" s="605" t="n"/>
      <c r="S41" s="606" t="n"/>
      <c r="T41" s="607" t="n"/>
    </row>
    <row r="42">
      <c r="B42" s="608">
        <f>IF(B$41=$B4,IF(B$40="dx",-$K4,-$J4),IF(B$41=$C4,IF(B$40="dx",$K4,$J4),0))</f>
        <v/>
      </c>
      <c r="C42" s="609">
        <f>IF(C$41=$B4,IF(C$40="dx",-$K4,-$J4),IF(C$41=$C4,IF(C$40="dx",$K4,$J4),0))</f>
        <v/>
      </c>
      <c r="D42" s="609">
        <f>IF(D$41=$B4,IF(D$40="dx",-$K4,-$J4),IF(D$41=$C4,IF(D$40="dx",$K4,$J4),0))</f>
        <v/>
      </c>
      <c r="E42" s="609">
        <f>IF(E$41=$B4,IF(E$40="dx",-$K4,-$J4),IF(E$41=$C4,IF(E$40="dx",$K4,$J4),0))</f>
        <v/>
      </c>
      <c r="F42" s="609">
        <f>IF(F$41=$B4,IF(F$40="dx",-$K4,-$J4),IF(F$41=$C4,IF(F$40="dx",$K4,$J4),0))</f>
        <v/>
      </c>
      <c r="G42" s="609">
        <f>IF(G$41=$B4,IF(G$40="dx",-$K4,-$J4),IF(G$41=$C4,IF(G$40="dx",$K4,$J4),0))</f>
        <v/>
      </c>
      <c r="H42" s="610">
        <f>IF(H$41=$B4,IF(H$40="dx",-$K4,-$J4),IF(H$41=$C4,IF(H$40="dx",$K4,$J4),0))</f>
        <v/>
      </c>
      <c r="I42" s="610">
        <f>IF(I$41=$B4,IF(I$40="dx",-$K4,-$J4),IF(I$41=$C4,IF(I$40="dx",$K4,$J4),0))</f>
        <v/>
      </c>
      <c r="J42" s="609">
        <f>IF(J$41=$B4,IF(J$40="dx",-$K4,-$J4),IF(J$41=$C4,IF(J$40="dx",$K4,$J4),0))</f>
        <v/>
      </c>
      <c r="K42" s="609">
        <f>IF(K$41=$B4,IF(K$40="dx",-$K4,-$J4),IF(K$41=$C4,IF(K$40="dx",$K4,$J4),0))</f>
        <v/>
      </c>
      <c r="L42" s="609">
        <f>IF(L$41=$B4,IF(L$40="dx",-$K4,-$J4),IF(L$41=$C4,IF(L$40="dx",$K4,$J4),0))</f>
        <v/>
      </c>
      <c r="M42" s="609">
        <f>IF(M$41=$B4,IF(M$40="dx",-$K4,-$J4),IF(M$41=$C4,IF(M$40="dx",$K4,$J4),0))</f>
        <v/>
      </c>
      <c r="N42" s="609">
        <f>IF(N$41=$B4,IF(N$40="dx",-$K4,-$J4),IF(N$41=$C4,IF(N$40="dx",$K4,$J4),0))</f>
        <v/>
      </c>
      <c r="O42" s="609">
        <f>IF(O$41=$B4,IF(O$40="dx",-$K4,-$J4),IF(O$41=$C4,IF(O$40="dx",$K4,$J4),0))</f>
        <v/>
      </c>
      <c r="P42" s="609">
        <f>IF(P$41=$B4,IF(P$40="dx",-$K4,-$J4),IF(P$41=$C4,IF(P$40="dx",$K4,$J4),0))</f>
        <v/>
      </c>
      <c r="Q42" s="611">
        <f>IF(Q$41=$B4,IF(Q$40="dx",-$K4,-$J4),IF(Q$41=$C4,IF(Q$40="dx",$K4,$J4),0))</f>
        <v/>
      </c>
      <c r="R42" s="568" t="n"/>
      <c r="S42" s="72">
        <f>M4</f>
        <v/>
      </c>
      <c r="T42" s="571" t="n"/>
    </row>
    <row r="43">
      <c r="A43" s="612" t="n"/>
      <c r="B43" s="613">
        <f>IF(B$41=$B5,IF(B$40="dx",-$K5,-$J5),IF(B$41=$C5,IF(B$40="dx",$K5,$J5),0))</f>
        <v/>
      </c>
      <c r="C43" s="614">
        <f>IF(C$41=$B5,IF(C$40="dx",-$K5,-$J5),IF(C$41=$C5,IF(C$40="dx",$K5,$J5),0))</f>
        <v/>
      </c>
      <c r="D43" s="614">
        <f>IF(D$41=$B5,IF(D$40="dx",-$K5,-$J5),IF(D$41=$C5,IF(D$40="dx",$K5,$J5),0))</f>
        <v/>
      </c>
      <c r="E43" s="614">
        <f>IF(E$41=$B5,IF(E$40="dx",-$K5,-$J5),IF(E$41=$C5,IF(E$40="dx",$K5,$J5),0))</f>
        <v/>
      </c>
      <c r="F43" s="614">
        <f>IF(F$41=$B5,IF(F$40="dx",-$K5,-$J5),IF(F$41=$C5,IF(F$40="dx",$K5,$J5),0))</f>
        <v/>
      </c>
      <c r="G43" s="614">
        <f>IF(G$41=$B5,IF(G$40="dx",-$K5,-$J5),IF(G$41=$C5,IF(G$40="dx",$K5,$J5),0))</f>
        <v/>
      </c>
      <c r="H43" s="614">
        <f>IF(H$41=$B5,IF(H$40="dx",-$K5,-$J5),IF(H$41=$C5,IF(H$40="dx",$K5,$J5),0))</f>
        <v/>
      </c>
      <c r="I43" s="614">
        <f>IF(I$41=$B5,IF(I$40="dx",-$K5,-$J5),IF(I$41=$C5,IF(I$40="dx",$K5,$J5),0))</f>
        <v/>
      </c>
      <c r="J43" s="614">
        <f>IF(J$41=$B5,IF(J$40="dx",-$K5,-$J5),IF(J$41=$C5,IF(J$40="dx",$K5,$J5),0))</f>
        <v/>
      </c>
      <c r="K43" s="614">
        <f>IF(K$41=$B5,IF(K$40="dx",-$K5,-$J5),IF(K$41=$C5,IF(K$40="dx",$K5,$J5),0))</f>
        <v/>
      </c>
      <c r="L43" s="614">
        <f>IF(L$41=$B5,IF(L$40="dx",-$K5,-$J5),IF(L$41=$C5,IF(L$40="dx",$K5,$J5),0))</f>
        <v/>
      </c>
      <c r="M43" s="614">
        <f>IF(M$41=$B5,IF(M$40="dx",-$K5,-$J5),IF(M$41=$C5,IF(M$40="dx",$K5,$J5),0))</f>
        <v/>
      </c>
      <c r="N43" s="614">
        <f>IF(N$41=$B5,IF(N$40="dx",-$K5,-$J5),IF(N$41=$C5,IF(N$40="dx",$K5,$J5),0))</f>
        <v/>
      </c>
      <c r="O43" s="614">
        <f>IF(O$41=$B5,IF(O$40="dx",-$K5,-$J5),IF(O$41=$C5,IF(O$40="dx",$K5,$J5),0))</f>
        <v/>
      </c>
      <c r="P43" s="614">
        <f>IF(P$41=$B5,IF(P$40="dx",-$K5,-$J5),IF(P$41=$C5,IF(P$40="dx",$K5,$J5),0))</f>
        <v/>
      </c>
      <c r="Q43" s="615">
        <f>IF(Q$41=$B5,IF(Q$40="dx",-$K5,-$J5),IF(Q$41=$C5,IF(Q$40="dx",$K5,$J5),0))</f>
        <v/>
      </c>
      <c r="R43" s="616" t="n"/>
      <c r="S43" s="72">
        <f>M5</f>
        <v/>
      </c>
      <c r="T43" s="617" t="n"/>
    </row>
    <row r="44">
      <c r="A44" s="612" t="n"/>
      <c r="B44" s="618">
        <f>IF(B$41=$B6,IF(B$40="dx",-$K6,-$J6),IF(B$41=$C6,IF(B$40="dx",$K6,$J6),0))</f>
        <v/>
      </c>
      <c r="C44" s="552">
        <f>IF(C$41=$B6,IF(C$40="dx",-$K6,-$J6),IF(C$41=$C6,IF(C$40="dx",$K6,$J6),0))</f>
        <v/>
      </c>
      <c r="D44" s="552">
        <f>IF(D$41=$B6,IF(D$40="dx",-$K6,-$J6),IF(D$41=$C6,IF(D$40="dx",$K6,$J6),0))</f>
        <v/>
      </c>
      <c r="E44" s="552">
        <f>IF(E$41=$B6,IF(E$40="dx",-$K6,-$J6),IF(E$41=$C6,IF(E$40="dx",$K6,$J6),0))</f>
        <v/>
      </c>
      <c r="F44" s="552">
        <f>IF(F$41=$B6,IF(F$40="dx",-$K6,-$J6),IF(F$41=$C6,IF(F$40="dx",$K6,$J6),0))</f>
        <v/>
      </c>
      <c r="G44" s="552">
        <f>IF(G$41=$B6,IF(G$40="dx",-$K6,-$J6),IF(G$41=$C6,IF(G$40="dx",$K6,$J6),0))</f>
        <v/>
      </c>
      <c r="H44" s="552">
        <f>IF(H$41=$B6,IF(H$40="dx",-$K6,-$J6),IF(H$41=$C6,IF(H$40="dx",$K6,$J6),0))</f>
        <v/>
      </c>
      <c r="I44" s="552">
        <f>IF(I$41=$B6,IF(I$40="dx",-$K6,-$J6),IF(I$41=$C6,IF(I$40="dx",$K6,$J6),0))</f>
        <v/>
      </c>
      <c r="J44" s="552">
        <f>IF(J$41=$B6,IF(J$40="dx",-$K6,-$J6),IF(J$41=$C6,IF(J$40="dx",$K6,$J6),0))</f>
        <v/>
      </c>
      <c r="K44" s="552">
        <f>IF(K$41=$B6,IF(K$40="dx",-$K6,-$J6),IF(K$41=$C6,IF(K$40="dx",$K6,$J6),0))</f>
        <v/>
      </c>
      <c r="L44" s="552">
        <f>IF(L$41=$B6,IF(L$40="dx",-$K6,-$J6),IF(L$41=$C6,IF(L$40="dx",$K6,$J6),0))</f>
        <v/>
      </c>
      <c r="M44" s="552">
        <f>IF(M$41=$B6,IF(M$40="dx",-$K6,-$J6),IF(M$41=$C6,IF(M$40="dx",$K6,$J6),0))</f>
        <v/>
      </c>
      <c r="N44" s="552">
        <f>IF(N$41=$B6,IF(N$40="dx",-$K6,-$J6),IF(N$41=$C6,IF(N$40="dx",$K6,$J6),0))</f>
        <v/>
      </c>
      <c r="O44" s="552">
        <f>IF(O$41=$B6,IF(O$40="dx",-$K6,-$J6),IF(O$41=$C6,IF(O$40="dx",$K6,$J6),0))</f>
        <v/>
      </c>
      <c r="P44" s="552">
        <f>IF(P$41=$B6,IF(P$40="dx",-$K6,-$J6),IF(P$41=$C6,IF(P$40="dx",$K6,$J6),0))</f>
        <v/>
      </c>
      <c r="Q44" s="619">
        <f>IF(Q$41=$B6,IF(Q$40="dx",-$K6,-$J6),IF(Q$41=$C6,IF(Q$40="dx",$K6,$J6),0))</f>
        <v/>
      </c>
      <c r="R44" s="620" t="n"/>
      <c r="S44" s="72">
        <f>M6</f>
        <v/>
      </c>
      <c r="T44" s="542" t="n"/>
    </row>
    <row r="45">
      <c r="A45" s="612" t="n"/>
      <c r="B45" s="618">
        <f>IF(B$41=$B7,IF(B$40="dx",-$K7,-$J7),IF(B$41=$C7,IF(B$40="dx",$K7,$J7),0))</f>
        <v/>
      </c>
      <c r="C45" s="552">
        <f>IF(C$41=$B7,IF(C$40="dx",-$K7,-$J7),IF(C$41=$C7,IF(C$40="dx",$K7,$J7),0))</f>
        <v/>
      </c>
      <c r="D45" s="552">
        <f>IF(D$41=$B7,IF(D$40="dx",-$K7,-$J7),IF(D$41=$C7,IF(D$40="dx",$K7,$J7),0))</f>
        <v/>
      </c>
      <c r="E45" s="552">
        <f>IF(E$41=$B7,IF(E$40="dx",-$K7,-$J7),IF(E$41=$C7,IF(E$40="dx",$K7,$J7),0))</f>
        <v/>
      </c>
      <c r="F45" s="552">
        <f>IF(F$41=$B7,IF(F$40="dx",-$K7,-$J7),IF(F$41=$C7,IF(F$40="dx",$K7,$J7),0))</f>
        <v/>
      </c>
      <c r="G45" s="552">
        <f>IF(G$41=$B7,IF(G$40="dx",-$K7,-$J7),IF(G$41=$C7,IF(G$40="dx",$K7,$J7),0))</f>
        <v/>
      </c>
      <c r="H45" s="552">
        <f>IF(H$41=$B7,IF(H$40="dx",-$K7,-$J7),IF(H$41=$C7,IF(H$40="dx",$K7,$J7),0))</f>
        <v/>
      </c>
      <c r="I45" s="552">
        <f>IF(I$41=$B7,IF(I$40="dx",-$K7,-$J7),IF(I$41=$C7,IF(I$40="dx",$K7,$J7),0))</f>
        <v/>
      </c>
      <c r="J45" s="552">
        <f>IF(J$41=$B7,IF(J$40="dx",-$K7,-$J7),IF(J$41=$C7,IF(J$40="dx",$K7,$J7),0))</f>
        <v/>
      </c>
      <c r="K45" s="552">
        <f>IF(K$41=$B7,IF(K$40="dx",-$K7,-$J7),IF(K$41=$C7,IF(K$40="dx",$K7,$J7),0))</f>
        <v/>
      </c>
      <c r="L45" s="552">
        <f>IF(L$41=$B7,IF(L$40="dx",-$K7,-$J7),IF(L$41=$C7,IF(L$40="dx",$K7,$J7),0))</f>
        <v/>
      </c>
      <c r="M45" s="552">
        <f>IF(M$41=$B7,IF(M$40="dx",-$K7,-$J7),IF(M$41=$C7,IF(M$40="dx",$K7,$J7),0))</f>
        <v/>
      </c>
      <c r="N45" s="552">
        <f>IF(N$41=$B7,IF(N$40="dx",-$K7,-$J7),IF(N$41=$C7,IF(N$40="dx",$K7,$J7),0))</f>
        <v/>
      </c>
      <c r="O45" s="552">
        <f>IF(O$41=$B7,IF(O$40="dx",-$K7,-$J7),IF(O$41=$C7,IF(O$40="dx",$K7,$J7),0))</f>
        <v/>
      </c>
      <c r="P45" s="552">
        <f>IF(P$41=$B7,IF(P$40="dx",-$K7,-$J7),IF(P$41=$C7,IF(P$40="dx",$K7,$J7),0))</f>
        <v/>
      </c>
      <c r="Q45" s="619">
        <f>IF(Q$41=$B7,IF(Q$40="dx",-$K7,-$J7),IF(Q$41=$C7,IF(Q$40="dx",$K7,$J7),0))</f>
        <v/>
      </c>
      <c r="R45" s="620" t="n"/>
      <c r="S45" s="72">
        <f>M7</f>
        <v/>
      </c>
      <c r="T45" s="542" t="n"/>
    </row>
    <row r="46">
      <c r="A46" s="612" t="n"/>
      <c r="B46" s="618">
        <f>IF(B$41=$B8,IF(B$40="dx",-$K8,-$J8),IF(B$41=$C8,IF(B$40="dx",$K8,$J8),0))</f>
        <v/>
      </c>
      <c r="C46" s="552">
        <f>IF(C$41=$B8,IF(C$40="dx",-$K8,-$J8),IF(C$41=$C8,IF(C$40="dx",$K8,$J8),0))</f>
        <v/>
      </c>
      <c r="D46" s="552">
        <f>IF(D$41=$B8,IF(D$40="dx",-$K8,-$J8),IF(D$41=$C8,IF(D$40="dx",$K8,$J8),0))</f>
        <v/>
      </c>
      <c r="E46" s="552">
        <f>IF(E$41=$B8,IF(E$40="dx",-$K8,-$J8),IF(E$41=$C8,IF(E$40="dx",$K8,$J8),0))</f>
        <v/>
      </c>
      <c r="F46" s="552">
        <f>IF(F$41=$B8,IF(F$40="dx",-$K8,-$J8),IF(F$41=$C8,IF(F$40="dx",$K8,$J8),0))</f>
        <v/>
      </c>
      <c r="G46" s="552">
        <f>IF(G$41=$B8,IF(G$40="dx",-$K8,-$J8),IF(G$41=$C8,IF(G$40="dx",$K8,$J8),0))</f>
        <v/>
      </c>
      <c r="H46" s="552">
        <f>IF(H$41=$B8,IF(H$40="dx",-$K8,-$J8),IF(H$41=$C8,IF(H$40="dx",$K8,$J8),0))</f>
        <v/>
      </c>
      <c r="I46" s="552">
        <f>IF(I$41=$B8,IF(I$40="dx",-$K8,-$J8),IF(I$41=$C8,IF(I$40="dx",$K8,$J8),0))</f>
        <v/>
      </c>
      <c r="J46" s="552">
        <f>IF(J$41=$B8,IF(J$40="dx",-$K8,-$J8),IF(J$41=$C8,IF(J$40="dx",$K8,$J8),0))</f>
        <v/>
      </c>
      <c r="K46" s="552">
        <f>IF(K$41=$B8,IF(K$40="dx",-$K8,-$J8),IF(K$41=$C8,IF(K$40="dx",$K8,$J8),0))</f>
        <v/>
      </c>
      <c r="L46" s="552">
        <f>IF(L$41=$B8,IF(L$40="dx",-$K8,-$J8),IF(L$41=$C8,IF(L$40="dx",$K8,$J8),0))</f>
        <v/>
      </c>
      <c r="M46" s="552">
        <f>IF(M$41=$B8,IF(M$40="dx",-$K8,-$J8),IF(M$41=$C8,IF(M$40="dx",$K8,$J8),0))</f>
        <v/>
      </c>
      <c r="N46" s="552">
        <f>IF(N$41=$B8,IF(N$40="dx",-$K8,-$J8),IF(N$41=$C8,IF(N$40="dx",$K8,$J8),0))</f>
        <v/>
      </c>
      <c r="O46" s="552">
        <f>IF(O$41=$B8,IF(O$40="dx",-$K8,-$J8),IF(O$41=$C8,IF(O$40="dx",$K8,$J8),0))</f>
        <v/>
      </c>
      <c r="P46" s="552">
        <f>IF(P$41=$B8,IF(P$40="dx",-$K8,-$J8),IF(P$41=$C8,IF(P$40="dx",$K8,$J8),0))</f>
        <v/>
      </c>
      <c r="Q46" s="619">
        <f>IF(Q$41=$B8,IF(Q$40="dx",-$K8,-$J8),IF(Q$41=$C8,IF(Q$40="dx",$K8,$J8),0))</f>
        <v/>
      </c>
      <c r="R46" s="620" t="n"/>
      <c r="S46" s="72">
        <f>M8</f>
        <v/>
      </c>
      <c r="T46" s="542" t="n"/>
    </row>
    <row r="47">
      <c r="A47" s="612" t="n"/>
      <c r="B47" s="618">
        <f>IF(B$41=$B9,IF(B$40="dx",-$K9,-$J9),IF(B$41=$C9,IF(B$40="dx",$K9,$J9),0))</f>
        <v/>
      </c>
      <c r="C47" s="552">
        <f>IF(C$41=$B9,IF(C$40="dx",-$K9,-$J9),IF(C$41=$C9,IF(C$40="dx",$K9,$J9),0))</f>
        <v/>
      </c>
      <c r="D47" s="552">
        <f>IF(D$41=$B9,IF(D$40="dx",-$K9,-$J9),IF(D$41=$C9,IF(D$40="dx",$K9,$J9),0))</f>
        <v/>
      </c>
      <c r="E47" s="552">
        <f>IF(E$41=$B9,IF(E$40="dx",-$K9,-$J9),IF(E$41=$C9,IF(E$40="dx",$K9,$J9),0))</f>
        <v/>
      </c>
      <c r="F47" s="552">
        <f>IF(F$41=$B9,IF(F$40="dx",-$K9,-$J9),IF(F$41=$C9,IF(F$40="dx",$K9,$J9),0))</f>
        <v/>
      </c>
      <c r="G47" s="552">
        <f>IF(G$41=$B9,IF(G$40="dx",-$K9,-$J9),IF(G$41=$C9,IF(G$40="dx",$K9,$J9),0))</f>
        <v/>
      </c>
      <c r="H47" s="552">
        <f>IF(H$41=$B9,IF(H$40="dx",-$K9,-$J9),IF(H$41=$C9,IF(H$40="dx",$K9,$J9),0))</f>
        <v/>
      </c>
      <c r="I47" s="552">
        <f>IF(I$41=$B9,IF(I$40="dx",-$K9,-$J9),IF(I$41=$C9,IF(I$40="dx",$K9,$J9),0))</f>
        <v/>
      </c>
      <c r="J47" s="552">
        <f>IF(J$41=$B9,IF(J$40="dx",-$K9,-$J9),IF(J$41=$C9,IF(J$40="dx",$K9,$J9),0))</f>
        <v/>
      </c>
      <c r="K47" s="552">
        <f>IF(K$41=$B9,IF(K$40="dx",-$K9,-$J9),IF(K$41=$C9,IF(K$40="dx",$K9,$J9),0))</f>
        <v/>
      </c>
      <c r="L47" s="552">
        <f>IF(L$41=$B9,IF(L$40="dx",-$K9,-$J9),IF(L$41=$C9,IF(L$40="dx",$K9,$J9),0))</f>
        <v/>
      </c>
      <c r="M47" s="552">
        <f>IF(M$41=$B9,IF(M$40="dx",-$K9,-$J9),IF(M$41=$C9,IF(M$40="dx",$K9,$J9),0))</f>
        <v/>
      </c>
      <c r="N47" s="552">
        <f>IF(N$41=$B9,IF(N$40="dx",-$K9,-$J9),IF(N$41=$C9,IF(N$40="dx",$K9,$J9),0))</f>
        <v/>
      </c>
      <c r="O47" s="552">
        <f>IF(O$41=$B9,IF(O$40="dx",-$K9,-$J9),IF(O$41=$C9,IF(O$40="dx",$K9,$J9),0))</f>
        <v/>
      </c>
      <c r="P47" s="552">
        <f>IF(P$41=$B9,IF(P$40="dx",-$K9,-$J9),IF(P$41=$C9,IF(P$40="dx",$K9,$J9),0))</f>
        <v/>
      </c>
      <c r="Q47" s="619">
        <f>IF(Q$41=$B9,IF(Q$40="dx",-$K9,-$J9),IF(Q$41=$C9,IF(Q$40="dx",$K9,$J9),0))</f>
        <v/>
      </c>
      <c r="R47" s="620" t="n"/>
      <c r="S47" s="72">
        <f>M9</f>
        <v/>
      </c>
      <c r="T47" s="542" t="n"/>
    </row>
    <row r="48">
      <c r="A48" s="612" t="n"/>
      <c r="B48" s="618">
        <f>IF(B$41=$B10,IF(B$40="dx",-$K10,-$J10),IF(B$41=$C10,IF(B$40="dx",$K10,$J10),0))</f>
        <v/>
      </c>
      <c r="C48" s="552">
        <f>IF(C$41=$B10,IF(C$40="dx",-$K10,-$J10),IF(C$41=$C10,IF(C$40="dx",$K10,$J10),0))</f>
        <v/>
      </c>
      <c r="D48" s="552">
        <f>IF(D$41=$B10,IF(D$40="dx",-$K10,-$J10),IF(D$41=$C10,IF(D$40="dx",$K10,$J10),0))</f>
        <v/>
      </c>
      <c r="E48" s="552">
        <f>IF(E$41=$B10,IF(E$40="dx",-$K10,-$J10),IF(E$41=$C10,IF(E$40="dx",$K10,$J10),0))</f>
        <v/>
      </c>
      <c r="F48" s="552">
        <f>IF(F$41=$B10,IF(F$40="dx",-$K10,-$J10),IF(F$41=$C10,IF(F$40="dx",$K10,$J10),0))</f>
        <v/>
      </c>
      <c r="G48" s="552">
        <f>IF(G$41=$B10,IF(G$40="dx",-$K10,-$J10),IF(G$41=$C10,IF(G$40="dx",$K10,$J10),0))</f>
        <v/>
      </c>
      <c r="H48" s="552">
        <f>IF(H$41=$B10,IF(H$40="dx",-$K10,-$J10),IF(H$41=$C10,IF(H$40="dx",$K10,$J10),0))</f>
        <v/>
      </c>
      <c r="I48" s="552">
        <f>IF(I$41=$B10,IF(I$40="dx",-$K10,-$J10),IF(I$41=$C10,IF(I$40="dx",$K10,$J10),0))</f>
        <v/>
      </c>
      <c r="J48" s="552">
        <f>IF(J$41=$B10,IF(J$40="dx",-$K10,-$J10),IF(J$41=$C10,IF(J$40="dx",$K10,$J10),0))</f>
        <v/>
      </c>
      <c r="K48" s="552">
        <f>IF(K$41=$B10,IF(K$40="dx",-$K10,-$J10),IF(K$41=$C10,IF(K$40="dx",$K10,$J10),0))</f>
        <v/>
      </c>
      <c r="L48" s="552">
        <f>IF(L$41=$B10,IF(L$40="dx",-$K10,-$J10),IF(L$41=$C10,IF(L$40="dx",$K10,$J10),0))</f>
        <v/>
      </c>
      <c r="M48" s="552">
        <f>IF(M$41=$B10,IF(M$40="dx",-$K10,-$J10),IF(M$41=$C10,IF(M$40="dx",$K10,$J10),0))</f>
        <v/>
      </c>
      <c r="N48" s="552">
        <f>IF(N$41=$B10,IF(N$40="dx",-$K10,-$J10),IF(N$41=$C10,IF(N$40="dx",$K10,$J10),0))</f>
        <v/>
      </c>
      <c r="O48" s="552">
        <f>IF(O$41=$B10,IF(O$40="dx",-$K10,-$J10),IF(O$41=$C10,IF(O$40="dx",$K10,$J10),0))</f>
        <v/>
      </c>
      <c r="P48" s="552">
        <f>IF(P$41=$B10,IF(P$40="dx",-$K10,-$J10),IF(P$41=$C10,IF(P$40="dx",$K10,$J10),0))</f>
        <v/>
      </c>
      <c r="Q48" s="619">
        <f>IF(Q$41=$B10,IF(Q$40="dx",-$K10,-$J10),IF(Q$41=$C10,IF(Q$40="dx",$K10,$J10),0))</f>
        <v/>
      </c>
      <c r="R48" s="620" t="n"/>
      <c r="S48" s="72">
        <f>M10</f>
        <v/>
      </c>
      <c r="T48" s="542" t="n"/>
    </row>
    <row r="49">
      <c r="A49" s="612" t="n"/>
      <c r="B49" s="618">
        <f>IF(B$41=$B11,IF(B$40="dx",-$K11,-$J11),IF(B$41=$C11,IF(B$40="dx",$K11,$J11),0))</f>
        <v/>
      </c>
      <c r="C49" s="552">
        <f>IF(C$41=$B11,IF(C$40="dx",-$K11,-$J11),IF(C$41=$C11,IF(C$40="dx",$K11,$J11),0))</f>
        <v/>
      </c>
      <c r="D49" s="552">
        <f>IF(D$41=$B11,IF(D$40="dx",-$K11,-$J11),IF(D$41=$C11,IF(D$40="dx",$K11,$J11),0))</f>
        <v/>
      </c>
      <c r="E49" s="552">
        <f>IF(E$41=$B11,IF(E$40="dx",-$K11,-$J11),IF(E$41=$C11,IF(E$40="dx",$K11,$J11),0))</f>
        <v/>
      </c>
      <c r="F49" s="552">
        <f>IF(F$41=$B11,IF(F$40="dx",-$K11,-$J11),IF(F$41=$C11,IF(F$40="dx",$K11,$J11),0))</f>
        <v/>
      </c>
      <c r="G49" s="552">
        <f>IF(G$41=$B11,IF(G$40="dx",-$K11,-$J11),IF(G$41=$C11,IF(G$40="dx",$K11,$J11),0))</f>
        <v/>
      </c>
      <c r="H49" s="552">
        <f>IF(H$41=$B11,IF(H$40="dx",-$K11,-$J11),IF(H$41=$C11,IF(H$40="dx",$K11,$J11),0))</f>
        <v/>
      </c>
      <c r="I49" s="552">
        <f>IF(I$41=$B11,IF(I$40="dx",-$K11,-$J11),IF(I$41=$C11,IF(I$40="dx",$K11,$J11),0))</f>
        <v/>
      </c>
      <c r="J49" s="552">
        <f>IF(J$41=$B11,IF(J$40="dx",-$K11,-$J11),IF(J$41=$C11,IF(J$40="dx",$K11,$J11),0))</f>
        <v/>
      </c>
      <c r="K49" s="552">
        <f>IF(K$41=$B11,IF(K$40="dx",-$K11,-$J11),IF(K$41=$C11,IF(K$40="dx",$K11,$J11),0))</f>
        <v/>
      </c>
      <c r="L49" s="552">
        <f>IF(L$41=$B11,IF(L$40="dx",-$K11,-$J11),IF(L$41=$C11,IF(L$40="dx",$K11,$J11),0))</f>
        <v/>
      </c>
      <c r="M49" s="552">
        <f>IF(M$41=$B11,IF(M$40="dx",-$K11,-$J11),IF(M$41=$C11,IF(M$40="dx",$K11,$J11),0))</f>
        <v/>
      </c>
      <c r="N49" s="552">
        <f>IF(N$41=$B11,IF(N$40="dx",-$K11,-$J11),IF(N$41=$C11,IF(N$40="dx",$K11,$J11),0))</f>
        <v/>
      </c>
      <c r="O49" s="552">
        <f>IF(O$41=$B11,IF(O$40="dx",-$K11,-$J11),IF(O$41=$C11,IF(O$40="dx",$K11,$J11),0))</f>
        <v/>
      </c>
      <c r="P49" s="552">
        <f>IF(P$41=$B11,IF(P$40="dx",-$K11,-$J11),IF(P$41=$C11,IF(P$40="dx",$K11,$J11),0))</f>
        <v/>
      </c>
      <c r="Q49" s="619">
        <f>IF(Q$41=$B11,IF(Q$40="dx",-$K11,-$J11),IF(Q$41=$C11,IF(Q$40="dx",$K11,$J11),0))</f>
        <v/>
      </c>
      <c r="R49" s="620" t="n"/>
      <c r="S49" s="72">
        <f>M11</f>
        <v/>
      </c>
      <c r="T49" s="542" t="n"/>
    </row>
    <row r="50">
      <c r="A50" s="612" t="n"/>
      <c r="B50" s="618">
        <f>IF(B$41=$B12,IF(B$40="dx",-$K12,-$J12),IF(B$41=$C12,IF(B$40="dx",$K12,$J12),0))</f>
        <v/>
      </c>
      <c r="C50" s="552">
        <f>IF(C$41=$B12,IF(C$40="dx",-$K12,-$J12),IF(C$41=$C12,IF(C$40="dx",$K12,$J12),0))</f>
        <v/>
      </c>
      <c r="D50" s="552">
        <f>IF(D$41=$B12,IF(D$40="dx",-$K12,-$J12),IF(D$41=$C12,IF(D$40="dx",$K12,$J12),0))</f>
        <v/>
      </c>
      <c r="E50" s="552">
        <f>IF(E$41=$B12,IF(E$40="dx",-$K12,-$J12),IF(E$41=$C12,IF(E$40="dx",$K12,$J12),0))</f>
        <v/>
      </c>
      <c r="F50" s="552">
        <f>IF(F$41=$B12,IF(F$40="dx",-$K12,-$J12),IF(F$41=$C12,IF(F$40="dx",$K12,$J12),0))</f>
        <v/>
      </c>
      <c r="G50" s="552">
        <f>IF(G$41=$B12,IF(G$40="dx",-$K12,-$J12),IF(G$41=$C12,IF(G$40="dx",$K12,$J12),0))</f>
        <v/>
      </c>
      <c r="H50" s="552">
        <f>IF(H$41=$B12,IF(H$40="dx",-$K12,-$J12),IF(H$41=$C12,IF(H$40="dx",$K12,$J12),0))</f>
        <v/>
      </c>
      <c r="I50" s="552">
        <f>IF(I$41=$B12,IF(I$40="dx",-$K12,-$J12),IF(I$41=$C12,IF(I$40="dx",$K12,$J12),0))</f>
        <v/>
      </c>
      <c r="J50" s="552">
        <f>IF(J$41=$B12,IF(J$40="dx",-$K12,-$J12),IF(J$41=$C12,IF(J$40="dx",$K12,$J12),0))</f>
        <v/>
      </c>
      <c r="K50" s="552">
        <f>IF(K$41=$B12,IF(K$40="dx",-$K12,-$J12),IF(K$41=$C12,IF(K$40="dx",$K12,$J12),0))</f>
        <v/>
      </c>
      <c r="L50" s="552">
        <f>IF(L$41=$B12,IF(L$40="dx",-$K12,-$J12),IF(L$41=$C12,IF(L$40="dx",$K12,$J12),0))</f>
        <v/>
      </c>
      <c r="M50" s="552">
        <f>IF(M$41=$B12,IF(M$40="dx",-$K12,-$J12),IF(M$41=$C12,IF(M$40="dx",$K12,$J12),0))</f>
        <v/>
      </c>
      <c r="N50" s="552">
        <f>IF(N$41=$B12,IF(N$40="dx",-$K12,-$J12),IF(N$41=$C12,IF(N$40="dx",$K12,$J12),0))</f>
        <v/>
      </c>
      <c r="O50" s="552">
        <f>IF(O$41=$B12,IF(O$40="dx",-$K12,-$J12),IF(O$41=$C12,IF(O$40="dx",$K12,$J12),0))</f>
        <v/>
      </c>
      <c r="P50" s="552">
        <f>IF(P$41=$B12,IF(P$40="dx",-$K12,-$J12),IF(P$41=$C12,IF(P$40="dx",$K12,$J12),0))</f>
        <v/>
      </c>
      <c r="Q50" s="619">
        <f>IF(Q$41=$B12,IF(Q$40="dx",-$K12,-$J12),IF(Q$41=$C12,IF(Q$40="dx",$K12,$J12),0))</f>
        <v/>
      </c>
      <c r="R50" s="620" t="n"/>
      <c r="S50" s="72">
        <f>M12</f>
        <v/>
      </c>
      <c r="T50" s="542" t="n"/>
    </row>
    <row r="51">
      <c r="A51" s="612" t="n"/>
      <c r="B51" s="618">
        <f>IF(B$41=$B13,IF(B$40="dx",-$K13,-$J13),IF(B$41=$C13,IF(B$40="dx",$K13,$J13),0))</f>
        <v/>
      </c>
      <c r="C51" s="552">
        <f>IF(C$41=$B13,IF(C$40="dx",-$K13,-$J13),IF(C$41=$C13,IF(C$40="dx",$K13,$J13),0))</f>
        <v/>
      </c>
      <c r="D51" s="552">
        <f>IF(D$41=$B13,IF(D$40="dx",-$K13,-$J13),IF(D$41=$C13,IF(D$40="dx",$K13,$J13),0))</f>
        <v/>
      </c>
      <c r="E51" s="552">
        <f>IF(E$41=$B13,IF(E$40="dx",-$K13,-$J13),IF(E$41=$C13,IF(E$40="dx",$K13,$J13),0))</f>
        <v/>
      </c>
      <c r="F51" s="552">
        <f>IF(F$41=$B13,IF(F$40="dx",-$K13,-$J13),IF(F$41=$C13,IF(F$40="dx",$K13,$J13),0))</f>
        <v/>
      </c>
      <c r="G51" s="552">
        <f>IF(G$41=$B13,IF(G$40="dx",-$K13,-$J13),IF(G$41=$C13,IF(G$40="dx",$K13,$J13),0))</f>
        <v/>
      </c>
      <c r="H51" s="552">
        <f>IF(H$41=$B13,IF(H$40="dx",-$K13,-$J13),IF(H$41=$C13,IF(H$40="dx",$K13,$J13),0))</f>
        <v/>
      </c>
      <c r="I51" s="552">
        <f>IF(I$41=$B13,IF(I$40="dx",-$K13,-$J13),IF(I$41=$C13,IF(I$40="dx",$K13,$J13),0))</f>
        <v/>
      </c>
      <c r="J51" s="552">
        <f>IF(J$41=$B13,IF(J$40="dx",-$K13,-$J13),IF(J$41=$C13,IF(J$40="dx",$K13,$J13),0))</f>
        <v/>
      </c>
      <c r="K51" s="552">
        <f>IF(K$41=$B13,IF(K$40="dx",-$K13,-$J13),IF(K$41=$C13,IF(K$40="dx",$K13,$J13),0))</f>
        <v/>
      </c>
      <c r="L51" s="552">
        <f>IF(L$41=$B13,IF(L$40="dx",-$K13,-$J13),IF(L$41=$C13,IF(L$40="dx",$K13,$J13),0))</f>
        <v/>
      </c>
      <c r="M51" s="552">
        <f>IF(M$41=$B13,IF(M$40="dx",-$K13,-$J13),IF(M$41=$C13,IF(M$40="dx",$K13,$J13),0))</f>
        <v/>
      </c>
      <c r="N51" s="552">
        <f>IF(N$41=$B13,IF(N$40="dx",-$K13,-$J13),IF(N$41=$C13,IF(N$40="dx",$K13,$J13),0))</f>
        <v/>
      </c>
      <c r="O51" s="552">
        <f>IF(O$41=$B13,IF(O$40="dx",-$K13,-$J13),IF(O$41=$C13,IF(O$40="dx",$K13,$J13),0))</f>
        <v/>
      </c>
      <c r="P51" s="552">
        <f>IF(P$41=$B13,IF(P$40="dx",-$K13,-$J13),IF(P$41=$C13,IF(P$40="dx",$K13,$J13),0))</f>
        <v/>
      </c>
      <c r="Q51" s="619">
        <f>IF(Q$41=$B13,IF(Q$40="dx",-$K13,-$J13),IF(Q$41=$C13,IF(Q$40="dx",$K13,$J13),0))</f>
        <v/>
      </c>
      <c r="R51" s="620" t="n"/>
      <c r="S51" s="72">
        <f>M13</f>
        <v/>
      </c>
      <c r="T51" s="542" t="n"/>
    </row>
    <row r="52">
      <c r="A52" s="612" t="n"/>
      <c r="B52" s="618">
        <f>IF(B$41=$B14,IF(B$40="dx",-$K14,-$J14),IF(B$41=$C14,IF(B$40="dx",$K14,$J14),0))</f>
        <v/>
      </c>
      <c r="C52" s="552">
        <f>IF(C$41=$B14,IF(C$40="dx",-$K14,-$J14),IF(C$41=$C14,IF(C$40="dx",$K14,$J14),0))</f>
        <v/>
      </c>
      <c r="D52" s="552">
        <f>IF(D$41=$B14,IF(D$40="dx",-$K14,-$J14),IF(D$41=$C14,IF(D$40="dx",$K14,$J14),0))</f>
        <v/>
      </c>
      <c r="E52" s="552">
        <f>IF(E$41=$B14,IF(E$40="dx",-$K14,-$J14),IF(E$41=$C14,IF(E$40="dx",$K14,$J14),0))</f>
        <v/>
      </c>
      <c r="F52" s="552">
        <f>IF(F$41=$B14,IF(F$40="dx",-$K14,-$J14),IF(F$41=$C14,IF(F$40="dx",$K14,$J14),0))</f>
        <v/>
      </c>
      <c r="G52" s="552">
        <f>IF(G$41=$B14,IF(G$40="dx",-$K14,-$J14),IF(G$41=$C14,IF(G$40="dx",$K14,$J14),0))</f>
        <v/>
      </c>
      <c r="H52" s="552">
        <f>IF(H$41=$B14,IF(H$40="dx",-$K14,-$J14),IF(H$41=$C14,IF(H$40="dx",$K14,$J14),0))</f>
        <v/>
      </c>
      <c r="I52" s="552">
        <f>IF(I$41=$B14,IF(I$40="dx",-$K14,-$J14),IF(I$41=$C14,IF(I$40="dx",$K14,$J14),0))</f>
        <v/>
      </c>
      <c r="J52" s="552">
        <f>IF(J$41=$B14,IF(J$40="dx",-$K14,-$J14),IF(J$41=$C14,IF(J$40="dx",$K14,$J14),0))</f>
        <v/>
      </c>
      <c r="K52" s="552">
        <f>IF(K$41=$B14,IF(K$40="dx",-$K14,-$J14),IF(K$41=$C14,IF(K$40="dx",$K14,$J14),0))</f>
        <v/>
      </c>
      <c r="L52" s="552">
        <f>IF(L$41=$B14,IF(L$40="dx",-$K14,-$J14),IF(L$41=$C14,IF(L$40="dx",$K14,$J14),0))</f>
        <v/>
      </c>
      <c r="M52" s="552">
        <f>IF(M$41=$B14,IF(M$40="dx",-$K14,-$J14),IF(M$41=$C14,IF(M$40="dx",$K14,$J14),0))</f>
        <v/>
      </c>
      <c r="N52" s="552">
        <f>IF(N$41=$B14,IF(N$40="dx",-$K14,-$J14),IF(N$41=$C14,IF(N$40="dx",$K14,$J14),0))</f>
        <v/>
      </c>
      <c r="O52" s="552">
        <f>IF(O$41=$B14,IF(O$40="dx",-$K14,-$J14),IF(O$41=$C14,IF(O$40="dx",$K14,$J14),0))</f>
        <v/>
      </c>
      <c r="P52" s="552">
        <f>IF(P$41=$B14,IF(P$40="dx",-$K14,-$J14),IF(P$41=$C14,IF(P$40="dx",$K14,$J14),0))</f>
        <v/>
      </c>
      <c r="Q52" s="619">
        <f>IF(Q$41=$B14,IF(Q$40="dx",-$K14,-$J14),IF(Q$41=$C14,IF(Q$40="dx",$K14,$J14),0))</f>
        <v/>
      </c>
      <c r="R52" s="620" t="n"/>
      <c r="S52" s="72">
        <f>M14</f>
        <v/>
      </c>
      <c r="T52" s="542" t="n"/>
    </row>
    <row r="53">
      <c r="A53" s="612" t="n"/>
      <c r="B53" s="618">
        <f>IF(B$41=$B15,IF(B$40="dx",-$K15,-$J15),IF(B$41=$C15,IF(B$40="dx",$K15,$J15),0))</f>
        <v/>
      </c>
      <c r="C53" s="552">
        <f>IF(C$41=$B15,IF(C$40="dx",-$K15,-$J15),IF(C$41=$C15,IF(C$40="dx",$K15,$J15),0))</f>
        <v/>
      </c>
      <c r="D53" s="552">
        <f>IF(D$41=$B15,IF(D$40="dx",-$K15,-$J15),IF(D$41=$C15,IF(D$40="dx",$K15,$J15),0))</f>
        <v/>
      </c>
      <c r="E53" s="552">
        <f>IF(E$41=$B15,IF(E$40="dx",-$K15,-$J15),IF(E$41=$C15,IF(E$40="dx",$K15,$J15),0))</f>
        <v/>
      </c>
      <c r="F53" s="552">
        <f>IF(F$41=$B15,IF(F$40="dx",-$K15,-$J15),IF(F$41=$C15,IF(F$40="dx",$K15,$J15),0))</f>
        <v/>
      </c>
      <c r="G53" s="552">
        <f>IF(G$41=$B15,IF(G$40="dx",-$K15,-$J15),IF(G$41=$C15,IF(G$40="dx",$K15,$J15),0))</f>
        <v/>
      </c>
      <c r="H53" s="552">
        <f>IF(H$41=$B15,IF(H$40="dx",-$K15,-$J15),IF(H$41=$C15,IF(H$40="dx",$K15,$J15),0))</f>
        <v/>
      </c>
      <c r="I53" s="552">
        <f>IF(I$41=$B15,IF(I$40="dx",-$K15,-$J15),IF(I$41=$C15,IF(I$40="dx",$K15,$J15),0))</f>
        <v/>
      </c>
      <c r="J53" s="552">
        <f>IF(J$41=$B15,IF(J$40="dx",-$K15,-$J15),IF(J$41=$C15,IF(J$40="dx",$K15,$J15),0))</f>
        <v/>
      </c>
      <c r="K53" s="552">
        <f>IF(K$41=$B15,IF(K$40="dx",-$K15,-$J15),IF(K$41=$C15,IF(K$40="dx",$K15,$J15),0))</f>
        <v/>
      </c>
      <c r="L53" s="552">
        <f>IF(L$41=$B15,IF(L$40="dx",-$K15,-$J15),IF(L$41=$C15,IF(L$40="dx",$K15,$J15),0))</f>
        <v/>
      </c>
      <c r="M53" s="552">
        <f>IF(M$41=$B15,IF(M$40="dx",-$K15,-$J15),IF(M$41=$C15,IF(M$40="dx",$K15,$J15),0))</f>
        <v/>
      </c>
      <c r="N53" s="552">
        <f>IF(N$41=$B15,IF(N$40="dx",-$K15,-$J15),IF(N$41=$C15,IF(N$40="dx",$K15,$J15),0))</f>
        <v/>
      </c>
      <c r="O53" s="552">
        <f>IF(O$41=$B15,IF(O$40="dx",-$K15,-$J15),IF(O$41=$C15,IF(O$40="dx",$K15,$J15),0))</f>
        <v/>
      </c>
      <c r="P53" s="552">
        <f>IF(P$41=$B15,IF(P$40="dx",-$K15,-$J15),IF(P$41=$C15,IF(P$40="dx",$K15,$J15),0))</f>
        <v/>
      </c>
      <c r="Q53" s="619">
        <f>IF(Q$41=$B15,IF(Q$40="dx",-$K15,-$J15),IF(Q$41=$C15,IF(Q$40="dx",$K15,$J15),0))</f>
        <v/>
      </c>
      <c r="R53" s="620" t="n"/>
      <c r="S53" s="72">
        <f>M15</f>
        <v/>
      </c>
      <c r="T53" s="542" t="n"/>
    </row>
    <row r="54">
      <c r="A54" s="612" t="n"/>
      <c r="B54" s="618">
        <f>IF(B$41=$B16,IF(B$40="dx",-$K16,-$J16),IF(B$41=$C16,IF(B$40="dx",$K16,$J16),0))</f>
        <v/>
      </c>
      <c r="C54" s="552">
        <f>IF(C$41=$B16,IF(C$40="dx",-$K16,-$J16),IF(C$41=$C16,IF(C$40="dx",$K16,$J16),0))</f>
        <v/>
      </c>
      <c r="D54" s="552">
        <f>IF(D$41=$B16,IF(D$40="dx",-$K16,-$J16),IF(D$41=$C16,IF(D$40="dx",$K16,$J16),0))</f>
        <v/>
      </c>
      <c r="E54" s="552">
        <f>IF(E$41=$B16,IF(E$40="dx",-$K16,-$J16),IF(E$41=$C16,IF(E$40="dx",$K16,$J16),0))</f>
        <v/>
      </c>
      <c r="F54" s="552">
        <f>IF(F$41=$B16,IF(F$40="dx",-$K16,-$J16),IF(F$41=$C16,IF(F$40="dx",$K16,$J16),0))</f>
        <v/>
      </c>
      <c r="G54" s="552">
        <f>IF(G$41=$B16,IF(G$40="dx",-$K16,-$J16),IF(G$41=$C16,IF(G$40="dx",$K16,$J16),0))</f>
        <v/>
      </c>
      <c r="H54" s="552">
        <f>IF(H$41=$B16,IF(H$40="dx",-$K16,-$J16),IF(H$41=$C16,IF(H$40="dx",$K16,$J16),0))</f>
        <v/>
      </c>
      <c r="I54" s="552">
        <f>IF(I$41=$B16,IF(I$40="dx",-$K16,-$J16),IF(I$41=$C16,IF(I$40="dx",$K16,$J16),0))</f>
        <v/>
      </c>
      <c r="J54" s="552">
        <f>IF(J$41=$B16,IF(J$40="dx",-$K16,-$J16),IF(J$41=$C16,IF(J$40="dx",$K16,$J16),0))</f>
        <v/>
      </c>
      <c r="K54" s="552">
        <f>IF(K$41=$B16,IF(K$40="dx",-$K16,-$J16),IF(K$41=$C16,IF(K$40="dx",$K16,$J16),0))</f>
        <v/>
      </c>
      <c r="L54" s="552">
        <f>IF(L$41=$B16,IF(L$40="dx",-$K16,-$J16),IF(L$41=$C16,IF(L$40="dx",$K16,$J16),0))</f>
        <v/>
      </c>
      <c r="M54" s="552">
        <f>IF(M$41=$B16,IF(M$40="dx",-$K16,-$J16),IF(M$41=$C16,IF(M$40="dx",$K16,$J16),0))</f>
        <v/>
      </c>
      <c r="N54" s="552">
        <f>IF(N$41=$B16,IF(N$40="dx",-$K16,-$J16),IF(N$41=$C16,IF(N$40="dx",$K16,$J16),0))</f>
        <v/>
      </c>
      <c r="O54" s="552">
        <f>IF(O$41=$B16,IF(O$40="dx",-$K16,-$J16),IF(O$41=$C16,IF(O$40="dx",$K16,$J16),0))</f>
        <v/>
      </c>
      <c r="P54" s="552">
        <f>IF(P$41=$B16,IF(P$40="dx",-$K16,-$J16),IF(P$41=$C16,IF(P$40="dx",$K16,$J16),0))</f>
        <v/>
      </c>
      <c r="Q54" s="619">
        <f>IF(Q$41=$B16,IF(Q$40="dx",-$K16,-$J16),IF(Q$41=$C16,IF(Q$40="dx",$K16,$J16),0))</f>
        <v/>
      </c>
      <c r="R54" s="620" t="n"/>
      <c r="S54" s="72">
        <f>M16</f>
        <v/>
      </c>
      <c r="T54" s="542" t="n"/>
    </row>
    <row r="55">
      <c r="A55" s="612" t="n"/>
      <c r="B55" s="618">
        <f>IF(B$41=$B17,IF(B$40="dx",-$K17,-$J17),IF(B$41=$C17,IF(B$40="dx",$K17,$J17),0))</f>
        <v/>
      </c>
      <c r="C55" s="552">
        <f>IF(C$41=$B17,IF(C$40="dx",-$K17,-$J17),IF(C$41=$C17,IF(C$40="dx",$K17,$J17),0))</f>
        <v/>
      </c>
      <c r="D55" s="552">
        <f>IF(D$41=$B17,IF(D$40="dx",-$K17,-$J17),IF(D$41=$C17,IF(D$40="dx",$K17,$J17),0))</f>
        <v/>
      </c>
      <c r="E55" s="552">
        <f>IF(E$41=$B17,IF(E$40="dx",-$K17,-$J17),IF(E$41=$C17,IF(E$40="dx",$K17,$J17),0))</f>
        <v/>
      </c>
      <c r="F55" s="552">
        <f>IF(F$41=$B17,IF(F$40="dx",-$K17,-$J17),IF(F$41=$C17,IF(F$40="dx",$K17,$J17),0))</f>
        <v/>
      </c>
      <c r="G55" s="552">
        <f>IF(G$41=$B17,IF(G$40="dx",-$K17,-$J17),IF(G$41=$C17,IF(G$40="dx",$K17,$J17),0))</f>
        <v/>
      </c>
      <c r="H55" s="552">
        <f>IF(H$41=$B17,IF(H$40="dx",-$K17,-$J17),IF(H$41=$C17,IF(H$40="dx",$K17,$J17),0))</f>
        <v/>
      </c>
      <c r="I55" s="552">
        <f>IF(I$41=$B17,IF(I$40="dx",-$K17,-$J17),IF(I$41=$C17,IF(I$40="dx",$K17,$J17),0))</f>
        <v/>
      </c>
      <c r="J55" s="552">
        <f>IF(J$41=$B17,IF(J$40="dx",-$K17,-$J17),IF(J$41=$C17,IF(J$40="dx",$K17,$J17),0))</f>
        <v/>
      </c>
      <c r="K55" s="552">
        <f>IF(K$41=$B17,IF(K$40="dx",-$K17,-$J17),IF(K$41=$C17,IF(K$40="dx",$K17,$J17),0))</f>
        <v/>
      </c>
      <c r="L55" s="552">
        <f>IF(L$41=$B17,IF(L$40="dx",-$K17,-$J17),IF(L$41=$C17,IF(L$40="dx",$K17,$J17),0))</f>
        <v/>
      </c>
      <c r="M55" s="552">
        <f>IF(M$41=$B17,IF(M$40="dx",-$K17,-$J17),IF(M$41=$C17,IF(M$40="dx",$K17,$J17),0))</f>
        <v/>
      </c>
      <c r="N55" s="552">
        <f>IF(N$41=$B17,IF(N$40="dx",-$K17,-$J17),IF(N$41=$C17,IF(N$40="dx",$K17,$J17),0))</f>
        <v/>
      </c>
      <c r="O55" s="552">
        <f>IF(O$41=$B17,IF(O$40="dx",-$K17,-$J17),IF(O$41=$C17,IF(O$40="dx",$K17,$J17),0))</f>
        <v/>
      </c>
      <c r="P55" s="552">
        <f>IF(P$41=$B17,IF(P$40="dx",-$K17,-$J17),IF(P$41=$C17,IF(P$40="dx",$K17,$J17),0))</f>
        <v/>
      </c>
      <c r="Q55" s="619">
        <f>IF(Q$41=$B17,IF(Q$40="dx",-$K17,-$J17),IF(Q$41=$C17,IF(Q$40="dx",$K17,$J17),0))</f>
        <v/>
      </c>
      <c r="R55" s="620" t="n"/>
      <c r="S55" s="72">
        <f>M17</f>
        <v/>
      </c>
      <c r="T55" s="542" t="n"/>
    </row>
    <row r="56">
      <c r="A56" s="612" t="n"/>
      <c r="B56" s="618">
        <f>IF(B$41=$B18,IF(B$40="dx",-$K18,-$J18),IF(B$41=$C18,IF(B$40="dx",$K18,$J18),0))</f>
        <v/>
      </c>
      <c r="C56" s="552">
        <f>IF(C$41=$B18,IF(C$40="dx",-$K18,-$J18),IF(C$41=$C18,IF(C$40="dx",$K18,$J18),0))</f>
        <v/>
      </c>
      <c r="D56" s="552">
        <f>IF(D$41=$B18,IF(D$40="dx",-$K18,-$J18),IF(D$41=$C18,IF(D$40="dx",$K18,$J18),0))</f>
        <v/>
      </c>
      <c r="E56" s="552">
        <f>IF(E$41=$B18,IF(E$40="dx",-$K18,-$J18),IF(E$41=$C18,IF(E$40="dx",$K18,$J18),0))</f>
        <v/>
      </c>
      <c r="F56" s="552">
        <f>IF(F$41=$B18,IF(F$40="dx",-$K18,-$J18),IF(F$41=$C18,IF(F$40="dx",$K18,$J18),0))</f>
        <v/>
      </c>
      <c r="G56" s="552">
        <f>IF(G$41=$B18,IF(G$40="dx",-$K18,-$J18),IF(G$41=$C18,IF(G$40="dx",$K18,$J18),0))</f>
        <v/>
      </c>
      <c r="H56" s="552">
        <f>IF(H$41=$B18,IF(H$40="dx",-$K18,-$J18),IF(H$41=$C18,IF(H$40="dx",$K18,$J18),0))</f>
        <v/>
      </c>
      <c r="I56" s="552">
        <f>IF(I$41=$B18,IF(I$40="dx",-$K18,-$J18),IF(I$41=$C18,IF(I$40="dx",$K18,$J18),0))</f>
        <v/>
      </c>
      <c r="J56" s="552">
        <f>IF(J$41=$B18,IF(J$40="dx",-$K18,-$J18),IF(J$41=$C18,IF(J$40="dx",$K18,$J18),0))</f>
        <v/>
      </c>
      <c r="K56" s="552">
        <f>IF(K$41=$B18,IF(K$40="dx",-$K18,-$J18),IF(K$41=$C18,IF(K$40="dx",$K18,$J18),0))</f>
        <v/>
      </c>
      <c r="L56" s="552">
        <f>IF(L$41=$B18,IF(L$40="dx",-$K18,-$J18),IF(L$41=$C18,IF(L$40="dx",$K18,$J18),0))</f>
        <v/>
      </c>
      <c r="M56" s="552">
        <f>IF(M$41=$B18,IF(M$40="dx",-$K18,-$J18),IF(M$41=$C18,IF(M$40="dx",$K18,$J18),0))</f>
        <v/>
      </c>
      <c r="N56" s="552">
        <f>IF(N$41=$B18,IF(N$40="dx",-$K18,-$J18),IF(N$41=$C18,IF(N$40="dx",$K18,$J18),0))</f>
        <v/>
      </c>
      <c r="O56" s="552">
        <f>IF(O$41=$B18,IF(O$40="dx",-$K18,-$J18),IF(O$41=$C18,IF(O$40="dx",$K18,$J18),0))</f>
        <v/>
      </c>
      <c r="P56" s="552">
        <f>IF(P$41=$B18,IF(P$40="dx",-$K18,-$J18),IF(P$41=$C18,IF(P$40="dx",$K18,$J18),0))</f>
        <v/>
      </c>
      <c r="Q56" s="619">
        <f>IF(Q$41=$B18,IF(Q$40="dx",-$K18,-$J18),IF(Q$41=$C18,IF(Q$40="dx",$K18,$J18),0))</f>
        <v/>
      </c>
      <c r="R56" s="620" t="n"/>
      <c r="S56" s="72">
        <f>M18</f>
        <v/>
      </c>
      <c r="T56" s="542" t="n"/>
    </row>
    <row r="57">
      <c r="A57" s="612" t="n"/>
      <c r="B57" s="618">
        <f>IF(B$41=$B19,IF(B$40="dx",-$K19,-$J19),IF(B$41=$C19,IF(B$40="dx",$K19,$J19),0))</f>
        <v/>
      </c>
      <c r="C57" s="552">
        <f>IF(C$41=$B19,IF(C$40="dx",-$K19,-$J19),IF(C$41=$C19,IF(C$40="dx",$K19,$J19),0))</f>
        <v/>
      </c>
      <c r="D57" s="552">
        <f>IF(D$41=$B19,IF(D$40="dx",-$K19,-$J19),IF(D$41=$C19,IF(D$40="dx",$K19,$J19),0))</f>
        <v/>
      </c>
      <c r="E57" s="552">
        <f>IF(E$41=$B19,IF(E$40="dx",-$K19,-$J19),IF(E$41=$C19,IF(E$40="dx",$K19,$J19),0))</f>
        <v/>
      </c>
      <c r="F57" s="552">
        <f>IF(F$41=$B19,IF(F$40="dx",-$K19,-$J19),IF(F$41=$C19,IF(F$40="dx",$K19,$J19),0))</f>
        <v/>
      </c>
      <c r="G57" s="552">
        <f>IF(G$41=$B19,IF(G$40="dx",-$K19,-$J19),IF(G$41=$C19,IF(G$40="dx",$K19,$J19),0))</f>
        <v/>
      </c>
      <c r="H57" s="552">
        <f>IF(H$41=$B19,IF(H$40="dx",-$K19,-$J19),IF(H$41=$C19,IF(H$40="dx",$K19,$J19),0))</f>
        <v/>
      </c>
      <c r="I57" s="552">
        <f>IF(I$41=$B19,IF(I$40="dx",-$K19,-$J19),IF(I$41=$C19,IF(I$40="dx",$K19,$J19),0))</f>
        <v/>
      </c>
      <c r="J57" s="552">
        <f>IF(J$41=$B19,IF(J$40="dx",-$K19,-$J19),IF(J$41=$C19,IF(J$40="dx",$K19,$J19),0))</f>
        <v/>
      </c>
      <c r="K57" s="552">
        <f>IF(K$41=$B19,IF(K$40="dx",-$K19,-$J19),IF(K$41=$C19,IF(K$40="dx",$K19,$J19),0))</f>
        <v/>
      </c>
      <c r="L57" s="552">
        <f>IF(L$41=$B19,IF(L$40="dx",-$K19,-$J19),IF(L$41=$C19,IF(L$40="dx",$K19,$J19),0))</f>
        <v/>
      </c>
      <c r="M57" s="552">
        <f>IF(M$41=$B19,IF(M$40="dx",-$K19,-$J19),IF(M$41=$C19,IF(M$40="dx",$K19,$J19),0))</f>
        <v/>
      </c>
      <c r="N57" s="552">
        <f>IF(N$41=$B19,IF(N$40="dx",-$K19,-$J19),IF(N$41=$C19,IF(N$40="dx",$K19,$J19),0))</f>
        <v/>
      </c>
      <c r="O57" s="552">
        <f>IF(O$41=$B19,IF(O$40="dx",-$K19,-$J19),IF(O$41=$C19,IF(O$40="dx",$K19,$J19),0))</f>
        <v/>
      </c>
      <c r="P57" s="552">
        <f>IF(P$41=$B19,IF(P$40="dx",-$K19,-$J19),IF(P$41=$C19,IF(P$40="dx",$K19,$J19),0))</f>
        <v/>
      </c>
      <c r="Q57" s="619">
        <f>IF(Q$41=$B19,IF(Q$40="dx",-$K19,-$J19),IF(Q$41=$C19,IF(Q$40="dx",$K19,$J19),0))</f>
        <v/>
      </c>
      <c r="R57" s="620" t="n"/>
      <c r="S57" s="72">
        <f>M19</f>
        <v/>
      </c>
      <c r="T57" s="542" t="n"/>
    </row>
    <row r="58">
      <c r="A58" s="612" t="n"/>
      <c r="B58" s="618">
        <f>IF(B$41=$B20,IF(B$40="dx",-$K20,-$J20),IF(B$41=$C20,IF(B$40="dx",$K20,$J20),0))</f>
        <v/>
      </c>
      <c r="C58" s="552">
        <f>IF(C$41=$B20,IF(C$40="dx",-$K20,-$J20),IF(C$41=$C20,IF(C$40="dx",$K20,$J20),0))</f>
        <v/>
      </c>
      <c r="D58" s="552">
        <f>IF(D$41=$B20,IF(D$40="dx",-$K20,-$J20),IF(D$41=$C20,IF(D$40="dx",$K20,$J20),0))</f>
        <v/>
      </c>
      <c r="E58" s="552">
        <f>IF(E$41=$B20,IF(E$40="dx",-$K20,-$J20),IF(E$41=$C20,IF(E$40="dx",$K20,$J20),0))</f>
        <v/>
      </c>
      <c r="F58" s="552">
        <f>IF(F$41=$B20,IF(F$40="dx",-$K20,-$J20),IF(F$41=$C20,IF(F$40="dx",$K20,$J20),0))</f>
        <v/>
      </c>
      <c r="G58" s="552">
        <f>IF(G$41=$B20,IF(G$40="dx",-$K20,-$J20),IF(G$41=$C20,IF(G$40="dx",$K20,$J20),0))</f>
        <v/>
      </c>
      <c r="H58" s="552">
        <f>IF(H$41=$B20,IF(H$40="dx",-$K20,-$J20),IF(H$41=$C20,IF(H$40="dx",$K20,$J20),0))</f>
        <v/>
      </c>
      <c r="I58" s="552">
        <f>IF(I$41=$B20,IF(I$40="dx",-$K20,-$J20),IF(I$41=$C20,IF(I$40="dx",$K20,$J20),0))</f>
        <v/>
      </c>
      <c r="J58" s="552">
        <f>IF(J$41=$B20,IF(J$40="dx",-$K20,-$J20),IF(J$41=$C20,IF(J$40="dx",$K20,$J20),0))</f>
        <v/>
      </c>
      <c r="K58" s="552">
        <f>IF(K$41=$B20,IF(K$40="dx",-$K20,-$J20),IF(K$41=$C20,IF(K$40="dx",$K20,$J20),0))</f>
        <v/>
      </c>
      <c r="L58" s="552">
        <f>IF(L$41=$B20,IF(L$40="dx",-$K20,-$J20),IF(L$41=$C20,IF(L$40="dx",$K20,$J20),0))</f>
        <v/>
      </c>
      <c r="M58" s="552">
        <f>IF(M$41=$B20,IF(M$40="dx",-$K20,-$J20),IF(M$41=$C20,IF(M$40="dx",$K20,$J20),0))</f>
        <v/>
      </c>
      <c r="N58" s="552">
        <f>IF(N$41=$B20,IF(N$40="dx",-$K20,-$J20),IF(N$41=$C20,IF(N$40="dx",$K20,$J20),0))</f>
        <v/>
      </c>
      <c r="O58" s="552">
        <f>IF(O$41=$B20,IF(O$40="dx",-$K20,-$J20),IF(O$41=$C20,IF(O$40="dx",$K20,$J20),0))</f>
        <v/>
      </c>
      <c r="P58" s="552">
        <f>IF(P$41=$B20,IF(P$40="dx",-$K20,-$J20),IF(P$41=$C20,IF(P$40="dx",$K20,$J20),0))</f>
        <v/>
      </c>
      <c r="Q58" s="619">
        <f>IF(Q$41=$B20,IF(Q$40="dx",-$K20,-$J20),IF(Q$41=$C20,IF(Q$40="dx",$K20,$J20),0))</f>
        <v/>
      </c>
      <c r="R58" s="620" t="n"/>
      <c r="S58" s="72">
        <f>M20</f>
        <v/>
      </c>
      <c r="T58" s="542" t="n"/>
    </row>
    <row r="59">
      <c r="A59" s="612" t="n"/>
      <c r="B59" s="618">
        <f>IF(B$41=$B21,IF(B$40="dx",-$K21,-$J21),IF(B$41=$C21,IF(B$40="dx",$K21,$J21),0))</f>
        <v/>
      </c>
      <c r="C59" s="552">
        <f>IF(C$41=$B21,IF(C$40="dx",-$K21,-$J21),IF(C$41=$C21,IF(C$40="dx",$K21,$J21),0))</f>
        <v/>
      </c>
      <c r="D59" s="552">
        <f>IF(D$41=$B21,IF(D$40="dx",-$K21,-$J21),IF(D$41=$C21,IF(D$40="dx",$K21,$J21),0))</f>
        <v/>
      </c>
      <c r="E59" s="552">
        <f>IF(E$41=$B21,IF(E$40="dx",-$K21,-$J21),IF(E$41=$C21,IF(E$40="dx",$K21,$J21),0))</f>
        <v/>
      </c>
      <c r="F59" s="552">
        <f>IF(F$41=$B21,IF(F$40="dx",-$K21,-$J21),IF(F$41=$C21,IF(F$40="dx",$K21,$J21),0))</f>
        <v/>
      </c>
      <c r="G59" s="552">
        <f>IF(G$41=$B21,IF(G$40="dx",-$K21,-$J21),IF(G$41=$C21,IF(G$40="dx",$K21,$J21),0))</f>
        <v/>
      </c>
      <c r="H59" s="552">
        <f>IF(H$41=$B21,IF(H$40="dx",-$K21,-$J21),IF(H$41=$C21,IF(H$40="dx",$K21,$J21),0))</f>
        <v/>
      </c>
      <c r="I59" s="552">
        <f>IF(I$41=$B21,IF(I$40="dx",-$K21,-$J21),IF(I$41=$C21,IF(I$40="dx",$K21,$J21),0))</f>
        <v/>
      </c>
      <c r="J59" s="552">
        <f>IF(J$41=$B21,IF(J$40="dx",-$K21,-$J21),IF(J$41=$C21,IF(J$40="dx",$K21,$J21),0))</f>
        <v/>
      </c>
      <c r="K59" s="552">
        <f>IF(K$41=$B21,IF(K$40="dx",-$K21,-$J21),IF(K$41=$C21,IF(K$40="dx",$K21,$J21),0))</f>
        <v/>
      </c>
      <c r="L59" s="552">
        <f>IF(L$41=$B21,IF(L$40="dx",-$K21,-$J21),IF(L$41=$C21,IF(L$40="dx",$K21,$J21),0))</f>
        <v/>
      </c>
      <c r="M59" s="552">
        <f>IF(M$41=$B21,IF(M$40="dx",-$K21,-$J21),IF(M$41=$C21,IF(M$40="dx",$K21,$J21),0))</f>
        <v/>
      </c>
      <c r="N59" s="552">
        <f>IF(N$41=$B21,IF(N$40="dx",-$K21,-$J21),IF(N$41=$C21,IF(N$40="dx",$K21,$J21),0))</f>
        <v/>
      </c>
      <c r="O59" s="552">
        <f>IF(O$41=$B21,IF(O$40="dx",-$K21,-$J21),IF(O$41=$C21,IF(O$40="dx",$K21,$J21),0))</f>
        <v/>
      </c>
      <c r="P59" s="552">
        <f>IF(P$41=$B21,IF(P$40="dx",-$K21,-$J21),IF(P$41=$C21,IF(P$40="dx",$K21,$J21),0))</f>
        <v/>
      </c>
      <c r="Q59" s="619">
        <f>IF(Q$41=$B21,IF(Q$40="dx",-$K21,-$J21),IF(Q$41=$C21,IF(Q$40="dx",$K21,$J21),0))</f>
        <v/>
      </c>
      <c r="R59" s="620" t="n"/>
      <c r="S59" s="72">
        <f>M21</f>
        <v/>
      </c>
      <c r="T59" s="542" t="n"/>
    </row>
    <row r="60">
      <c r="A60" s="612" t="n"/>
      <c r="B60" s="618">
        <f>IF(B$41=$B22,IF(B$40="dx",-$K22,-$J22),IF(B$41=$C22,IF(B$40="dx",$K22,$J22),0))</f>
        <v/>
      </c>
      <c r="C60" s="552">
        <f>IF(C$41=$B22,IF(C$40="dx",-$K22,-$J22),IF(C$41=$C22,IF(C$40="dx",$K22,$J22),0))</f>
        <v/>
      </c>
      <c r="D60" s="552">
        <f>IF(D$41=$B22,IF(D$40="dx",-$K22,-$J22),IF(D$41=$C22,IF(D$40="dx",$K22,$J22),0))</f>
        <v/>
      </c>
      <c r="E60" s="552">
        <f>IF(E$41=$B22,IF(E$40="dx",-$K22,-$J22),IF(E$41=$C22,IF(E$40="dx",$K22,$J22),0))</f>
        <v/>
      </c>
      <c r="F60" s="552">
        <f>IF(F$41=$B22,IF(F$40="dx",-$K22,-$J22),IF(F$41=$C22,IF(F$40="dx",$K22,$J22),0))</f>
        <v/>
      </c>
      <c r="G60" s="552">
        <f>IF(G$41=$B22,IF(G$40="dx",-$K22,-$J22),IF(G$41=$C22,IF(G$40="dx",$K22,$J22),0))</f>
        <v/>
      </c>
      <c r="H60" s="552">
        <f>IF(H$41=$B22,IF(H$40="dx",-$K22,-$J22),IF(H$41=$C22,IF(H$40="dx",$K22,$J22),0))</f>
        <v/>
      </c>
      <c r="I60" s="552">
        <f>IF(I$41=$B22,IF(I$40="dx",-$K22,-$J22),IF(I$41=$C22,IF(I$40="dx",$K22,$J22),0))</f>
        <v/>
      </c>
      <c r="J60" s="552">
        <f>IF(J$41=$B22,IF(J$40="dx",-$K22,-$J22),IF(J$41=$C22,IF(J$40="dx",$K22,$J22),0))</f>
        <v/>
      </c>
      <c r="K60" s="552">
        <f>IF(K$41=$B22,IF(K$40="dx",-$K22,-$J22),IF(K$41=$C22,IF(K$40="dx",$K22,$J22),0))</f>
        <v/>
      </c>
      <c r="L60" s="552">
        <f>IF(L$41=$B22,IF(L$40="dx",-$K22,-$J22),IF(L$41=$C22,IF(L$40="dx",$K22,$J22),0))</f>
        <v/>
      </c>
      <c r="M60" s="552">
        <f>IF(M$41=$B22,IF(M$40="dx",-$K22,-$J22),IF(M$41=$C22,IF(M$40="dx",$K22,$J22),0))</f>
        <v/>
      </c>
      <c r="N60" s="552">
        <f>IF(N$41=$B22,IF(N$40="dx",-$K22,-$J22),IF(N$41=$C22,IF(N$40="dx",$K22,$J22),0))</f>
        <v/>
      </c>
      <c r="O60" s="552">
        <f>IF(O$41=$B22,IF(O$40="dx",-$K22,-$J22),IF(O$41=$C22,IF(O$40="dx",$K22,$J22),0))</f>
        <v/>
      </c>
      <c r="P60" s="552">
        <f>IF(P$41=$B22,IF(P$40="dx",-$K22,-$J22),IF(P$41=$C22,IF(P$40="dx",$K22,$J22),0))</f>
        <v/>
      </c>
      <c r="Q60" s="619">
        <f>IF(Q$41=$B22,IF(Q$40="dx",-$K22,-$J22),IF(Q$41=$C22,IF(Q$40="dx",$K22,$J22),0))</f>
        <v/>
      </c>
      <c r="R60" s="620" t="n"/>
      <c r="S60" s="72">
        <f>M22</f>
        <v/>
      </c>
      <c r="T60" s="542" t="n"/>
    </row>
    <row r="61">
      <c r="A61" s="612" t="n"/>
      <c r="B61" s="618">
        <f>IF(B$41=$B23,IF(B$40="dx",-$K23,-$J23),IF(B$41=$C23,IF(B$40="dx",$K23,$J23),0))</f>
        <v/>
      </c>
      <c r="C61" s="552">
        <f>IF(C$41=$B23,IF(C$40="dx",-$K23,-$J23),IF(C$41=$C23,IF(C$40="dx",$K23,$J23),0))</f>
        <v/>
      </c>
      <c r="D61" s="552">
        <f>IF(D$41=$B23,IF(D$40="dx",-$K23,-$J23),IF(D$41=$C23,IF(D$40="dx",$K23,$J23),0))</f>
        <v/>
      </c>
      <c r="E61" s="552">
        <f>IF(E$41=$B23,IF(E$40="dx",-$K23,-$J23),IF(E$41=$C23,IF(E$40="dx",$K23,$J23),0))</f>
        <v/>
      </c>
      <c r="F61" s="552">
        <f>IF(F$41=$B23,IF(F$40="dx",-$K23,-$J23),IF(F$41=$C23,IF(F$40="dx",$K23,$J23),0))</f>
        <v/>
      </c>
      <c r="G61" s="552">
        <f>IF(G$41=$B23,IF(G$40="dx",-$K23,-$J23),IF(G$41=$C23,IF(G$40="dx",$K23,$J23),0))</f>
        <v/>
      </c>
      <c r="H61" s="552">
        <f>IF(H$41=$B23,IF(H$40="dx",-$K23,-$J23),IF(H$41=$C23,IF(H$40="dx",$K23,$J23),0))</f>
        <v/>
      </c>
      <c r="I61" s="552">
        <f>IF(I$41=$B23,IF(I$40="dx",-$K23,-$J23),IF(I$41=$C23,IF(I$40="dx",$K23,$J23),0))</f>
        <v/>
      </c>
      <c r="J61" s="552">
        <f>IF(J$41=$B23,IF(J$40="dx",-$K23,-$J23),IF(J$41=$C23,IF(J$40="dx",$K23,$J23),0))</f>
        <v/>
      </c>
      <c r="K61" s="552">
        <f>IF(K$41=$B23,IF(K$40="dx",-$K23,-$J23),IF(K$41=$C23,IF(K$40="dx",$K23,$J23),0))</f>
        <v/>
      </c>
      <c r="L61" s="552">
        <f>IF(L$41=$B23,IF(L$40="dx",-$K23,-$J23),IF(L$41=$C23,IF(L$40="dx",$K23,$J23),0))</f>
        <v/>
      </c>
      <c r="M61" s="552">
        <f>IF(M$41=$B23,IF(M$40="dx",-$K23,-$J23),IF(M$41=$C23,IF(M$40="dx",$K23,$J23),0))</f>
        <v/>
      </c>
      <c r="N61" s="552">
        <f>IF(N$41=$B23,IF(N$40="dx",-$K23,-$J23),IF(N$41=$C23,IF(N$40="dx",$K23,$J23),0))</f>
        <v/>
      </c>
      <c r="O61" s="552">
        <f>IF(O$41=$B23,IF(O$40="dx",-$K23,-$J23),IF(O$41=$C23,IF(O$40="dx",$K23,$J23),0))</f>
        <v/>
      </c>
      <c r="P61" s="552">
        <f>IF(P$41=$B23,IF(P$40="dx",-$K23,-$J23),IF(P$41=$C23,IF(P$40="dx",$K23,$J23),0))</f>
        <v/>
      </c>
      <c r="Q61" s="619">
        <f>IF(Q$41=$B23,IF(Q$40="dx",-$K23,-$J23),IF(Q$41=$C23,IF(Q$40="dx",$K23,$J23),0))</f>
        <v/>
      </c>
      <c r="R61" s="620" t="n"/>
      <c r="S61" s="72">
        <f>M23</f>
        <v/>
      </c>
      <c r="T61" s="542" t="n"/>
    </row>
    <row r="62">
      <c r="A62" s="612" t="n"/>
      <c r="B62" s="621">
        <f>IF(B$41=$C26,IF(B$40="dx",$R26,-$Q26),IF(B$41=$D26,IF(B$40="dx",-$T26,$S26),IF(B$41=$B26,IF(B$40="dx",($T26-$R26),($Q26-$S26)),0)))</f>
        <v/>
      </c>
      <c r="C62" s="622">
        <f>IF(C$41=$C26,IF(C$40="dx",$R26,-$Q26),IF(C$41=$D26,IF(C$40="dx",-$T26,$S26),IF(C$41=$B26,IF(C$40="dx",($T26-$R26),($Q26-$S26)),0)))</f>
        <v/>
      </c>
      <c r="D62" s="622">
        <f>IF(D$41=$C26,IF(D$40="dx",$R26,-$Q26),IF(D$41=$D26,IF(D$40="dx",-$T26,$S26),IF(D$41=$B26,IF(D$40="dx",($T26-$R26),($Q26-$S26)),0)))</f>
        <v/>
      </c>
      <c r="E62" s="622">
        <f>IF(E$41=$C26,IF(E$40="dx",$R26,-$Q26),IF(E$41=$D26,IF(E$40="dx",-$T26,$S26),IF(E$41=$B26,IF(E$40="dx",($T26-$R26),($Q26-$S26)),0)))</f>
        <v/>
      </c>
      <c r="F62" s="622">
        <f>IF(F$41=$C26,IF(F$40="dx",$R26,-$Q26),IF(F$41=$D26,IF(F$40="dx",-$T26,$S26),IF(F$41=$B26,IF(F$40="dx",($T26-$R26),($Q26-$S26)),0)))</f>
        <v/>
      </c>
      <c r="G62" s="622">
        <f>IF(G$41=$C26,IF(G$40="dx",$R26,-$Q26),IF(G$41=$D26,IF(G$40="dx",-$T26,$S26),IF(G$41=$B26,IF(G$40="dx",($T26-$R26),($Q26-$S26)),0)))</f>
        <v/>
      </c>
      <c r="H62" s="622">
        <f>IF(H$41=$C26,IF(H$40="dx",$R26,-$Q26),IF(H$41=$D26,IF(H$40="dx",-$T26,$S26),IF(H$41=$B26,IF(H$40="dx",($T26-$R26),($Q26-$S26)),0)))</f>
        <v/>
      </c>
      <c r="I62" s="622">
        <f>IF(I$41=$C26,IF(I$40="dx",$R26,-$Q26),IF(I$41=$D26,IF(I$40="dx",-$T26,$S26),IF(I$41=$B26,IF(I$40="dx",($T26-$R26),($Q26-$S26)),0)))</f>
        <v/>
      </c>
      <c r="J62" s="622">
        <f>IF(J$41=$C26,IF(J$40="dx",$R26,-$Q26),IF(J$41=$D26,IF(J$40="dx",-$T26,$S26),IF(J$41=$B26,IF(J$40="dx",($T26-$R26),($Q26-$S26)),0)))</f>
        <v/>
      </c>
      <c r="K62" s="622">
        <f>IF(K$41=$C26,IF(K$40="dx",$R26,-$Q26),IF(K$41=$D26,IF(K$40="dx",-$T26,$S26),IF(K$41=$B26,IF(K$40="dx",($T26-$R26),($Q26-$S26)),0)))</f>
        <v/>
      </c>
      <c r="L62" s="622">
        <f>IF(L$41=$C26,IF(L$40="dx",$R26,-$Q26),IF(L$41=$D26,IF(L$40="dx",-$T26,$S26),IF(L$41=$B26,IF(L$40="dx",($T26-$R26),($Q26-$S26)),0)))</f>
        <v/>
      </c>
      <c r="M62" s="622">
        <f>IF(M$41=$C26,IF(M$40="dx",$R26,-$Q26),IF(M$41=$D26,IF(M$40="dx",-$T26,$S26),IF(M$41=$B26,IF(M$40="dx",($T26-$R26),($Q26-$S26)),0)))</f>
        <v/>
      </c>
      <c r="N62" s="622">
        <f>IF(N$41=$C26,IF(N$40="dx",$R26,-$Q26),IF(N$41=$D26,IF(N$40="dx",-$T26,$S26),IF(N$41=$B26,IF(N$40="dx",($T26-$R26),($Q26-$S26)),0)))</f>
        <v/>
      </c>
      <c r="O62" s="622">
        <f>IF(O$41=$C26,IF(O$40="dx",$R26,-$Q26),IF(O$41=$D26,IF(O$40="dx",-$T26,$S26),IF(O$41=$B26,IF(O$40="dx",($T26-$R26),($Q26-$S26)),0)))</f>
        <v/>
      </c>
      <c r="P62" s="622">
        <f>IF(P$41=$C26,IF(P$40="dx",$R26,-$Q26),IF(P$41=$D26,IF(P$40="dx",-$T26,$S26),IF(P$41=$B26,IF(P$40="dx",($T26-$R26),($Q26-$S26)),0)))</f>
        <v/>
      </c>
      <c r="Q62" s="623">
        <f>IF(Q$41=$C26,IF(Q$40="dx",$R26,-$Q26),IF(Q$41=$D26,IF(Q$40="dx",-$T26,$S26),IF(Q$41=$B26,IF(Q$40="dx",($T26-$R26),($Q26-$S26)),0)))</f>
        <v/>
      </c>
      <c r="R62" s="624" t="n"/>
      <c r="S62" s="89">
        <f>P26*10000</f>
        <v/>
      </c>
      <c r="T62" s="589" t="n"/>
    </row>
    <row r="63">
      <c r="A63" s="612" t="n"/>
      <c r="B63" s="618">
        <f>IF(B$41=$C27,IF(B$40="dx",$R27,-$Q27),IF(B$41=$D27,IF(B$40="dx",-$T27,$S27),IF(B$41=$B27,IF(B$40="dx",($T27-$R27),($Q27-$S27)),0)))</f>
        <v/>
      </c>
      <c r="C63" s="552">
        <f>IF(C$41=$C27,IF(C$40="dx",$R27,-$Q27),IF(C$41=$D27,IF(C$40="dx",-$T27,$S27),IF(C$41=$B27,IF(C$40="dx",($T27-$R27),($Q27-$S27)),0)))</f>
        <v/>
      </c>
      <c r="D63" s="552">
        <f>IF(D$41=$C27,IF(D$40="dx",$R27,-$Q27),IF(D$41=$D27,IF(D$40="dx",-$T27,$S27),IF(D$41=$B27,IF(D$40="dx",($T27-$R27),($Q27-$S27)),0)))</f>
        <v/>
      </c>
      <c r="E63" s="552">
        <f>IF(E$41=$C27,IF(E$40="dx",$R27,-$Q27),IF(E$41=$D27,IF(E$40="dx",-$T27,$S27),IF(E$41=$B27,IF(E$40="dx",($T27-$R27),($Q27-$S27)),0)))</f>
        <v/>
      </c>
      <c r="F63" s="1">
        <f>IF(F$41=$C27,IF(F$40="dx",$R27,-$Q27),IF(F$41=$D27,IF(F$40="dx",-$T27,$S27),IF(F$41=$B27,IF(F$40="dx",($T27-$R27),($Q27-$S27)),0)))</f>
        <v/>
      </c>
      <c r="G63" s="1">
        <f>IF(G$41=$C27,IF(G$40="dx",$R27,-$Q27),IF(G$41=$D27,IF(G$40="dx",-$T27,$S27),IF(G$41=$B27,IF(G$40="dx",($T27-$R27),($Q27-$S27)),0)))</f>
        <v/>
      </c>
      <c r="H63" s="1">
        <f>IF(H$41=$C27,IF(H$40="dx",$R27,-$Q27),IF(H$41=$D27,IF(H$40="dx",-$T27,$S27),IF(H$41=$B27,IF(H$40="dx",($T27-$R27),($Q27-$S27)),0)))</f>
        <v/>
      </c>
      <c r="I63" s="1">
        <f>IF(I$41=$C27,IF(I$40="dx",$R27,-$Q27),IF(I$41=$D27,IF(I$40="dx",-$T27,$S27),IF(I$41=$B27,IF(I$40="dx",($T27-$R27),($Q27-$S27)),0)))</f>
        <v/>
      </c>
      <c r="J63" s="1">
        <f>IF(J$41=$C27,IF(J$40="dx",$R27,-$Q27),IF(J$41=$D27,IF(J$40="dx",-$T27,$S27),IF(J$41=$B27,IF(J$40="dx",($T27-$R27),($Q27-$S27)),0)))</f>
        <v/>
      </c>
      <c r="K63" s="1">
        <f>IF(K$41=$C27,IF(K$40="dx",$R27,-$Q27),IF(K$41=$D27,IF(K$40="dx",-$T27,$S27),IF(K$41=$B27,IF(K$40="dx",($T27-$R27),($Q27-$S27)),0)))</f>
        <v/>
      </c>
      <c r="L63" s="1">
        <f>IF(L$41=$C27,IF(L$40="dx",$R27,-$Q27),IF(L$41=$D27,IF(L$40="dx",-$T27,$S27),IF(L$41=$B27,IF(L$40="dx",($T27-$R27),($Q27-$S27)),0)))</f>
        <v/>
      </c>
      <c r="M63" s="1">
        <f>IF(M$41=$C27,IF(M$40="dx",$R27,-$Q27),IF(M$41=$D27,IF(M$40="dx",-$T27,$S27),IF(M$41=$B27,IF(M$40="dx",($T27-$R27),($Q27-$S27)),0)))</f>
        <v/>
      </c>
      <c r="N63" s="1">
        <f>IF(N$41=$C27,IF(N$40="dx",$R27,-$Q27),IF(N$41=$D27,IF(N$40="dx",-$T27,$S27),IF(N$41=$B27,IF(N$40="dx",($T27-$R27),($Q27-$S27)),0)))</f>
        <v/>
      </c>
      <c r="O63" s="1">
        <f>IF(O$41=$C27,IF(O$40="dx",$R27,-$Q27),IF(O$41=$D27,IF(O$40="dx",-$T27,$S27),IF(O$41=$B27,IF(O$40="dx",($T27-$R27),($Q27-$S27)),0)))</f>
        <v/>
      </c>
      <c r="P63" s="552">
        <f>IF(P$41=$C27,IF(P$40="dx",$R27,-$Q27),IF(P$41=$D27,IF(P$40="dx",-$T27,$S27),IF(P$41=$B27,IF(P$40="dx",($T27-$R27),($Q27-$S27)),0)))</f>
        <v/>
      </c>
      <c r="Q63" s="619">
        <f>IF(Q$41=$C27,IF(Q$40="dx",$R27,-$Q27),IF(Q$41=$D27,IF(Q$40="dx",-$T27,$S27),IF(Q$41=$B27,IF(Q$40="dx",($T27-$R27),($Q27-$S27)),0)))</f>
        <v/>
      </c>
      <c r="R63" s="625" t="n"/>
      <c r="S63" s="90">
        <f>P27*10000</f>
        <v/>
      </c>
      <c r="T63" s="626" t="n"/>
    </row>
    <row r="64">
      <c r="A64" s="612" t="n"/>
      <c r="B64" s="627">
        <f>IF(B$41=$C28,IF(B$40="dx",$R28,-$Q28),IF(B$41=$D28,IF(B$40="dx",-$T28,$S28),IF(B$41=$B28,IF(B$40="dx",($T28-$R28),($Q28-$S28)),0)))</f>
        <v/>
      </c>
      <c r="C64" s="1">
        <f>IF(C$41=$C28,IF(C$40="dx",$R28,-$Q28),IF(C$41=$D28,IF(C$40="dx",-$T28,$S28),IF(C$41=$B28,IF(C$40="dx",($T28-$R28),($Q28-$S28)),0)))</f>
        <v/>
      </c>
      <c r="D64" s="552">
        <f>IF(D$41=$C28,IF(D$40="dx",$R28,-$Q28),IF(D$41=$D28,IF(D$40="dx",-$T28,$S28),IF(D$41=$B28,IF(D$40="dx",($T28-$R28),($Q28-$S28)),0)))</f>
        <v/>
      </c>
      <c r="E64" s="552">
        <f>IF(E$41=$C28,IF(E$40="dx",$R28,-$Q28),IF(E$41=$D28,IF(E$40="dx",-$T28,$S28),IF(E$41=$B28,IF(E$40="dx",($T28-$R28),($Q28-$S28)),0)))</f>
        <v/>
      </c>
      <c r="F64" s="552">
        <f>IF(F$41=$C28,IF(F$40="dx",$R28,-$Q28),IF(F$41=$D28,IF(F$40="dx",-$T28,$S28),IF(F$41=$B28,IF(F$40="dx",($T28-$R28),($Q28-$S28)),0)))</f>
        <v/>
      </c>
      <c r="G64" s="552">
        <f>IF(G$41=$C28,IF(G$40="dx",$R28,-$Q28),IF(G$41=$D28,IF(G$40="dx",-$T28,$S28),IF(G$41=$B28,IF(G$40="dx",($T28-$R28),($Q28-$S28)),0)))</f>
        <v/>
      </c>
      <c r="H64" s="1">
        <f>IF(H$41=$C28,IF(H$40="dx",$R28,-$Q28),IF(H$41=$D28,IF(H$40="dx",-$T28,$S28),IF(H$41=$B28,IF(H$40="dx",($T28-$R28),($Q28-$S28)),0)))</f>
        <v/>
      </c>
      <c r="I64" s="1">
        <f>IF(I$41=$C28,IF(I$40="dx",$R28,-$Q28),IF(I$41=$D28,IF(I$40="dx",-$T28,$S28),IF(I$41=$B28,IF(I$40="dx",($T28-$R28),($Q28-$S28)),0)))</f>
        <v/>
      </c>
      <c r="J64" s="1">
        <f>IF(J$41=$C28,IF(J$40="dx",$R28,-$Q28),IF(J$41=$D28,IF(J$40="dx",-$T28,$S28),IF(J$41=$B28,IF(J$40="dx",($T28-$R28),($Q28-$S28)),0)))</f>
        <v/>
      </c>
      <c r="K64" s="1">
        <f>IF(K$41=$C28,IF(K$40="dx",$R28,-$Q28),IF(K$41=$D28,IF(K$40="dx",-$T28,$S28),IF(K$41=$B28,IF(K$40="dx",($T28-$R28),($Q28-$S28)),0)))</f>
        <v/>
      </c>
      <c r="L64" s="1">
        <f>IF(L$41=$C28,IF(L$40="dx",$R28,-$Q28),IF(L$41=$D28,IF(L$40="dx",-$T28,$S28),IF(L$41=$B28,IF(L$40="dx",($T28-$R28),($Q28-$S28)),0)))</f>
        <v/>
      </c>
      <c r="M64" s="1">
        <f>IF(M$41=$C28,IF(M$40="dx",$R28,-$Q28),IF(M$41=$D28,IF(M$40="dx",-$T28,$S28),IF(M$41=$B28,IF(M$40="dx",($T28-$R28),($Q28-$S28)),0)))</f>
        <v/>
      </c>
      <c r="N64" s="1">
        <f>IF(N$41=$C28,IF(N$40="dx",$R28,-$Q28),IF(N$41=$D28,IF(N$40="dx",-$T28,$S28),IF(N$41=$B28,IF(N$40="dx",($T28-$R28),($Q28-$S28)),0)))</f>
        <v/>
      </c>
      <c r="O64" s="1">
        <f>IF(O$41=$C28,IF(O$40="dx",$R28,-$Q28),IF(O$41=$D28,IF(O$40="dx",-$T28,$S28),IF(O$41=$B28,IF(O$40="dx",($T28-$R28),($Q28-$S28)),0)))</f>
        <v/>
      </c>
      <c r="P64" s="552">
        <f>IF(P$41=$C28,IF(P$40="dx",$R28,-$Q28),IF(P$41=$D28,IF(P$40="dx",-$T28,$S28),IF(P$41=$B28,IF(P$40="dx",($T28-$R28),($Q28-$S28)),0)))</f>
        <v/>
      </c>
      <c r="Q64" s="619">
        <f>IF(Q$41=$C28,IF(Q$40="dx",$R28,-$Q28),IF(Q$41=$D28,IF(Q$40="dx",-$T28,$S28),IF(Q$41=$B28,IF(Q$40="dx",($T28-$R28),($Q28-$S28)),0)))</f>
        <v/>
      </c>
      <c r="R64" s="628" t="n"/>
      <c r="S64" s="90">
        <f>P28*10000</f>
        <v/>
      </c>
      <c r="T64" s="629" t="n"/>
    </row>
    <row r="65">
      <c r="B65" s="627">
        <f>IF(B$41=$C29,IF(B$40="dx",$R29,-$Q29),IF(B$41=$D29,IF(B$40="dx",-$T29,$S29),IF(B$41=$B29,IF(B$40="dx",($T29-$R29),($Q29-$S29)),0)))</f>
        <v/>
      </c>
      <c r="C65" s="1">
        <f>IF(C$41=$C29,IF(C$40="dx",$R29,-$Q29),IF(C$41=$D29,IF(C$40="dx",-$T29,$S29),IF(C$41=$B29,IF(C$40="dx",($T29-$R29),($Q29-$S29)),0)))</f>
        <v/>
      </c>
      <c r="D65" s="1">
        <f>IF(D$41=$C29,IF(D$40="dx",$R29,-$Q29),IF(D$41=$D29,IF(D$40="dx",-$T29,$S29),IF(D$41=$B29,IF(D$40="dx",($T29-$R29),($Q29-$S29)),0)))</f>
        <v/>
      </c>
      <c r="E65" s="1">
        <f>IF(E$41=$C29,IF(E$40="dx",$R29,-$Q29),IF(E$41=$D29,IF(E$40="dx",-$T29,$S29),IF(E$41=$B29,IF(E$40="dx",($T29-$R29),($Q29-$S29)),0)))</f>
        <v/>
      </c>
      <c r="F65" s="552">
        <f>IF(F$41=$C29,IF(F$40="dx",$R29,-$Q29),IF(F$41=$D29,IF(F$40="dx",-$T29,$S29),IF(F$41=$B29,IF(F$40="dx",($T29-$R29),($Q29-$S29)),0)))</f>
        <v/>
      </c>
      <c r="G65" s="552">
        <f>IF(G$41=$C29,IF(G$40="dx",$R29,-$Q29),IF(G$41=$D29,IF(G$40="dx",-$T29,$S29),IF(G$41=$B29,IF(G$40="dx",($T29-$R29),($Q29-$S29)),0)))</f>
        <v/>
      </c>
      <c r="H65" s="552">
        <f>IF(H$41=$C29,IF(H$40="dx",$R29,-$Q29),IF(H$41=$D29,IF(H$40="dx",-$T29,$S29),IF(H$41=$B29,IF(H$40="dx",($T29-$R29),($Q29-$S29)),0)))</f>
        <v/>
      </c>
      <c r="I65" s="552">
        <f>IF(I$41=$C29,IF(I$40="dx",$R29,-$Q29),IF(I$41=$D29,IF(I$40="dx",-$T29,$S29),IF(I$41=$B29,IF(I$40="dx",($T29-$R29),($Q29-$S29)),0)))</f>
        <v/>
      </c>
      <c r="J65" s="1">
        <f>IF(J$41=$C29,IF(J$40="dx",$R29,-$Q29),IF(J$41=$D29,IF(J$40="dx",-$T29,$S29),IF(J$41=$B29,IF(J$40="dx",($T29-$R29),($Q29-$S29)),0)))</f>
        <v/>
      </c>
      <c r="K65" s="1">
        <f>IF(K$41=$C29,IF(K$40="dx",$R29,-$Q29),IF(K$41=$D29,IF(K$40="dx",-$T29,$S29),IF(K$41=$B29,IF(K$40="dx",($T29-$R29),($Q29-$S29)),0)))</f>
        <v/>
      </c>
      <c r="L65" s="1">
        <f>IF(L$41=$C29,IF(L$40="dx",$R29,-$Q29),IF(L$41=$D29,IF(L$40="dx",-$T29,$S29),IF(L$41=$B29,IF(L$40="dx",($T29-$R29),($Q29-$S29)),0)))</f>
        <v/>
      </c>
      <c r="M65" s="1">
        <f>IF(M$41=$C29,IF(M$40="dx",$R29,-$Q29),IF(M$41=$D29,IF(M$40="dx",-$T29,$S29),IF(M$41=$B29,IF(M$40="dx",($T29-$R29),($Q29-$S29)),0)))</f>
        <v/>
      </c>
      <c r="N65" s="1">
        <f>IF(N$41=$C29,IF(N$40="dx",$R29,-$Q29),IF(N$41=$D29,IF(N$40="dx",-$T29,$S29),IF(N$41=$B29,IF(N$40="dx",($T29-$R29),($Q29-$S29)),0)))</f>
        <v/>
      </c>
      <c r="O65" s="1">
        <f>IF(O$41=$C29,IF(O$40="dx",$R29,-$Q29),IF(O$41=$D29,IF(O$40="dx",-$T29,$S29),IF(O$41=$B29,IF(O$40="dx",($T29-$R29),($Q29-$S29)),0)))</f>
        <v/>
      </c>
      <c r="P65" s="552">
        <f>IF(P$41=$C29,IF(P$40="dx",$R29,-$Q29),IF(P$41=$D29,IF(P$40="dx",-$T29,$S29),IF(P$41=$B29,IF(P$40="dx",($T29-$R29),($Q29-$S29)),0)))</f>
        <v/>
      </c>
      <c r="Q65" s="619">
        <f>IF(Q$41=$C29,IF(Q$40="dx",$R29,-$Q29),IF(Q$41=$D29,IF(Q$40="dx",-$T29,$S29),IF(Q$41=$B29,IF(Q$40="dx",($T29-$R29),($Q29-$S29)),0)))</f>
        <v/>
      </c>
      <c r="R65" s="628" t="n"/>
      <c r="S65" s="90">
        <f>P29*10000</f>
        <v/>
      </c>
      <c r="T65" s="629" t="n"/>
    </row>
    <row r="66">
      <c r="B66" s="627">
        <f>IF(B$41=$C30,IF(B$40="dx",$R30,-$Q30),IF(B$41=$D30,IF(B$40="dx",-$T30,$S30),IF(B$41=$B30,IF(B$40="dx",($T30-$R30),($Q30-$S30)),0)))</f>
        <v/>
      </c>
      <c r="C66" s="1">
        <f>IF(C$41=$C30,IF(C$40="dx",$R30,-$Q30),IF(C$41=$D30,IF(C$40="dx",-$T30,$S30),IF(C$41=$B30,IF(C$40="dx",($T30-$R30),($Q30-$S30)),0)))</f>
        <v/>
      </c>
      <c r="D66" s="1">
        <f>IF(D$41=$C30,IF(D$40="dx",$R30,-$Q30),IF(D$41=$D30,IF(D$40="dx",-$T30,$S30),IF(D$41=$B30,IF(D$40="dx",($T30-$R30),($Q30-$S30)),0)))</f>
        <v/>
      </c>
      <c r="E66" s="1">
        <f>IF(E$41=$C30,IF(E$40="dx",$R30,-$Q30),IF(E$41=$D30,IF(E$40="dx",-$T30,$S30),IF(E$41=$B30,IF(E$40="dx",($T30-$R30),($Q30-$S30)),0)))</f>
        <v/>
      </c>
      <c r="F66" s="1">
        <f>IF(F$41=$C30,IF(F$40="dx",$R30,-$Q30),IF(F$41=$D30,IF(F$40="dx",-$T30,$S30),IF(F$41=$B30,IF(F$40="dx",($T30-$R30),($Q30-$S30)),0)))</f>
        <v/>
      </c>
      <c r="G66" s="1">
        <f>IF(G$41=$C30,IF(G$40="dx",$R30,-$Q30),IF(G$41=$D30,IF(G$40="dx",-$T30,$S30),IF(G$41=$B30,IF(G$40="dx",($T30-$R30),($Q30-$S30)),0)))</f>
        <v/>
      </c>
      <c r="H66" s="552">
        <f>IF(H$41=$C30,IF(H$40="dx",$R30,-$Q30),IF(H$41=$D30,IF(H$40="dx",-$T30,$S30),IF(H$41=$B30,IF(H$40="dx",($T30-$R30),($Q30-$S30)),0)))</f>
        <v/>
      </c>
      <c r="I66" s="552">
        <f>IF(I$41=$C30,IF(I$40="dx",$R30,-$Q30),IF(I$41=$D30,IF(I$40="dx",-$T30,$S30),IF(I$41=$B30,IF(I$40="dx",($T30-$R30),($Q30-$S30)),0)))</f>
        <v/>
      </c>
      <c r="J66" s="1">
        <f>IF(J$41=$C30,IF(J$40="dx",$R30,-$Q30),IF(J$41=$D30,IF(J$40="dx",-$T30,$S30),IF(J$41=$B30,IF(J$40="dx",($T30-$R30),($Q30-$S30)),0)))</f>
        <v/>
      </c>
      <c r="K66" s="1">
        <f>IF(K$41=$C30,IF(K$40="dx",$R30,-$Q30),IF(K$41=$D30,IF(K$40="dx",-$T30,$S30),IF(K$41=$B30,IF(K$40="dx",($T30-$R30),($Q30-$S30)),0)))</f>
        <v/>
      </c>
      <c r="L66" s="552">
        <f>IF(L$41=$C30,IF(L$40="dx",$R30,-$Q30),IF(L$41=$D30,IF(L$40="dx",-$T30,$S30),IF(L$41=$B30,IF(L$40="dx",($T30-$R30),($Q30-$S30)),0)))</f>
        <v/>
      </c>
      <c r="M66" s="552">
        <f>IF(M$41=$C30,IF(M$40="dx",$R30,-$Q30),IF(M$41=$D30,IF(M$40="dx",-$T30,$S30),IF(M$41=$B30,IF(M$40="dx",($T30-$R30),($Q30-$S30)),0)))</f>
        <v/>
      </c>
      <c r="N66" s="1">
        <f>IF(N$41=$C30,IF(N$40="dx",$R30,-$Q30),IF(N$41=$D30,IF(N$40="dx",-$T30,$S30),IF(N$41=$B30,IF(N$40="dx",($T30-$R30),($Q30-$S30)),0)))</f>
        <v/>
      </c>
      <c r="O66" s="1">
        <f>IF(O$41=$C30,IF(O$40="dx",$R30,-$Q30),IF(O$41=$D30,IF(O$40="dx",-$T30,$S30),IF(O$41=$B30,IF(O$40="dx",($T30-$R30),($Q30-$S30)),0)))</f>
        <v/>
      </c>
      <c r="P66" s="552">
        <f>IF(P$41=$C30,IF(P$40="dx",$R30,-$Q30),IF(P$41=$D30,IF(P$40="dx",-$T30,$S30),IF(P$41=$B30,IF(P$40="dx",($T30-$R30),($Q30-$S30)),0)))</f>
        <v/>
      </c>
      <c r="Q66" s="619">
        <f>IF(Q$41=$C30,IF(Q$40="dx",$R30,-$Q30),IF(Q$41=$D30,IF(Q$40="dx",-$T30,$S30),IF(Q$41=$B30,IF(Q$40="dx",($T30-$R30),($Q30-$S30)),0)))</f>
        <v/>
      </c>
      <c r="R66" s="628" t="n"/>
      <c r="S66" s="90">
        <f>P30*10000</f>
        <v/>
      </c>
      <c r="T66" s="629" t="n"/>
    </row>
    <row r="67">
      <c r="B67" s="627">
        <f>IF(B$41=$C31,IF(B$40="dx",$R31,-$Q31),IF(B$41=$D31,IF(B$40="dx",-$T31,$S31),IF(B$41=$B31,IF(B$40="dx",($T31-$R31),($Q31-$S31)),0)))</f>
        <v/>
      </c>
      <c r="C67" s="1">
        <f>IF(C$41=$C31,IF(C$40="dx",$R31,-$Q31),IF(C$41=$D31,IF(C$40="dx",-$T31,$S31),IF(C$41=$B31,IF(C$40="dx",($T31-$R31),($Q31-$S31)),0)))</f>
        <v/>
      </c>
      <c r="D67" s="1">
        <f>IF(D$41=$C31,IF(D$40="dx",$R31,-$Q31),IF(D$41=$D31,IF(D$40="dx",-$T31,$S31),IF(D$41=$B31,IF(D$40="dx",($T31-$R31),($Q31-$S31)),0)))</f>
        <v/>
      </c>
      <c r="E67" s="1">
        <f>IF(E$41=$C31,IF(E$40="dx",$R31,-$Q31),IF(E$41=$D31,IF(E$40="dx",-$T31,$S31),IF(E$41=$B31,IF(E$40="dx",($T31-$R31),($Q31-$S31)),0)))</f>
        <v/>
      </c>
      <c r="F67" s="1">
        <f>IF(F$41=$C31,IF(F$40="dx",$R31,-$Q31),IF(F$41=$D31,IF(F$40="dx",-$T31,$S31),IF(F$41=$B31,IF(F$40="dx",($T31-$R31),($Q31-$S31)),0)))</f>
        <v/>
      </c>
      <c r="G67" s="1">
        <f>IF(G$41=$C31,IF(G$40="dx",$R31,-$Q31),IF(G$41=$D31,IF(G$40="dx",-$T31,$S31),IF(G$41=$B31,IF(G$40="dx",($T31-$R31),($Q31-$S31)),0)))</f>
        <v/>
      </c>
      <c r="H67" s="1">
        <f>IF(H$41=$C31,IF(H$40="dx",$R31,-$Q31),IF(H$41=$D31,IF(H$40="dx",-$T31,$S31),IF(H$41=$B31,IF(H$40="dx",($T31-$R31),($Q31-$S31)),0)))</f>
        <v/>
      </c>
      <c r="I67" s="1">
        <f>IF(I$41=$C31,IF(I$40="dx",$R31,-$Q31),IF(I$41=$D31,IF(I$40="dx",-$T31,$S31),IF(I$41=$B31,IF(I$40="dx",($T31-$R31),($Q31-$S31)),0)))</f>
        <v/>
      </c>
      <c r="J67" s="1">
        <f>IF(J$41=$C31,IF(J$40="dx",$R31,-$Q31),IF(J$41=$D31,IF(J$40="dx",-$T31,$S31),IF(J$41=$B31,IF(J$40="dx",($T31-$R31),($Q31-$S31)),0)))</f>
        <v/>
      </c>
      <c r="K67" s="1">
        <f>IF(K$41=$C31,IF(K$40="dx",$R31,-$Q31),IF(K$41=$D31,IF(K$40="dx",-$T31,$S31),IF(K$41=$B31,IF(K$40="dx",($T31-$R31),($Q31-$S31)),0)))</f>
        <v/>
      </c>
      <c r="L67" s="552">
        <f>IF(L$41=$C31,IF(L$40="dx",$R31,-$Q31),IF(L$41=$D31,IF(L$40="dx",-$T31,$S31),IF(L$41=$B31,IF(L$40="dx",($T31-$R31),($Q31-$S31)),0)))</f>
        <v/>
      </c>
      <c r="M67" s="552">
        <f>IF(M$41=$C31,IF(M$40="dx",$R31,-$Q31),IF(M$41=$D31,IF(M$40="dx",-$T31,$S31),IF(M$41=$B31,IF(M$40="dx",($T31-$R31),($Q31-$S31)),0)))</f>
        <v/>
      </c>
      <c r="N67" s="552">
        <f>IF(N$41=$C31,IF(N$40="dx",$R31,-$Q31),IF(N$41=$D31,IF(N$40="dx",-$T31,$S31),IF(N$41=$B31,IF(N$40="dx",($T31-$R31),($Q31-$S31)),0)))</f>
        <v/>
      </c>
      <c r="O67" s="552">
        <f>IF(O$41=$C31,IF(O$40="dx",$R31,-$Q31),IF(O$41=$D31,IF(O$40="dx",-$T31,$S31),IF(O$41=$B31,IF(O$40="dx",($T31-$R31),($Q31-$S31)),0)))</f>
        <v/>
      </c>
      <c r="P67" s="552">
        <f>IF(P$41=$C31,IF(P$40="dx",$R31,-$Q31),IF(P$41=$D31,IF(P$40="dx",-$T31,$S31),IF(P$41=$B31,IF(P$40="dx",($T31-$R31),($Q31-$S31)),0)))</f>
        <v/>
      </c>
      <c r="Q67" s="619">
        <f>IF(Q$41=$C31,IF(Q$40="dx",$R31,-$Q31),IF(Q$41=$D31,IF(Q$40="dx",-$T31,$S31),IF(Q$41=$B31,IF(Q$40="dx",($T31-$R31),($Q31-$S31)),0)))</f>
        <v/>
      </c>
      <c r="R67" s="628" t="n"/>
      <c r="S67" s="90">
        <f>P31*10000</f>
        <v/>
      </c>
      <c r="T67" s="629" t="n"/>
    </row>
    <row r="68">
      <c r="B68" s="618">
        <f>IF(B$41=$C32,IF(B$40="dx",$R32,-$Q32),IF(B$41=$D32,IF(B$40="dx",-$T32,$S32),IF(B$41=$B32,IF(B$40="dx",($T32-$R32),($Q32-$S32)),0)))</f>
        <v/>
      </c>
      <c r="C68" s="552">
        <f>IF(C$41=$C32,IF(C$40="dx",$R32,-$Q32),IF(C$41=$D32,IF(C$40="dx",-$T32,$S32),IF(C$41=$B32,IF(C$40="dx",($T32-$R32),($Q32-$S32)),0)))</f>
        <v/>
      </c>
      <c r="D68" s="1">
        <f>IF(D$41=$C32,IF(D$40="dx",$R32,-$Q32),IF(D$41=$D32,IF(D$40="dx",-$T32,$S32),IF(D$41=$B32,IF(D$40="dx",($T32-$R32),($Q32-$S32)),0)))</f>
        <v/>
      </c>
      <c r="E68" s="1">
        <f>IF(E$41=$C32,IF(E$40="dx",$R32,-$Q32),IF(E$41=$D32,IF(E$40="dx",-$T32,$S32),IF(E$41=$B32,IF(E$40="dx",($T32-$R32),($Q32-$S32)),0)))</f>
        <v/>
      </c>
      <c r="F68" s="1">
        <f>IF(F$41=$C32,IF(F$40="dx",$R32,-$Q32),IF(F$41=$D32,IF(F$40="dx",-$T32,$S32),IF(F$41=$B32,IF(F$40="dx",($T32-$R32),($Q32-$S32)),0)))</f>
        <v/>
      </c>
      <c r="G68" s="1">
        <f>IF(G$41=$C32,IF(G$40="dx",$R32,-$Q32),IF(G$41=$D32,IF(G$40="dx",-$T32,$S32),IF(G$41=$B32,IF(G$40="dx",($T32-$R32),($Q32-$S32)),0)))</f>
        <v/>
      </c>
      <c r="H68" s="1">
        <f>IF(H$41=$C32,IF(H$40="dx",$R32,-$Q32),IF(H$41=$D32,IF(H$40="dx",-$T32,$S32),IF(H$41=$B32,IF(H$40="dx",($T32-$R32),($Q32-$S32)),0)))</f>
        <v/>
      </c>
      <c r="I68" s="1">
        <f>IF(I$41=$C32,IF(I$40="dx",$R32,-$Q32),IF(I$41=$D32,IF(I$40="dx",-$T32,$S32),IF(I$41=$B32,IF(I$40="dx",($T32-$R32),($Q32-$S32)),0)))</f>
        <v/>
      </c>
      <c r="J68" s="1">
        <f>IF(J$41=$C32,IF(J$40="dx",$R32,-$Q32),IF(J$41=$D32,IF(J$40="dx",-$T32,$S32),IF(J$41=$B32,IF(J$40="dx",($T32-$R32),($Q32-$S32)),0)))</f>
        <v/>
      </c>
      <c r="K68" s="1">
        <f>IF(K$41=$C32,IF(K$40="dx",$R32,-$Q32),IF(K$41=$D32,IF(K$40="dx",-$T32,$S32),IF(K$41=$B32,IF(K$40="dx",($T32-$R32),($Q32-$S32)),0)))</f>
        <v/>
      </c>
      <c r="L68" s="1">
        <f>IF(L$41=$C32,IF(L$40="dx",$R32,-$Q32),IF(L$41=$D32,IF(L$40="dx",-$T32,$S32),IF(L$41=$B32,IF(L$40="dx",($T32-$R32),($Q32-$S32)),0)))</f>
        <v/>
      </c>
      <c r="M68" s="1">
        <f>IF(M$41=$C32,IF(M$40="dx",$R32,-$Q32),IF(M$41=$D32,IF(M$40="dx",-$T32,$S32),IF(M$41=$B32,IF(M$40="dx",($T32-$R32),($Q32-$S32)),0)))</f>
        <v/>
      </c>
      <c r="N68" s="552">
        <f>IF(N$41=$C32,IF(N$40="dx",$R32,-$Q32),IF(N$41=$D32,IF(N$40="dx",-$T32,$S32),IF(N$41=$B32,IF(N$40="dx",($T32-$R32),($Q32-$S32)),0)))</f>
        <v/>
      </c>
      <c r="O68" s="552">
        <f>IF(O$41=$C32,IF(O$40="dx",$R32,-$Q32),IF(O$41=$D32,IF(O$40="dx",-$T32,$S32),IF(O$41=$B32,IF(O$40="dx",($T32-$R32),($Q32-$S32)),0)))</f>
        <v/>
      </c>
      <c r="P68" s="552">
        <f>IF(P$41=$C32,IF(P$40="dx",$R32,-$Q32),IF(P$41=$D32,IF(P$40="dx",-$T32,$S32),IF(P$41=$B32,IF(P$40="dx",($T32-$R32),($Q32-$S32)),0)))</f>
        <v/>
      </c>
      <c r="Q68" s="619">
        <f>IF(Q$41=$C32,IF(Q$40="dx",$R32,-$Q32),IF(Q$41=$D32,IF(Q$40="dx",-$T32,$S32),IF(Q$41=$B32,IF(Q$40="dx",($T32-$R32),($Q32-$S32)),0)))</f>
        <v/>
      </c>
      <c r="R68" s="628" t="n"/>
      <c r="S68" s="90">
        <f>P32*10000</f>
        <v/>
      </c>
      <c r="T68" s="629" t="n"/>
    </row>
    <row r="69">
      <c r="B69" s="627">
        <f>IF(B$41=$C33,IF(B$40="dx",$R33,-$Q33),IF(B$41=$D33,IF(B$40="dx",-$T33,$S33),IF(B$41=$B33,IF(B$40="dx",($T33-$R33),($Q33-$S33)),0)))</f>
        <v/>
      </c>
      <c r="C69" s="1">
        <f>IF(C$41=$C33,IF(C$40="dx",$R33,-$Q33),IF(C$41=$D33,IF(C$40="dx",-$T33,$S33),IF(C$41=$B33,IF(C$40="dx",($T33-$R33),($Q33-$S33)),0)))</f>
        <v/>
      </c>
      <c r="D69" s="1">
        <f>IF(D$41=$C33,IF(D$40="dx",$R33,-$Q33),IF(D$41=$D33,IF(D$40="dx",-$T33,$S33),IF(D$41=$B33,IF(D$40="dx",($T33-$R33),($Q33-$S33)),0)))</f>
        <v/>
      </c>
      <c r="E69" s="1">
        <f>IF(E$41=$C33,IF(E$40="dx",$R33,-$Q33),IF(E$41=$D33,IF(E$40="dx",-$T33,$S33),IF(E$41=$B33,IF(E$40="dx",($T33-$R33),($Q33-$S33)),0)))</f>
        <v/>
      </c>
      <c r="F69" s="1">
        <f>IF(F$41=$C33,IF(F$40="dx",$R33,-$Q33),IF(F$41=$D33,IF(F$40="dx",-$T33,$S33),IF(F$41=$B33,IF(F$40="dx",($T33-$R33),($Q33-$S33)),0)))</f>
        <v/>
      </c>
      <c r="G69" s="1">
        <f>IF(G$41=$C33,IF(G$40="dx",$R33,-$Q33),IF(G$41=$D33,IF(G$40="dx",-$T33,$S33),IF(G$41=$B33,IF(G$40="dx",($T33-$R33),($Q33-$S33)),0)))</f>
        <v/>
      </c>
      <c r="H69" s="1">
        <f>IF(H$41=$C33,IF(H$40="dx",$R33,-$Q33),IF(H$41=$D33,IF(H$40="dx",-$T33,$S33),IF(H$41=$B33,IF(H$40="dx",($T33-$R33),($Q33-$S33)),0)))</f>
        <v/>
      </c>
      <c r="I69" s="1">
        <f>IF(I$41=$C33,IF(I$40="dx",$R33,-$Q33),IF(I$41=$D33,IF(I$40="dx",-$T33,$S33),IF(I$41=$B33,IF(I$40="dx",($T33-$R33),($Q33-$S33)),0)))</f>
        <v/>
      </c>
      <c r="J69" s="552">
        <f>IF(J$41=$C33,IF(J$40="dx",$R33,-$Q33),IF(J$41=$D33,IF(J$40="dx",-$T33,$S33),IF(J$41=$B33,IF(J$40="dx",($T33-$R33),($Q33-$S33)),0)))</f>
        <v/>
      </c>
      <c r="K69" s="552">
        <f>IF(K$41=$C33,IF(K$40="dx",$R33,-$Q33),IF(K$41=$D33,IF(K$40="dx",-$T33,$S33),IF(K$41=$B33,IF(K$40="dx",($T33-$R33),($Q33-$S33)),0)))</f>
        <v/>
      </c>
      <c r="L69" s="552">
        <f>IF(L$41=$C33,IF(L$40="dx",$R33,-$Q33),IF(L$41=$D33,IF(L$40="dx",-$T33,$S33),IF(L$41=$B33,IF(L$40="dx",($T33-$R33),($Q33-$S33)),0)))</f>
        <v/>
      </c>
      <c r="M69" s="552">
        <f>IF(M$41=$C33,IF(M$40="dx",$R33,-$Q33),IF(M$41=$D33,IF(M$40="dx",-$T33,$S33),IF(M$41=$B33,IF(M$40="dx",($T33-$R33),($Q33-$S33)),0)))</f>
        <v/>
      </c>
      <c r="N69" s="552">
        <f>IF(N$41=$C33,IF(N$40="dx",$R33,-$Q33),IF(N$41=$D33,IF(N$40="dx",-$T33,$S33),IF(N$41=$B33,IF(N$40="dx",($T33-$R33),($Q33-$S33)),0)))</f>
        <v/>
      </c>
      <c r="O69" s="552">
        <f>IF(O$41=$C33,IF(O$40="dx",$R33,-$Q33),IF(O$41=$D33,IF(O$40="dx",-$T33,$S33),IF(O$41=$B33,IF(O$40="dx",($T33-$R33),($Q33-$S33)),0)))</f>
        <v/>
      </c>
      <c r="P69" s="1">
        <f>IF(P$41=$C33,IF(P$40="dx",$R33,-$Q33),IF(P$41=$D33,IF(P$40="dx",-$T33,$S33),IF(P$41=$B33,IF(P$40="dx",($T33-$R33),($Q33-$S33)),0)))</f>
        <v/>
      </c>
      <c r="Q69" s="630">
        <f>IF(Q$41=$C33,IF(Q$40="dx",$R33,-$Q33),IF(Q$41=$D33,IF(Q$40="dx",-$T33,$S33),IF(Q$41=$B33,IF(Q$40="dx",($T33-$R33),($Q33-$S33)),0)))</f>
        <v/>
      </c>
      <c r="R69" s="628" t="n"/>
      <c r="S69" s="90">
        <f>P33*10000</f>
        <v/>
      </c>
      <c r="T69" s="629" t="n"/>
    </row>
    <row r="70">
      <c r="B70" s="627">
        <f>IF(B$41=$C34,IF(B$40="dx",$R34,-$Q34),IF(B$41=$D34,IF(B$40="dx",-$T34,$S34),IF(B$41=$B34,IF(B$40="dx",($T34-$R34),($Q34-$S34)),0)))</f>
        <v/>
      </c>
      <c r="C70" s="1">
        <f>IF(C$41=$C34,IF(C$40="dx",$R34,-$Q34),IF(C$41=$D34,IF(C$40="dx",-$T34,$S34),IF(C$41=$B34,IF(C$40="dx",($T34-$R34),($Q34-$S34)),0)))</f>
        <v/>
      </c>
      <c r="D70" s="1">
        <f>IF(D$41=$C34,IF(D$40="dx",$R34,-$Q34),IF(D$41=$D34,IF(D$40="dx",-$T34,$S34),IF(D$41=$B34,IF(D$40="dx",($T34-$R34),($Q34-$S34)),0)))</f>
        <v/>
      </c>
      <c r="E70" s="1">
        <f>IF(E$41=$C34,IF(E$40="dx",$R34,-$Q34),IF(E$41=$D34,IF(E$40="dx",-$T34,$S34),IF(E$41=$B34,IF(E$40="dx",($T34-$R34),($Q34-$S34)),0)))</f>
        <v/>
      </c>
      <c r="F70" s="1">
        <f>IF(F$41=$C34,IF(F$40="dx",$R34,-$Q34),IF(F$41=$D34,IF(F$40="dx",-$T34,$S34),IF(F$41=$B34,IF(F$40="dx",($T34-$R34),($Q34-$S34)),0)))</f>
        <v/>
      </c>
      <c r="G70" s="1">
        <f>IF(G$41=$C34,IF(G$40="dx",$R34,-$Q34),IF(G$41=$D34,IF(G$40="dx",-$T34,$S34),IF(G$41=$B34,IF(G$40="dx",($T34-$R34),($Q34-$S34)),0)))</f>
        <v/>
      </c>
      <c r="H70" s="1">
        <f>IF(H$41=$C34,IF(H$40="dx",$R34,-$Q34),IF(H$41=$D34,IF(H$40="dx",-$T34,$S34),IF(H$41=$B34,IF(H$40="dx",($T34-$R34),($Q34-$S34)),0)))</f>
        <v/>
      </c>
      <c r="I70" s="1">
        <f>IF(I$41=$C34,IF(I$40="dx",$R34,-$Q34),IF(I$41=$D34,IF(I$40="dx",-$T34,$S34),IF(I$41=$B34,IF(I$40="dx",($T34-$R34),($Q34-$S34)),0)))</f>
        <v/>
      </c>
      <c r="J70" s="552">
        <f>IF(J$41=$C34,IF(J$40="dx",$R34,-$Q34),IF(J$41=$D34,IF(J$40="dx",-$T34,$S34),IF(J$41=$B34,IF(J$40="dx",($T34-$R34),($Q34-$S34)),0)))</f>
        <v/>
      </c>
      <c r="K70" s="552">
        <f>IF(K$41=$C34,IF(K$40="dx",$R34,-$Q34),IF(K$41=$D34,IF(K$40="dx",-$T34,$S34),IF(K$41=$B34,IF(K$40="dx",($T34-$R34),($Q34-$S34)),0)))</f>
        <v/>
      </c>
      <c r="L70" s="552">
        <f>IF(L$41=$C34,IF(L$40="dx",$R34,-$Q34),IF(L$41=$D34,IF(L$40="dx",-$T34,$S34),IF(L$41=$B34,IF(L$40="dx",($T34-$R34),($Q34-$S34)),0)))</f>
        <v/>
      </c>
      <c r="M70" s="552">
        <f>IF(M$41=$C34,IF(M$40="dx",$R34,-$Q34),IF(M$41=$D34,IF(M$40="dx",-$T34,$S34),IF(M$41=$B34,IF(M$40="dx",($T34-$R34),($Q34-$S34)),0)))</f>
        <v/>
      </c>
      <c r="N70" s="1">
        <f>IF(N$41=$C34,IF(N$40="dx",$R34,-$Q34),IF(N$41=$D34,IF(N$40="dx",-$T34,$S34),IF(N$41=$B34,IF(N$40="dx",($T34-$R34),($Q34-$S34)),0)))</f>
        <v/>
      </c>
      <c r="O70" s="1">
        <f>IF(O$41=$C34,IF(O$40="dx",$R34,-$Q34),IF(O$41=$D34,IF(O$40="dx",-$T34,$S34),IF(O$41=$B34,IF(O$40="dx",($T34-$R34),($Q34-$S34)),0)))</f>
        <v/>
      </c>
      <c r="P70" s="552">
        <f>IF(P$41=$C34,IF(P$40="dx",$R34,-$Q34),IF(P$41=$D34,IF(P$40="dx",-$T34,$S34),IF(P$41=$B34,IF(P$40="dx",($T34-$R34),($Q34-$S34)),0)))</f>
        <v/>
      </c>
      <c r="Q70" s="619">
        <f>IF(Q$41=$C34,IF(Q$40="dx",$R34,-$Q34),IF(Q$41=$D34,IF(Q$40="dx",-$T34,$S34),IF(Q$41=$B34,IF(Q$40="dx",($T34-$R34),($Q34-$S34)),0)))</f>
        <v/>
      </c>
      <c r="R70" s="628" t="n"/>
      <c r="S70" s="90">
        <f>P34*10000</f>
        <v/>
      </c>
      <c r="T70" s="629" t="n"/>
    </row>
    <row r="71">
      <c r="B71" s="627">
        <f>IF(B$41=$C35,IF(B$40="dx",$R35,-$Q35),IF(B$41=$D35,IF(B$40="dx",-$T35,$S35),IF(B$41=$B35,IF(B$40="dx",($T35-$R35),($Q35-$S35)),0)))</f>
        <v/>
      </c>
      <c r="C71" s="1">
        <f>IF(C$41=$C35,IF(C$40="dx",$R35,-$Q35),IF(C$41=$D35,IF(C$40="dx",-$T35,$S35),IF(C$41=$B35,IF(C$40="dx",($T35-$R35),($Q35-$S35)),0)))</f>
        <v/>
      </c>
      <c r="D71" s="1">
        <f>IF(D$41=$C35,IF(D$40="dx",$R35,-$Q35),IF(D$41=$D35,IF(D$40="dx",-$T35,$S35),IF(D$41=$B35,IF(D$40="dx",($T35-$R35),($Q35-$S35)),0)))</f>
        <v/>
      </c>
      <c r="E71" s="1">
        <f>IF(E$41=$C35,IF(E$40="dx",$R35,-$Q35),IF(E$41=$D35,IF(E$40="dx",-$T35,$S35),IF(E$41=$B35,IF(E$40="dx",($T35-$R35),($Q35-$S35)),0)))</f>
        <v/>
      </c>
      <c r="F71" s="1">
        <f>IF(F$41=$C35,IF(F$40="dx",$R35,-$Q35),IF(F$41=$D35,IF(F$40="dx",-$T35,$S35),IF(F$41=$B35,IF(F$40="dx",($T35-$R35),($Q35-$S35)),0)))</f>
        <v/>
      </c>
      <c r="G71" s="1">
        <f>IF(G$41=$C35,IF(G$40="dx",$R35,-$Q35),IF(G$41=$D35,IF(G$40="dx",-$T35,$S35),IF(G$41=$B35,IF(G$40="dx",($T35-$R35),($Q35-$S35)),0)))</f>
        <v/>
      </c>
      <c r="H71" s="552">
        <f>IF(H$41=$C35,IF(H$40="dx",$R35,-$Q35),IF(H$41=$D35,IF(H$40="dx",-$T35,$S35),IF(H$41=$B35,IF(H$40="dx",($T35-$R35),($Q35-$S35)),0)))</f>
        <v/>
      </c>
      <c r="I71" s="552">
        <f>IF(I$41=$C35,IF(I$40="dx",$R35,-$Q35),IF(I$41=$D35,IF(I$40="dx",-$T35,$S35),IF(I$41=$B35,IF(I$40="dx",($T35-$R35),($Q35-$S35)),0)))</f>
        <v/>
      </c>
      <c r="J71" s="552">
        <f>IF(J$41=$C35,IF(J$40="dx",$R35,-$Q35),IF(J$41=$D35,IF(J$40="dx",-$T35,$S35),IF(J$41=$B35,IF(J$40="dx",($T35-$R35),($Q35-$S35)),0)))</f>
        <v/>
      </c>
      <c r="K71" s="552">
        <f>IF(K$41=$C35,IF(K$40="dx",$R35,-$Q35),IF(K$41=$D35,IF(K$40="dx",-$T35,$S35),IF(K$41=$B35,IF(K$40="dx",($T35-$R35),($Q35-$S35)),0)))</f>
        <v/>
      </c>
      <c r="L71" s="1">
        <f>IF(L$41=$C35,IF(L$40="dx",$R35,-$Q35),IF(L$41=$D35,IF(L$40="dx",-$T35,$S35),IF(L$41=$B35,IF(L$40="dx",($T35-$R35),($Q35-$S35)),0)))</f>
        <v/>
      </c>
      <c r="M71" s="1">
        <f>IF(M$41=$C35,IF(M$40="dx",$R35,-$Q35),IF(M$41=$D35,IF(M$40="dx",-$T35,$S35),IF(M$41=$B35,IF(M$40="dx",($T35-$R35),($Q35-$S35)),0)))</f>
        <v/>
      </c>
      <c r="N71" s="1">
        <f>IF(N$41=$C35,IF(N$40="dx",$R35,-$Q35),IF(N$41=$D35,IF(N$40="dx",-$T35,$S35),IF(N$41=$B35,IF(N$40="dx",($T35-$R35),($Q35-$S35)),0)))</f>
        <v/>
      </c>
      <c r="O71" s="1">
        <f>IF(O$41=$C35,IF(O$40="dx",$R35,-$Q35),IF(O$41=$D35,IF(O$40="dx",-$T35,$S35),IF(O$41=$B35,IF(O$40="dx",($T35-$R35),($Q35-$S35)),0)))</f>
        <v/>
      </c>
      <c r="P71" s="552">
        <f>IF(P$41=$C35,IF(P$40="dx",$R35,-$Q35),IF(P$41=$D35,IF(P$40="dx",-$T35,$S35),IF(P$41=$B35,IF(P$40="dx",($T35-$R35),($Q35-$S35)),0)))</f>
        <v/>
      </c>
      <c r="Q71" s="619">
        <f>IF(Q$41=$C35,IF(Q$40="dx",$R35,-$Q35),IF(Q$41=$D35,IF(Q$40="dx",-$T35,$S35),IF(Q$41=$B35,IF(Q$40="dx",($T35-$R35),($Q35-$S35)),0)))</f>
        <v/>
      </c>
      <c r="R71" s="628" t="n"/>
      <c r="S71" s="90">
        <f>P35*10000</f>
        <v/>
      </c>
      <c r="T71" s="629" t="n"/>
    </row>
    <row r="72">
      <c r="B72" s="627">
        <f>IF(B$41=$C36,IF(B$40="dx",$R36,-$Q36),IF(B$41=$D36,IF(B$40="dx",-$T36,$S36),IF(B$41=$B36,IF(B$40="dx",($T36-$R36),($Q36-$S36)),0)))</f>
        <v/>
      </c>
      <c r="C72" s="1">
        <f>IF(C$41=$C36,IF(C$40="dx",$R36,-$Q36),IF(C$41=$D36,IF(C$40="dx",-$T36,$S36),IF(C$41=$B36,IF(C$40="dx",($T36-$R36),($Q36-$S36)),0)))</f>
        <v/>
      </c>
      <c r="D72" s="1">
        <f>IF(D$41=$C36,IF(D$40="dx",$R36,-$Q36),IF(D$41=$D36,IF(D$40="dx",-$T36,$S36),IF(D$41=$B36,IF(D$40="dx",($T36-$R36),($Q36-$S36)),0)))</f>
        <v/>
      </c>
      <c r="E72" s="1">
        <f>IF(E$41=$C36,IF(E$40="dx",$R36,-$Q36),IF(E$41=$D36,IF(E$40="dx",-$T36,$S36),IF(E$41=$B36,IF(E$40="dx",($T36-$R36),($Q36-$S36)),0)))</f>
        <v/>
      </c>
      <c r="F72" s="1">
        <f>IF(F$41=$C36,IF(F$40="dx",$R36,-$Q36),IF(F$41=$D36,IF(F$40="dx",-$T36,$S36),IF(F$41=$B36,IF(F$40="dx",($T36-$R36),($Q36-$S36)),0)))</f>
        <v/>
      </c>
      <c r="G72" s="1">
        <f>IF(G$41=$C36,IF(G$40="dx",$R36,-$Q36),IF(G$41=$D36,IF(G$40="dx",-$T36,$S36),IF(G$41=$B36,IF(G$40="dx",($T36-$R36),($Q36-$S36)),0)))</f>
        <v/>
      </c>
      <c r="H72" s="552">
        <f>IF(H$41=$C36,IF(H$40="dx",$R36,-$Q36),IF(H$41=$D36,IF(H$40="dx",-$T36,$S36),IF(H$41=$B36,IF(H$40="dx",($T36-$R36),($Q36-$S36)),0)))</f>
        <v/>
      </c>
      <c r="I72" s="552">
        <f>IF(I$41=$C36,IF(I$40="dx",$R36,-$Q36),IF(I$41=$D36,IF(I$40="dx",-$T36,$S36),IF(I$41=$B36,IF(I$40="dx",($T36-$R36),($Q36-$S36)),0)))</f>
        <v/>
      </c>
      <c r="J72" s="552">
        <f>IF(J$41=$C36,IF(J$40="dx",$R36,-$Q36),IF(J$41=$D36,IF(J$40="dx",-$T36,$S36),IF(J$41=$B36,IF(J$40="dx",($T36-$R36),($Q36-$S36)),0)))</f>
        <v/>
      </c>
      <c r="K72" s="552">
        <f>IF(K$41=$C36,IF(K$40="dx",$R36,-$Q36),IF(K$41=$D36,IF(K$40="dx",-$T36,$S36),IF(K$41=$B36,IF(K$40="dx",($T36-$R36),($Q36-$S36)),0)))</f>
        <v/>
      </c>
      <c r="L72" s="552">
        <f>IF(L$41=$C36,IF(L$40="dx",$R36,-$Q36),IF(L$41=$D36,IF(L$40="dx",-$T36,$S36),IF(L$41=$B36,IF(L$40="dx",($T36-$R36),($Q36-$S36)),0)))</f>
        <v/>
      </c>
      <c r="M72" s="552">
        <f>IF(M$41=$C36,IF(M$40="dx",$R36,-$Q36),IF(M$41=$D36,IF(M$40="dx",-$T36,$S36),IF(M$41=$B36,IF(M$40="dx",($T36-$R36),($Q36-$S36)),0)))</f>
        <v/>
      </c>
      <c r="N72" s="1">
        <f>IF(N$41=$C36,IF(N$40="dx",$R36,-$Q36),IF(N$41=$D36,IF(N$40="dx",-$T36,$S36),IF(N$41=$B36,IF(N$40="dx",($T36-$R36),($Q36-$S36)),0)))</f>
        <v/>
      </c>
      <c r="O72" s="1">
        <f>IF(O$41=$C36,IF(O$40="dx",$R36,-$Q36),IF(O$41=$D36,IF(O$40="dx",-$T36,$S36),IF(O$41=$B36,IF(O$40="dx",($T36-$R36),($Q36-$S36)),0)))</f>
        <v/>
      </c>
      <c r="P72" s="1">
        <f>IF(P$41=$C36,IF(P$40="dx",$R36,-$Q36),IF(P$41=$D36,IF(P$40="dx",-$T36,$S36),IF(P$41=$B36,IF(P$40="dx",($T36-$R36),($Q36-$S36)),0)))</f>
        <v/>
      </c>
      <c r="Q72" s="630">
        <f>IF(Q$41=$C36,IF(Q$40="dx",$R36,-$Q36),IF(Q$41=$D36,IF(Q$40="dx",-$T36,$S36),IF(Q$41=$B36,IF(Q$40="dx",($T36-$R36),($Q36-$S36)),0)))</f>
        <v/>
      </c>
      <c r="R72" s="628" t="n"/>
      <c r="S72" s="90">
        <f>P36*10000</f>
        <v/>
      </c>
      <c r="T72" s="629" t="n"/>
    </row>
    <row r="73">
      <c r="B73" s="627">
        <f>IF(B$41=$C37,IF(B$40="dx",$R37,-$Q37),IF(B$41=$D37,IF(B$40="dx",-$T37,$S37),IF(B$41=$B37,IF(B$40="dx",($T37-$R37),($Q37-$S37)),0)))</f>
        <v/>
      </c>
      <c r="C73" s="14">
        <f>IF(C$41=$C37,IF(C$40="dx",$R37,-$Q37),IF(C$41=$D37,IF(C$40="dx",-$T37,$S37),IF(C$41=$B37,IF(C$40="dx",($T37-$R37),($Q37-$S37)),0)))</f>
        <v/>
      </c>
      <c r="D73" s="14">
        <f>IF(D$41=$C37,IF(D$40="dx",$R37,-$Q37),IF(D$41=$D37,IF(D$40="dx",-$T37,$S37),IF(D$41=$B37,IF(D$40="dx",($T37-$R37),($Q37-$S37)),0)))</f>
        <v/>
      </c>
      <c r="E73" s="14">
        <f>IF(E$41=$C37,IF(E$40="dx",$R37,-$Q37),IF(E$41=$D37,IF(E$40="dx",-$T37,$S37),IF(E$41=$B37,IF(E$40="dx",($T37-$R37),($Q37-$S37)),0)))</f>
        <v/>
      </c>
      <c r="F73" s="14">
        <f>IF(F$41=$C37,IF(F$40="dx",$R37,-$Q37),IF(F$41=$D37,IF(F$40="dx",-$T37,$S37),IF(F$41=$B37,IF(F$40="dx",($T37-$R37),($Q37-$S37)),0)))</f>
        <v/>
      </c>
      <c r="G73" s="14">
        <f>IF(G$41=$C37,IF(G$40="dx",$R37,-$Q37),IF(G$41=$D37,IF(G$40="dx",-$T37,$S37),IF(G$41=$B37,IF(G$40="dx",($T37-$R37),($Q37-$S37)),0)))</f>
        <v/>
      </c>
      <c r="H73" s="552">
        <f>IF(H$41=$C37,IF(H$40="dx",$R37,-$Q37),IF(H$41=$D37,IF(H$40="dx",-$T37,$S37),IF(H$41=$B37,IF(H$40="dx",($T37-$R37),($Q37-$S37)),0)))</f>
        <v/>
      </c>
      <c r="I73" s="552">
        <f>IF(I$41=$C37,IF(I$40="dx",$R37,-$Q37),IF(I$41=$D37,IF(I$40="dx",-$T37,$S37),IF(I$41=$B37,IF(I$40="dx",($T37-$R37),($Q37-$S37)),0)))</f>
        <v/>
      </c>
      <c r="J73" s="14">
        <f>IF(J$41=$C37,IF(J$40="dx",$R37,-$Q37),IF(J$41=$D37,IF(J$40="dx",-$T37,$S37),IF(J$41=$B37,IF(J$40="dx",($T37-$R37),($Q37-$S37)),0)))</f>
        <v/>
      </c>
      <c r="K73" s="14">
        <f>IF(K$41=$C37,IF(K$40="dx",$R37,-$Q37),IF(K$41=$D37,IF(K$40="dx",-$T37,$S37),IF(K$41=$B37,IF(K$40="dx",($T37-$R37),($Q37-$S37)),0)))</f>
        <v/>
      </c>
      <c r="L73" s="552">
        <f>IF(L$41=$C37,IF(L$40="dx",$R37,-$Q37),IF(L$41=$D37,IF(L$40="dx",-$T37,$S37),IF(L$41=$B37,IF(L$40="dx",($T37-$R37),($Q37-$S37)),0)))</f>
        <v/>
      </c>
      <c r="M73" s="552">
        <f>IF(M$41=$C37,IF(M$40="dx",$R37,-$Q37),IF(M$41=$D37,IF(M$40="dx",-$T37,$S37),IF(M$41=$B37,IF(M$40="dx",($T37-$R37),($Q37-$S37)),0)))</f>
        <v/>
      </c>
      <c r="N73" s="14">
        <f>IF(N$41=$C37,IF(N$40="dx",$R37,-$Q37),IF(N$41=$D37,IF(N$40="dx",-$T37,$S37),IF(N$41=$B37,IF(N$40="dx",($T37-$R37),($Q37-$S37)),0)))</f>
        <v/>
      </c>
      <c r="O73" s="14">
        <f>IF(O$41=$C37,IF(O$40="dx",$R37,-$Q37),IF(O$41=$D37,IF(O$40="dx",-$T37,$S37),IF(O$41=$B37,IF(O$40="dx",($T37-$R37),($Q37-$S37)),0)))</f>
        <v/>
      </c>
      <c r="P73" s="552">
        <f>IF(P$41=$C37,IF(P$40="dx",$R37,-$Q37),IF(P$41=$D37,IF(P$40="dx",-$T37,$S37),IF(P$41=$B37,IF(P$40="dx",($T37-$R37),($Q37-$S37)),0)))</f>
        <v/>
      </c>
      <c r="Q73" s="619">
        <f>IF(Q$41=$C37,IF(Q$40="dx",$R37,-$Q37),IF(Q$41=$D37,IF(Q$40="dx",-$T37,$S37),IF(Q$41=$B37,IF(Q$40="dx",($T37-$R37),($Q37-$S37)),0)))</f>
        <v/>
      </c>
      <c r="R73" s="628" t="n"/>
      <c r="S73" s="91">
        <f>P37*10000</f>
        <v/>
      </c>
      <c r="T73" s="629" t="n"/>
    </row>
    <row r="74" ht="15.95" customHeight="1">
      <c r="B74" s="631" t="n"/>
      <c r="C74" s="632" t="n"/>
      <c r="D74" s="632" t="n"/>
      <c r="E74" s="632" t="n"/>
      <c r="F74" s="633" t="n"/>
      <c r="G74" s="633" t="n"/>
      <c r="H74" s="633" t="n"/>
      <c r="I74" s="633" t="n"/>
      <c r="J74" s="632" t="n"/>
      <c r="K74" s="632" t="n"/>
      <c r="L74" s="632" t="n"/>
      <c r="M74" s="632" t="n"/>
      <c r="N74" s="632" t="n"/>
      <c r="O74" s="632" t="n"/>
      <c r="P74" s="633" t="n"/>
      <c r="Q74" s="634" t="n"/>
      <c r="R74" s="635" t="n"/>
      <c r="T74" s="636" t="n"/>
    </row>
    <row r="75">
      <c r="B75" s="263" t="inlineStr">
        <is>
          <t>A</t>
        </is>
      </c>
      <c r="C75" s="506" t="n"/>
      <c r="D75" s="506" t="n"/>
      <c r="E75" s="506" t="n"/>
      <c r="F75" s="506" t="n"/>
      <c r="G75" s="506" t="n"/>
      <c r="H75" s="506" t="n"/>
      <c r="I75" s="506" t="n"/>
      <c r="J75" s="506" t="n"/>
      <c r="K75" s="506" t="n"/>
      <c r="L75" s="506" t="n"/>
      <c r="M75" s="506" t="n"/>
      <c r="N75" s="506" t="n"/>
      <c r="O75" s="506" t="n"/>
      <c r="P75" s="506" t="n"/>
      <c r="Q75" s="637" t="n"/>
      <c r="S75" s="260" t="inlineStr">
        <is>
          <t>L</t>
        </is>
      </c>
    </row>
    <row r="76" ht="15.95" customHeight="1">
      <c r="B76" s="73">
        <f>B42/$L4</f>
        <v/>
      </c>
      <c r="C76" s="74">
        <f>C42/$L4</f>
        <v/>
      </c>
      <c r="D76" s="74">
        <f>D42/$L4</f>
        <v/>
      </c>
      <c r="E76" s="74">
        <f>E42/$L4</f>
        <v/>
      </c>
      <c r="F76" s="74">
        <f>F42/$L4</f>
        <v/>
      </c>
      <c r="G76" s="74">
        <f>G42/$L4</f>
        <v/>
      </c>
      <c r="H76" s="74">
        <f>H42/$L4</f>
        <v/>
      </c>
      <c r="I76" s="74">
        <f>I42/$L4</f>
        <v/>
      </c>
      <c r="J76" s="74">
        <f>J42/$L4</f>
        <v/>
      </c>
      <c r="K76" s="74">
        <f>K42/$L4</f>
        <v/>
      </c>
      <c r="L76" s="74">
        <f>L42/$L4</f>
        <v/>
      </c>
      <c r="M76" s="74">
        <f>M42/$L4</f>
        <v/>
      </c>
      <c r="N76" s="74">
        <f>N42/$L4</f>
        <v/>
      </c>
      <c r="O76" s="74">
        <f>O42/$L4</f>
        <v/>
      </c>
      <c r="P76" s="74">
        <f>P42/$L4</f>
        <v/>
      </c>
      <c r="Q76" s="95">
        <f>Q42/$L4</f>
        <v/>
      </c>
      <c r="S76" s="75">
        <f>S42/$L4</f>
        <v/>
      </c>
    </row>
    <row r="77">
      <c r="B77" s="638">
        <f>B43/$L5</f>
        <v/>
      </c>
      <c r="C77" s="599">
        <f>C43/$L5</f>
        <v/>
      </c>
      <c r="D77" s="599">
        <f>D43/$L5</f>
        <v/>
      </c>
      <c r="E77" s="599">
        <f>E43/$L5</f>
        <v/>
      </c>
      <c r="F77" s="599">
        <f>F43/$L5</f>
        <v/>
      </c>
      <c r="G77" s="599">
        <f>G43/$L5</f>
        <v/>
      </c>
      <c r="H77" s="599">
        <f>H43/$L5</f>
        <v/>
      </c>
      <c r="I77" s="599">
        <f>I43/$L5</f>
        <v/>
      </c>
      <c r="J77" s="599">
        <f>J43/$L5</f>
        <v/>
      </c>
      <c r="K77" s="599">
        <f>K43/$L5</f>
        <v/>
      </c>
      <c r="L77" s="599">
        <f>L43/$L5</f>
        <v/>
      </c>
      <c r="M77" s="599">
        <f>M43/$L5</f>
        <v/>
      </c>
      <c r="N77" s="599">
        <f>N43/$L5</f>
        <v/>
      </c>
      <c r="O77" s="599">
        <f>O43/$L5</f>
        <v/>
      </c>
      <c r="P77" s="599">
        <f>P43/$L5</f>
        <v/>
      </c>
      <c r="Q77" s="600">
        <f>Q43/$L5</f>
        <v/>
      </c>
      <c r="S77" s="78">
        <f>S43/$L5</f>
        <v/>
      </c>
    </row>
    <row r="78">
      <c r="B78" s="639">
        <f>B44/$L6</f>
        <v/>
      </c>
      <c r="C78" s="640">
        <f>C44/$L6</f>
        <v/>
      </c>
      <c r="D78" s="640">
        <f>D44/$L6</f>
        <v/>
      </c>
      <c r="E78" s="640">
        <f>E44/$L6</f>
        <v/>
      </c>
      <c r="F78" s="640">
        <f>F44/$L6</f>
        <v/>
      </c>
      <c r="G78" s="640">
        <f>G44/$L6</f>
        <v/>
      </c>
      <c r="H78" s="640">
        <f>H44/$L6</f>
        <v/>
      </c>
      <c r="I78" s="640">
        <f>I44/$L6</f>
        <v/>
      </c>
      <c r="J78" s="640">
        <f>J44/$L6</f>
        <v/>
      </c>
      <c r="K78" s="640">
        <f>K44/$L6</f>
        <v/>
      </c>
      <c r="L78" s="640">
        <f>L44/$L6</f>
        <v/>
      </c>
      <c r="M78" s="640">
        <f>M44/$L6</f>
        <v/>
      </c>
      <c r="N78" s="640">
        <f>N44/$L6</f>
        <v/>
      </c>
      <c r="O78" s="640">
        <f>O44/$L6</f>
        <v/>
      </c>
      <c r="P78" s="640">
        <f>P44/$L6</f>
        <v/>
      </c>
      <c r="Q78" s="641">
        <f>Q44/$L6</f>
        <v/>
      </c>
      <c r="R78" s="642" t="n"/>
      <c r="S78" s="78">
        <f>S44/$L6</f>
        <v/>
      </c>
      <c r="T78" s="607" t="n"/>
    </row>
    <row r="79">
      <c r="B79" s="643">
        <f>B45/$L7</f>
        <v/>
      </c>
      <c r="C79" s="644">
        <f>C45/$L7</f>
        <v/>
      </c>
      <c r="D79" s="644">
        <f>D45/$L7</f>
        <v/>
      </c>
      <c r="E79" s="644">
        <f>E45/$L7</f>
        <v/>
      </c>
      <c r="F79" s="644">
        <f>F45/$L7</f>
        <v/>
      </c>
      <c r="G79" s="644">
        <f>G45/$L7</f>
        <v/>
      </c>
      <c r="H79" s="645">
        <f>H45/$L7</f>
        <v/>
      </c>
      <c r="I79" s="645">
        <f>I45/$L7</f>
        <v/>
      </c>
      <c r="J79" s="644">
        <f>J45/$L7</f>
        <v/>
      </c>
      <c r="K79" s="644">
        <f>K45/$L7</f>
        <v/>
      </c>
      <c r="L79" s="644">
        <f>L45/$L7</f>
        <v/>
      </c>
      <c r="M79" s="644">
        <f>M45/$L7</f>
        <v/>
      </c>
      <c r="N79" s="644">
        <f>N45/$L7</f>
        <v/>
      </c>
      <c r="O79" s="644">
        <f>O45/$L7</f>
        <v/>
      </c>
      <c r="P79" s="644">
        <f>P45/$L7</f>
        <v/>
      </c>
      <c r="Q79" s="646">
        <f>Q45/$L7</f>
        <v/>
      </c>
      <c r="R79" s="544" t="n"/>
      <c r="S79" s="78">
        <f>S45/$L7</f>
        <v/>
      </c>
      <c r="T79" s="571" t="n"/>
    </row>
    <row r="80">
      <c r="A80" s="612" t="n"/>
      <c r="B80" s="647">
        <f>B46/$L8</f>
        <v/>
      </c>
      <c r="C80" s="648">
        <f>C46/$L8</f>
        <v/>
      </c>
      <c r="D80" s="648">
        <f>D46/$L8</f>
        <v/>
      </c>
      <c r="E80" s="648">
        <f>E46/$L8</f>
        <v/>
      </c>
      <c r="F80" s="648">
        <f>F46/$L8</f>
        <v/>
      </c>
      <c r="G80" s="648">
        <f>G46/$L8</f>
        <v/>
      </c>
      <c r="H80" s="648">
        <f>H46/$L8</f>
        <v/>
      </c>
      <c r="I80" s="648">
        <f>I46/$L8</f>
        <v/>
      </c>
      <c r="J80" s="648">
        <f>J46/$L8</f>
        <v/>
      </c>
      <c r="K80" s="648">
        <f>K46/$L8</f>
        <v/>
      </c>
      <c r="L80" s="648">
        <f>L46/$L8</f>
        <v/>
      </c>
      <c r="M80" s="648">
        <f>M46/$L8</f>
        <v/>
      </c>
      <c r="N80" s="648">
        <f>N46/$L8</f>
        <v/>
      </c>
      <c r="O80" s="648">
        <f>O46/$L8</f>
        <v/>
      </c>
      <c r="P80" s="648">
        <f>P46/$L8</f>
        <v/>
      </c>
      <c r="Q80" s="649">
        <f>Q46/$L8</f>
        <v/>
      </c>
      <c r="R80" s="555" t="n"/>
      <c r="S80" s="78">
        <f>S46/$L8</f>
        <v/>
      </c>
      <c r="T80" s="617" t="n"/>
    </row>
    <row r="81">
      <c r="A81" s="612" t="n"/>
      <c r="B81" s="650">
        <f>B47/$L9</f>
        <v/>
      </c>
      <c r="C81" s="487">
        <f>C47/$L9</f>
        <v/>
      </c>
      <c r="D81" s="487">
        <f>D47/$L9</f>
        <v/>
      </c>
      <c r="E81" s="487">
        <f>E47/$L9</f>
        <v/>
      </c>
      <c r="F81" s="487">
        <f>F47/$L9</f>
        <v/>
      </c>
      <c r="G81" s="487">
        <f>G47/$L9</f>
        <v/>
      </c>
      <c r="H81" s="487">
        <f>H47/$L9</f>
        <v/>
      </c>
      <c r="I81" s="487">
        <f>I47/$L9</f>
        <v/>
      </c>
      <c r="J81" s="487">
        <f>J47/$L9</f>
        <v/>
      </c>
      <c r="K81" s="487">
        <f>K47/$L9</f>
        <v/>
      </c>
      <c r="L81" s="487">
        <f>L47/$L9</f>
        <v/>
      </c>
      <c r="M81" s="487">
        <f>M47/$L9</f>
        <v/>
      </c>
      <c r="N81" s="487">
        <f>N47/$L9</f>
        <v/>
      </c>
      <c r="O81" s="487">
        <f>O47/$L9</f>
        <v/>
      </c>
      <c r="P81" s="487">
        <f>P47/$L9</f>
        <v/>
      </c>
      <c r="Q81" s="630">
        <f>Q47/$L9</f>
        <v/>
      </c>
      <c r="R81" s="544" t="n"/>
      <c r="S81" s="78">
        <f>S47/$L9</f>
        <v/>
      </c>
      <c r="T81" s="542" t="n"/>
    </row>
    <row r="82">
      <c r="A82" s="612" t="n"/>
      <c r="B82" s="650">
        <f>B48/$L10</f>
        <v/>
      </c>
      <c r="C82" s="487">
        <f>C48/$L10</f>
        <v/>
      </c>
      <c r="D82" s="487">
        <f>D48/$L10</f>
        <v/>
      </c>
      <c r="E82" s="487">
        <f>E48/$L10</f>
        <v/>
      </c>
      <c r="F82" s="487">
        <f>F48/$L10</f>
        <v/>
      </c>
      <c r="G82" s="487">
        <f>G48/$L10</f>
        <v/>
      </c>
      <c r="H82" s="487">
        <f>H48/$L10</f>
        <v/>
      </c>
      <c r="I82" s="487">
        <f>I48/$L10</f>
        <v/>
      </c>
      <c r="J82" s="487">
        <f>J48/$L10</f>
        <v/>
      </c>
      <c r="K82" s="487">
        <f>K48/$L10</f>
        <v/>
      </c>
      <c r="L82" s="487">
        <f>L48/$L10</f>
        <v/>
      </c>
      <c r="M82" s="487">
        <f>M48/$L10</f>
        <v/>
      </c>
      <c r="N82" s="487">
        <f>N48/$L10</f>
        <v/>
      </c>
      <c r="O82" s="487">
        <f>O48/$L10</f>
        <v/>
      </c>
      <c r="P82" s="487">
        <f>P48/$L10</f>
        <v/>
      </c>
      <c r="Q82" s="630">
        <f>Q48/$L10</f>
        <v/>
      </c>
      <c r="R82" s="544" t="n"/>
      <c r="S82" s="78">
        <f>S48/$L10</f>
        <v/>
      </c>
      <c r="T82" s="542" t="n"/>
    </row>
    <row r="83">
      <c r="A83" s="612" t="n"/>
      <c r="B83" s="650">
        <f>B49/$L11</f>
        <v/>
      </c>
      <c r="C83" s="487">
        <f>C49/$L11</f>
        <v/>
      </c>
      <c r="D83" s="487">
        <f>D49/$L11</f>
        <v/>
      </c>
      <c r="E83" s="487">
        <f>E49/$L11</f>
        <v/>
      </c>
      <c r="F83" s="487">
        <f>F49/$L11</f>
        <v/>
      </c>
      <c r="G83" s="487">
        <f>G49/$L11</f>
        <v/>
      </c>
      <c r="H83" s="487">
        <f>H49/$L11</f>
        <v/>
      </c>
      <c r="I83" s="487">
        <f>I49/$L11</f>
        <v/>
      </c>
      <c r="J83" s="487">
        <f>J49/$L11</f>
        <v/>
      </c>
      <c r="K83" s="487">
        <f>K49/$L11</f>
        <v/>
      </c>
      <c r="L83" s="487">
        <f>L49/$L11</f>
        <v/>
      </c>
      <c r="M83" s="487">
        <f>M49/$L11</f>
        <v/>
      </c>
      <c r="N83" s="487">
        <f>N49/$L11</f>
        <v/>
      </c>
      <c r="O83" s="487">
        <f>O49/$L11</f>
        <v/>
      </c>
      <c r="P83" s="487">
        <f>P49/$L11</f>
        <v/>
      </c>
      <c r="Q83" s="630">
        <f>Q49/$L11</f>
        <v/>
      </c>
      <c r="R83" s="544" t="n"/>
      <c r="S83" s="78">
        <f>S49/$L11</f>
        <v/>
      </c>
      <c r="T83" s="542" t="n"/>
    </row>
    <row r="84">
      <c r="A84" s="612" t="n"/>
      <c r="B84" s="650">
        <f>B50/$L12</f>
        <v/>
      </c>
      <c r="C84" s="487">
        <f>C50/$L12</f>
        <v/>
      </c>
      <c r="D84" s="487">
        <f>D50/$L12</f>
        <v/>
      </c>
      <c r="E84" s="487">
        <f>E50/$L12</f>
        <v/>
      </c>
      <c r="F84" s="487">
        <f>F50/$L12</f>
        <v/>
      </c>
      <c r="G84" s="487">
        <f>G50/$L12</f>
        <v/>
      </c>
      <c r="H84" s="487">
        <f>H50/$L12</f>
        <v/>
      </c>
      <c r="I84" s="487">
        <f>I50/$L12</f>
        <v/>
      </c>
      <c r="J84" s="487">
        <f>J50/$L12</f>
        <v/>
      </c>
      <c r="K84" s="487">
        <f>K50/$L12</f>
        <v/>
      </c>
      <c r="L84" s="487">
        <f>L50/$L12</f>
        <v/>
      </c>
      <c r="M84" s="487">
        <f>M50/$L12</f>
        <v/>
      </c>
      <c r="N84" s="487">
        <f>N50/$L12</f>
        <v/>
      </c>
      <c r="O84" s="487">
        <f>O50/$L12</f>
        <v/>
      </c>
      <c r="P84" s="487">
        <f>P50/$L12</f>
        <v/>
      </c>
      <c r="Q84" s="630">
        <f>Q50/$L12</f>
        <v/>
      </c>
      <c r="R84" s="544" t="n"/>
      <c r="S84" s="78">
        <f>S50/$L12</f>
        <v/>
      </c>
      <c r="T84" s="542" t="n"/>
    </row>
    <row r="85">
      <c r="A85" s="612" t="n"/>
      <c r="B85" s="650">
        <f>B51/$L13</f>
        <v/>
      </c>
      <c r="C85" s="487">
        <f>C51/$L13</f>
        <v/>
      </c>
      <c r="D85" s="487">
        <f>D51/$L13</f>
        <v/>
      </c>
      <c r="E85" s="487">
        <f>E51/$L13</f>
        <v/>
      </c>
      <c r="F85" s="487">
        <f>F51/$L13</f>
        <v/>
      </c>
      <c r="G85" s="487">
        <f>G51/$L13</f>
        <v/>
      </c>
      <c r="H85" s="487">
        <f>H51/$L13</f>
        <v/>
      </c>
      <c r="I85" s="487">
        <f>I51/$L13</f>
        <v/>
      </c>
      <c r="J85" s="487">
        <f>J51/$L13</f>
        <v/>
      </c>
      <c r="K85" s="487">
        <f>K51/$L13</f>
        <v/>
      </c>
      <c r="L85" s="487">
        <f>L51/$L13</f>
        <v/>
      </c>
      <c r="M85" s="487">
        <f>M51/$L13</f>
        <v/>
      </c>
      <c r="N85" s="487">
        <f>N51/$L13</f>
        <v/>
      </c>
      <c r="O85" s="487">
        <f>O51/$L13</f>
        <v/>
      </c>
      <c r="P85" s="487">
        <f>P51/$L13</f>
        <v/>
      </c>
      <c r="Q85" s="630">
        <f>Q51/$L13</f>
        <v/>
      </c>
      <c r="R85" s="544" t="n"/>
      <c r="S85" s="78">
        <f>S51/$L13</f>
        <v/>
      </c>
      <c r="T85" s="542" t="n"/>
    </row>
    <row r="86">
      <c r="A86" s="612" t="n"/>
      <c r="B86" s="650">
        <f>B52/$L14</f>
        <v/>
      </c>
      <c r="C86" s="487">
        <f>C52/$L14</f>
        <v/>
      </c>
      <c r="D86" s="487">
        <f>D52/$L14</f>
        <v/>
      </c>
      <c r="E86" s="487">
        <f>E52/$L14</f>
        <v/>
      </c>
      <c r="F86" s="487">
        <f>F52/$L14</f>
        <v/>
      </c>
      <c r="G86" s="487">
        <f>G52/$L14</f>
        <v/>
      </c>
      <c r="H86" s="487">
        <f>H52/$L14</f>
        <v/>
      </c>
      <c r="I86" s="487">
        <f>I52/$L14</f>
        <v/>
      </c>
      <c r="J86" s="487">
        <f>J52/$L14</f>
        <v/>
      </c>
      <c r="K86" s="487">
        <f>K52/$L14</f>
        <v/>
      </c>
      <c r="L86" s="487">
        <f>L52/$L14</f>
        <v/>
      </c>
      <c r="M86" s="487">
        <f>M52/$L14</f>
        <v/>
      </c>
      <c r="N86" s="487">
        <f>N52/$L14</f>
        <v/>
      </c>
      <c r="O86" s="487">
        <f>O52/$L14</f>
        <v/>
      </c>
      <c r="P86" s="487">
        <f>P52/$L14</f>
        <v/>
      </c>
      <c r="Q86" s="630">
        <f>Q52/$L14</f>
        <v/>
      </c>
      <c r="R86" s="544" t="n"/>
      <c r="S86" s="78">
        <f>S52/$L14</f>
        <v/>
      </c>
      <c r="T86" s="542" t="n"/>
    </row>
    <row r="87">
      <c r="A87" s="612" t="n"/>
      <c r="B87" s="650">
        <f>B53/$L15</f>
        <v/>
      </c>
      <c r="C87" s="487">
        <f>C53/$L15</f>
        <v/>
      </c>
      <c r="D87" s="487">
        <f>D53/$L15</f>
        <v/>
      </c>
      <c r="E87" s="487">
        <f>E53/$L15</f>
        <v/>
      </c>
      <c r="F87" s="487">
        <f>F53/$L15</f>
        <v/>
      </c>
      <c r="G87" s="487">
        <f>G53/$L15</f>
        <v/>
      </c>
      <c r="H87" s="487">
        <f>H53/$L15</f>
        <v/>
      </c>
      <c r="I87" s="487">
        <f>I53/$L15</f>
        <v/>
      </c>
      <c r="J87" s="487">
        <f>J53/$L15</f>
        <v/>
      </c>
      <c r="K87" s="487">
        <f>K53/$L15</f>
        <v/>
      </c>
      <c r="L87" s="487">
        <f>L53/$L15</f>
        <v/>
      </c>
      <c r="M87" s="487">
        <f>M53/$L15</f>
        <v/>
      </c>
      <c r="N87" s="487">
        <f>N53/$L15</f>
        <v/>
      </c>
      <c r="O87" s="487">
        <f>O53/$L15</f>
        <v/>
      </c>
      <c r="P87" s="487">
        <f>P53/$L15</f>
        <v/>
      </c>
      <c r="Q87" s="630">
        <f>Q53/$L15</f>
        <v/>
      </c>
      <c r="R87" s="544" t="n"/>
      <c r="S87" s="78">
        <f>S53/$L15</f>
        <v/>
      </c>
      <c r="T87" s="542" t="n"/>
    </row>
    <row r="88">
      <c r="A88" s="612" t="n"/>
      <c r="B88" s="650">
        <f>B54/$L16</f>
        <v/>
      </c>
      <c r="C88" s="487">
        <f>C54/$L16</f>
        <v/>
      </c>
      <c r="D88" s="487">
        <f>D54/$L16</f>
        <v/>
      </c>
      <c r="E88" s="487">
        <f>E54/$L16</f>
        <v/>
      </c>
      <c r="F88" s="487">
        <f>F54/$L16</f>
        <v/>
      </c>
      <c r="G88" s="487">
        <f>G54/$L16</f>
        <v/>
      </c>
      <c r="H88" s="487">
        <f>H54/$L16</f>
        <v/>
      </c>
      <c r="I88" s="487">
        <f>I54/$L16</f>
        <v/>
      </c>
      <c r="J88" s="487">
        <f>J54/$L16</f>
        <v/>
      </c>
      <c r="K88" s="487">
        <f>K54/$L16</f>
        <v/>
      </c>
      <c r="L88" s="487">
        <f>L54/$L16</f>
        <v/>
      </c>
      <c r="M88" s="487">
        <f>M54/$L16</f>
        <v/>
      </c>
      <c r="N88" s="487">
        <f>N54/$L16</f>
        <v/>
      </c>
      <c r="O88" s="487">
        <f>O54/$L16</f>
        <v/>
      </c>
      <c r="P88" s="487">
        <f>P54/$L16</f>
        <v/>
      </c>
      <c r="Q88" s="630">
        <f>Q54/$L16</f>
        <v/>
      </c>
      <c r="R88" s="544" t="n"/>
      <c r="S88" s="78">
        <f>S54/$L16</f>
        <v/>
      </c>
      <c r="T88" s="542" t="n"/>
    </row>
    <row r="89">
      <c r="A89" s="612" t="n"/>
      <c r="B89" s="650">
        <f>B55/$L17</f>
        <v/>
      </c>
      <c r="C89" s="487">
        <f>C55/$L17</f>
        <v/>
      </c>
      <c r="D89" s="487">
        <f>D55/$L17</f>
        <v/>
      </c>
      <c r="E89" s="487">
        <f>E55/$L17</f>
        <v/>
      </c>
      <c r="F89" s="487">
        <f>F55/$L17</f>
        <v/>
      </c>
      <c r="G89" s="487">
        <f>G55/$L17</f>
        <v/>
      </c>
      <c r="H89" s="487">
        <f>H55/$L17</f>
        <v/>
      </c>
      <c r="I89" s="487">
        <f>I55/$L17</f>
        <v/>
      </c>
      <c r="J89" s="487">
        <f>J55/$L17</f>
        <v/>
      </c>
      <c r="K89" s="487">
        <f>K55/$L17</f>
        <v/>
      </c>
      <c r="L89" s="487">
        <f>L55/$L17</f>
        <v/>
      </c>
      <c r="M89" s="487">
        <f>M55/$L17</f>
        <v/>
      </c>
      <c r="N89" s="487">
        <f>N55/$L17</f>
        <v/>
      </c>
      <c r="O89" s="487">
        <f>O55/$L17</f>
        <v/>
      </c>
      <c r="P89" s="487">
        <f>P55/$L17</f>
        <v/>
      </c>
      <c r="Q89" s="630">
        <f>Q55/$L17</f>
        <v/>
      </c>
      <c r="R89" s="544" t="n"/>
      <c r="S89" s="78">
        <f>S55/$L17</f>
        <v/>
      </c>
      <c r="T89" s="542" t="n"/>
    </row>
    <row r="90">
      <c r="A90" s="612" t="n"/>
      <c r="B90" s="650">
        <f>B56/$L18</f>
        <v/>
      </c>
      <c r="C90" s="487">
        <f>C56/$L18</f>
        <v/>
      </c>
      <c r="D90" s="487">
        <f>D56/$L18</f>
        <v/>
      </c>
      <c r="E90" s="487">
        <f>E56/$L18</f>
        <v/>
      </c>
      <c r="F90" s="487">
        <f>F56/$L18</f>
        <v/>
      </c>
      <c r="G90" s="487">
        <f>G56/$L18</f>
        <v/>
      </c>
      <c r="H90" s="487">
        <f>H56/$L18</f>
        <v/>
      </c>
      <c r="I90" s="487">
        <f>I56/$L18</f>
        <v/>
      </c>
      <c r="J90" s="487">
        <f>J56/$L18</f>
        <v/>
      </c>
      <c r="K90" s="487">
        <f>K56/$L18</f>
        <v/>
      </c>
      <c r="L90" s="487">
        <f>L56/$L18</f>
        <v/>
      </c>
      <c r="M90" s="487">
        <f>M56/$L18</f>
        <v/>
      </c>
      <c r="N90" s="487">
        <f>N56/$L18</f>
        <v/>
      </c>
      <c r="O90" s="487">
        <f>O56/$L18</f>
        <v/>
      </c>
      <c r="P90" s="487">
        <f>P56/$L18</f>
        <v/>
      </c>
      <c r="Q90" s="630">
        <f>Q56/$L18</f>
        <v/>
      </c>
      <c r="R90" s="544" t="n"/>
      <c r="S90" s="78">
        <f>S56/$L18</f>
        <v/>
      </c>
      <c r="T90" s="542" t="n"/>
    </row>
    <row r="91">
      <c r="A91" s="612" t="n"/>
      <c r="B91" s="650">
        <f>B57/$L19</f>
        <v/>
      </c>
      <c r="C91" s="487">
        <f>C57/$L19</f>
        <v/>
      </c>
      <c r="D91" s="487">
        <f>D57/$L19</f>
        <v/>
      </c>
      <c r="E91" s="487">
        <f>E57/$L19</f>
        <v/>
      </c>
      <c r="F91" s="487">
        <f>F57/$L19</f>
        <v/>
      </c>
      <c r="G91" s="487">
        <f>G57/$L19</f>
        <v/>
      </c>
      <c r="H91" s="487">
        <f>H57/$L19</f>
        <v/>
      </c>
      <c r="I91" s="487">
        <f>I57/$L19</f>
        <v/>
      </c>
      <c r="J91" s="487">
        <f>J57/$L19</f>
        <v/>
      </c>
      <c r="K91" s="487">
        <f>K57/$L19</f>
        <v/>
      </c>
      <c r="L91" s="487">
        <f>L57/$L19</f>
        <v/>
      </c>
      <c r="M91" s="487">
        <f>M57/$L19</f>
        <v/>
      </c>
      <c r="N91" s="487">
        <f>N57/$L19</f>
        <v/>
      </c>
      <c r="O91" s="487">
        <f>O57/$L19</f>
        <v/>
      </c>
      <c r="P91" s="487">
        <f>P57/$L19</f>
        <v/>
      </c>
      <c r="Q91" s="630">
        <f>Q57/$L19</f>
        <v/>
      </c>
      <c r="R91" s="544" t="n"/>
      <c r="S91" s="78">
        <f>S57/$L19</f>
        <v/>
      </c>
      <c r="T91" s="542" t="n"/>
      <c r="U91" s="21" t="inlineStr">
        <is>
          <t>AT</t>
        </is>
      </c>
      <c r="V91" s="596" t="n"/>
      <c r="W91" s="596" t="n"/>
      <c r="X91" s="596" t="n"/>
      <c r="Y91" s="596" t="n"/>
      <c r="Z91" s="596" t="n"/>
      <c r="AA91" s="596" t="n"/>
      <c r="AB91" s="596" t="n"/>
      <c r="AC91" s="596" t="n"/>
      <c r="AD91" s="596" t="n"/>
      <c r="AE91" s="596" t="n"/>
      <c r="AF91" s="596" t="n"/>
      <c r="AG91" s="596" t="n"/>
      <c r="AH91" s="596" t="n"/>
      <c r="AI91" s="596" t="n"/>
      <c r="AJ91" s="596" t="n"/>
      <c r="AK91" s="596" t="n"/>
      <c r="AL91" s="596" t="n"/>
      <c r="AM91" s="596" t="n"/>
      <c r="AN91" s="596" t="n"/>
      <c r="AO91" s="596" t="n"/>
      <c r="AP91" s="596" t="n"/>
      <c r="AQ91" s="596" t="n"/>
      <c r="AR91" s="596" t="n"/>
      <c r="AS91" s="596" t="n"/>
      <c r="AT91" s="596" t="n"/>
      <c r="AU91" s="596" t="n"/>
      <c r="AV91" s="596" t="n"/>
      <c r="AW91" s="596" t="n"/>
      <c r="AX91" s="596" t="n"/>
      <c r="AY91" s="596" t="n"/>
      <c r="AZ91" s="597" t="n"/>
    </row>
    <row r="92">
      <c r="A92" s="612" t="n"/>
      <c r="B92" s="650">
        <f>B58/$L20</f>
        <v/>
      </c>
      <c r="C92" s="487">
        <f>C58/$L20</f>
        <v/>
      </c>
      <c r="D92" s="487">
        <f>D58/$L20</f>
        <v/>
      </c>
      <c r="E92" s="487">
        <f>E58/$L20</f>
        <v/>
      </c>
      <c r="F92" s="487">
        <f>F58/$L20</f>
        <v/>
      </c>
      <c r="G92" s="487">
        <f>G58/$L20</f>
        <v/>
      </c>
      <c r="H92" s="487">
        <f>H58/$L20</f>
        <v/>
      </c>
      <c r="I92" s="487">
        <f>I58/$L20</f>
        <v/>
      </c>
      <c r="J92" s="487">
        <f>J58/$L20</f>
        <v/>
      </c>
      <c r="K92" s="487">
        <f>K58/$L20</f>
        <v/>
      </c>
      <c r="L92" s="487">
        <f>L58/$L20</f>
        <v/>
      </c>
      <c r="M92" s="487">
        <f>M58/$L20</f>
        <v/>
      </c>
      <c r="N92" s="487">
        <f>N58/$L20</f>
        <v/>
      </c>
      <c r="O92" s="487">
        <f>O58/$L20</f>
        <v/>
      </c>
      <c r="P92" s="487">
        <f>P58/$L20</f>
        <v/>
      </c>
      <c r="Q92" s="630">
        <f>Q58/$L20</f>
        <v/>
      </c>
      <c r="R92" s="544" t="n"/>
      <c r="S92" s="78">
        <f>S58/$L20</f>
        <v/>
      </c>
      <c r="T92" s="542" t="n"/>
      <c r="U92" s="8">
        <f t="array" ref="U92:AZ107">TRANSPOSE(B76:Q107)</f>
        <v/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521.7399017024632</v>
      </c>
      <c r="AA92" s="9" t="n">
        <v>0</v>
      </c>
      <c r="AB92" s="9" t="n">
        <v>0</v>
      </c>
      <c r="AC92" s="9" t="n">
        <v>0</v>
      </c>
      <c r="AD92" s="9" t="n">
        <v>-697.2748402348614</v>
      </c>
      <c r="AE92" s="9" t="n">
        <v>-370.4568635792803</v>
      </c>
      <c r="AF92" s="9" t="n">
        <v>173.6449210300658</v>
      </c>
      <c r="AG92" s="9" t="n">
        <v>0</v>
      </c>
      <c r="AH92" s="9" t="n">
        <v>0</v>
      </c>
      <c r="AI92" s="9" t="n">
        <v>0</v>
      </c>
      <c r="AJ92" s="9" t="n">
        <v>0</v>
      </c>
      <c r="AK92" s="9" t="n">
        <v>0</v>
      </c>
      <c r="AL92" s="9" t="n">
        <v>0</v>
      </c>
      <c r="AM92" s="9" t="n">
        <v>0</v>
      </c>
      <c r="AN92" s="9" t="n">
        <v>0</v>
      </c>
      <c r="AO92" s="65" t="n">
        <v>-1134.435402523739</v>
      </c>
      <c r="AP92" s="65" t="n">
        <v>0</v>
      </c>
      <c r="AQ92" s="65" t="n">
        <v>0</v>
      </c>
      <c r="AR92" s="65" t="n">
        <v>0</v>
      </c>
      <c r="AS92" s="65" t="n">
        <v>0</v>
      </c>
      <c r="AT92" s="65" t="n">
        <v>1134.435402523739</v>
      </c>
      <c r="AU92" s="65" t="n">
        <v>0</v>
      </c>
      <c r="AV92" s="65" t="n">
        <v>0</v>
      </c>
      <c r="AW92" s="65" t="n">
        <v>0</v>
      </c>
      <c r="AX92" s="65" t="n">
        <v>0</v>
      </c>
      <c r="AY92" s="65" t="n">
        <v>0</v>
      </c>
      <c r="AZ92" s="66" t="n">
        <v>0</v>
      </c>
    </row>
    <row r="93">
      <c r="A93" s="612" t="n"/>
      <c r="B93" s="650">
        <f>B59/$L21</f>
        <v/>
      </c>
      <c r="C93" s="487">
        <f>C59/$L21</f>
        <v/>
      </c>
      <c r="D93" s="487">
        <f>D59/$L21</f>
        <v/>
      </c>
      <c r="E93" s="487">
        <f>E59/$L21</f>
        <v/>
      </c>
      <c r="F93" s="487">
        <f>F59/$L21</f>
        <v/>
      </c>
      <c r="G93" s="487">
        <f>G59/$L21</f>
        <v/>
      </c>
      <c r="H93" s="487">
        <f>H59/$L21</f>
        <v/>
      </c>
      <c r="I93" s="487">
        <f>I59/$L21</f>
        <v/>
      </c>
      <c r="J93" s="487">
        <f>J59/$L21</f>
        <v/>
      </c>
      <c r="K93" s="487">
        <f>K59/$L21</f>
        <v/>
      </c>
      <c r="L93" s="487">
        <f>L59/$L21</f>
        <v/>
      </c>
      <c r="M93" s="487">
        <f>M59/$L21</f>
        <v/>
      </c>
      <c r="N93" s="487">
        <f>N59/$L21</f>
        <v/>
      </c>
      <c r="O93" s="487">
        <f>O59/$L21</f>
        <v/>
      </c>
      <c r="P93" s="487">
        <f>P59/$L21</f>
        <v/>
      </c>
      <c r="Q93" s="630">
        <f>Q59/$L21</f>
        <v/>
      </c>
      <c r="R93" s="544" t="n"/>
      <c r="S93" s="78">
        <f>S59/$L21</f>
        <v/>
      </c>
      <c r="T93" s="542" t="n"/>
      <c r="U93" s="11" t="n">
        <v>-766.9328803882496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-695.6532022699513</v>
      </c>
      <c r="AA93" s="1" t="n">
        <v>0</v>
      </c>
      <c r="AB93" s="1" t="n">
        <v>0</v>
      </c>
      <c r="AC93" s="1" t="n">
        <v>0</v>
      </c>
      <c r="AD93" s="1" t="n">
        <v>-370.8908724653518</v>
      </c>
      <c r="AE93" s="1" t="n">
        <v>-771.3622364938443</v>
      </c>
      <c r="AF93" s="1" t="n">
        <v>-766.9317345494579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25" t="n">
        <v>544.8275288436375</v>
      </c>
      <c r="AP93" s="25" t="n">
        <v>0</v>
      </c>
      <c r="AQ93" s="25" t="n">
        <v>0</v>
      </c>
      <c r="AR93" s="25" t="n">
        <v>0</v>
      </c>
      <c r="AS93" s="25" t="n">
        <v>0</v>
      </c>
      <c r="AT93" s="25" t="n">
        <v>-544.8275288436375</v>
      </c>
      <c r="AU93" s="25" t="n">
        <v>0</v>
      </c>
      <c r="AV93" s="25" t="n">
        <v>0</v>
      </c>
      <c r="AW93" s="25" t="n">
        <v>0</v>
      </c>
      <c r="AX93" s="25" t="n">
        <v>0</v>
      </c>
      <c r="AY93" s="25" t="n">
        <v>0</v>
      </c>
      <c r="AZ93" s="45" t="n">
        <v>0</v>
      </c>
    </row>
    <row r="94">
      <c r="A94" s="612" t="n"/>
      <c r="B94" s="650">
        <f>B60/$L22</f>
        <v/>
      </c>
      <c r="C94" s="487">
        <f>C60/$L22</f>
        <v/>
      </c>
      <c r="D94" s="487">
        <f>D60/$L22</f>
        <v/>
      </c>
      <c r="E94" s="487">
        <f>E60/$L22</f>
        <v/>
      </c>
      <c r="F94" s="487">
        <f>F60/$L22</f>
        <v/>
      </c>
      <c r="G94" s="487">
        <f>G60/$L22</f>
        <v/>
      </c>
      <c r="H94" s="487">
        <f>H60/$L22</f>
        <v/>
      </c>
      <c r="I94" s="487">
        <f>I60/$L22</f>
        <v/>
      </c>
      <c r="J94" s="487">
        <f>J60/$L22</f>
        <v/>
      </c>
      <c r="K94" s="487">
        <f>K60/$L22</f>
        <v/>
      </c>
      <c r="L94" s="487">
        <f>L60/$L22</f>
        <v/>
      </c>
      <c r="M94" s="487">
        <f>M60/$L22</f>
        <v/>
      </c>
      <c r="N94" s="487">
        <f>N60/$L22</f>
        <v/>
      </c>
      <c r="O94" s="487">
        <f>O60/$L22</f>
        <v/>
      </c>
      <c r="P94" s="487">
        <f>P60/$L22</f>
        <v/>
      </c>
      <c r="Q94" s="630">
        <f>Q60/$L22</f>
        <v/>
      </c>
      <c r="R94" s="544" t="n"/>
      <c r="S94" s="78">
        <f>S60/$L22</f>
        <v/>
      </c>
      <c r="T94" s="542" t="n"/>
      <c r="U94" s="1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697.2748402348614</v>
      </c>
      <c r="AE94" s="1" t="n">
        <v>0</v>
      </c>
      <c r="AF94" s="1" t="n">
        <v>0</v>
      </c>
      <c r="AG94" s="1" t="n">
        <v>454.0415400210424</v>
      </c>
      <c r="AH94" s="1" t="n">
        <v>847.2464825029242</v>
      </c>
      <c r="AI94" s="1" t="n">
        <v>172.5145547980446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25" t="n">
        <v>212.4190097989928</v>
      </c>
      <c r="AP94" s="25" t="n">
        <v>-212.4190097989928</v>
      </c>
      <c r="AQ94" s="25" t="n">
        <v>0</v>
      </c>
      <c r="AR94" s="25" t="n">
        <v>0</v>
      </c>
      <c r="AS94" s="25" t="n">
        <v>0</v>
      </c>
      <c r="AT94" s="25" t="n">
        <v>0</v>
      </c>
      <c r="AU94" s="25" t="n">
        <v>0</v>
      </c>
      <c r="AV94" s="25" t="n">
        <v>0</v>
      </c>
      <c r="AW94" s="25" t="n">
        <v>0</v>
      </c>
      <c r="AX94" s="25" t="n">
        <v>0</v>
      </c>
      <c r="AY94" s="25" t="n">
        <v>0</v>
      </c>
      <c r="AZ94" s="45" t="n">
        <v>0</v>
      </c>
    </row>
    <row r="95">
      <c r="A95" s="612" t="n"/>
      <c r="B95" s="650">
        <f>B61/$L23</f>
        <v/>
      </c>
      <c r="C95" s="487">
        <f>C61/$L23</f>
        <v/>
      </c>
      <c r="D95" s="487">
        <f>D61/$L23</f>
        <v/>
      </c>
      <c r="E95" s="487">
        <f>E61/$L23</f>
        <v/>
      </c>
      <c r="F95" s="487">
        <f>F61/$L23</f>
        <v/>
      </c>
      <c r="G95" s="487">
        <f>G61/$L23</f>
        <v/>
      </c>
      <c r="H95" s="487">
        <f>H61/$L23</f>
        <v/>
      </c>
      <c r="I95" s="487">
        <f>I61/$L23</f>
        <v/>
      </c>
      <c r="J95" s="487">
        <f>J61/$L23</f>
        <v/>
      </c>
      <c r="K95" s="487">
        <f>K61/$L23</f>
        <v/>
      </c>
      <c r="L95" s="487">
        <f>L61/$L23</f>
        <v/>
      </c>
      <c r="M95" s="487">
        <f>M61/$L23</f>
        <v/>
      </c>
      <c r="N95" s="487">
        <f>N61/$L23</f>
        <v/>
      </c>
      <c r="O95" s="487">
        <f>O61/$L23</f>
        <v/>
      </c>
      <c r="P95" s="487">
        <f>P61/$L23</f>
        <v/>
      </c>
      <c r="Q95" s="630">
        <f>Q61/$L23</f>
        <v/>
      </c>
      <c r="R95" s="544" t="n"/>
      <c r="S95" s="81">
        <f>S61/$L23</f>
        <v/>
      </c>
      <c r="T95" s="542" t="n"/>
      <c r="U95" s="1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370.8908724653518</v>
      </c>
      <c r="AE95" s="1" t="n">
        <v>0</v>
      </c>
      <c r="AF95" s="1" t="n">
        <v>0</v>
      </c>
      <c r="AG95" s="1" t="n">
        <v>-618.0009850286414</v>
      </c>
      <c r="AH95" s="1" t="n">
        <v>-141.2077470838209</v>
      </c>
      <c r="AI95" s="1" t="n">
        <v>-819.4441352907121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25" t="n">
        <v>1274.514058793957</v>
      </c>
      <c r="AP95" s="25" t="n">
        <v>-1274.514058793957</v>
      </c>
      <c r="AQ95" s="25" t="n">
        <v>0</v>
      </c>
      <c r="AR95" s="25" t="n">
        <v>0</v>
      </c>
      <c r="AS95" s="25" t="n">
        <v>0</v>
      </c>
      <c r="AT95" s="25" t="n">
        <v>0</v>
      </c>
      <c r="AU95" s="25" t="n">
        <v>0</v>
      </c>
      <c r="AV95" s="25" t="n">
        <v>0</v>
      </c>
      <c r="AW95" s="25" t="n">
        <v>0</v>
      </c>
      <c r="AX95" s="25" t="n">
        <v>0</v>
      </c>
      <c r="AY95" s="25" t="n">
        <v>0</v>
      </c>
      <c r="AZ95" s="45" t="n">
        <v>0</v>
      </c>
    </row>
    <row r="96">
      <c r="A96" s="612" t="n"/>
      <c r="B96" s="650">
        <f>B62/$O26</f>
        <v/>
      </c>
      <c r="C96" s="487">
        <f>C62/$O26</f>
        <v/>
      </c>
      <c r="D96" s="487">
        <f>D62/$O26</f>
        <v/>
      </c>
      <c r="E96" s="487">
        <f>E62/$O26</f>
        <v/>
      </c>
      <c r="F96" s="487">
        <f>F62/$O26</f>
        <v/>
      </c>
      <c r="G96" s="487">
        <f>G62/$O26</f>
        <v/>
      </c>
      <c r="H96" s="487">
        <f>H62/$O26</f>
        <v/>
      </c>
      <c r="I96" s="487">
        <f>I62/$O26</f>
        <v/>
      </c>
      <c r="J96" s="487">
        <f>J62/$O26</f>
        <v/>
      </c>
      <c r="K96" s="487">
        <f>K62/$O26</f>
        <v/>
      </c>
      <c r="L96" s="487">
        <f>L62/$O26</f>
        <v/>
      </c>
      <c r="M96" s="487">
        <f>M62/$O26</f>
        <v/>
      </c>
      <c r="N96" s="487">
        <f>N62/$O26</f>
        <v/>
      </c>
      <c r="O96" s="487">
        <f>O62/$O26</f>
        <v/>
      </c>
      <c r="P96" s="487">
        <f>P62/$O26</f>
        <v/>
      </c>
      <c r="Q96" s="630">
        <f>Q62/$O26</f>
        <v/>
      </c>
      <c r="R96" s="544" t="n"/>
      <c r="S96" s="75">
        <f>S62/$O26</f>
        <v/>
      </c>
      <c r="T96" s="542" t="n"/>
      <c r="U96" s="1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-172.5145547980446</v>
      </c>
      <c r="AJ96" s="1" t="n">
        <v>809.0559650606141</v>
      </c>
      <c r="AK96" s="1" t="n">
        <v>778.9093926498092</v>
      </c>
      <c r="AL96" s="1" t="n">
        <v>497.8511607986447</v>
      </c>
      <c r="AM96" s="1" t="n">
        <v>0</v>
      </c>
      <c r="AN96" s="1" t="n">
        <v>0</v>
      </c>
      <c r="AO96" s="25" t="n">
        <v>0</v>
      </c>
      <c r="AP96" s="25" t="n">
        <v>-834.4311460844473</v>
      </c>
      <c r="AQ96" s="25" t="n">
        <v>834.4311460844473</v>
      </c>
      <c r="AR96" s="25" t="n">
        <v>0</v>
      </c>
      <c r="AS96" s="25" t="n">
        <v>0</v>
      </c>
      <c r="AT96" s="25" t="n">
        <v>0</v>
      </c>
      <c r="AU96" s="25" t="n">
        <v>0</v>
      </c>
      <c r="AV96" s="25" t="n">
        <v>0</v>
      </c>
      <c r="AW96" s="25" t="n">
        <v>0</v>
      </c>
      <c r="AX96" s="25" t="n">
        <v>0</v>
      </c>
      <c r="AY96" s="25" t="n">
        <v>0</v>
      </c>
      <c r="AZ96" s="45" t="n">
        <v>515.8613256753882</v>
      </c>
    </row>
    <row r="97">
      <c r="A97" s="612" t="n"/>
      <c r="B97" s="650">
        <f>B63/$O27</f>
        <v/>
      </c>
      <c r="C97" s="487">
        <f>C63/$O27</f>
        <v/>
      </c>
      <c r="D97" s="487">
        <f>D63/$O27</f>
        <v/>
      </c>
      <c r="E97" s="487">
        <f>E63/$O27</f>
        <v/>
      </c>
      <c r="F97" s="487">
        <f>F63/$O27</f>
        <v/>
      </c>
      <c r="G97" s="487">
        <f>G63/$O27</f>
        <v/>
      </c>
      <c r="H97" s="487">
        <f>H63/$O27</f>
        <v/>
      </c>
      <c r="I97" s="487">
        <f>I63/$O27</f>
        <v/>
      </c>
      <c r="J97" s="487">
        <f>J63/$O27</f>
        <v/>
      </c>
      <c r="K97" s="487">
        <f>K63/$O27</f>
        <v/>
      </c>
      <c r="L97" s="487">
        <f>L63/$O27</f>
        <v/>
      </c>
      <c r="M97" s="487">
        <f>M63/$O27</f>
        <v/>
      </c>
      <c r="N97" s="487">
        <f>N63/$O27</f>
        <v/>
      </c>
      <c r="O97" s="487">
        <f>O63/$O27</f>
        <v/>
      </c>
      <c r="P97" s="487">
        <f>P63/$O27</f>
        <v/>
      </c>
      <c r="Q97" s="630">
        <f>Q63/$O27</f>
        <v/>
      </c>
      <c r="R97" s="544" t="n"/>
      <c r="S97" s="84">
        <f>S63/$O27</f>
        <v/>
      </c>
      <c r="T97" s="542" t="n"/>
      <c r="U97" s="1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819.4441352907121</v>
      </c>
      <c r="AJ97" s="1" t="n">
        <v>-317.8434148452415</v>
      </c>
      <c r="AK97" s="1" t="n">
        <v>152.7273318921193</v>
      </c>
      <c r="AL97" s="1" t="n">
        <v>665.1617968047454</v>
      </c>
      <c r="AM97" s="1" t="n">
        <v>0</v>
      </c>
      <c r="AN97" s="1" t="n">
        <v>0</v>
      </c>
      <c r="AO97" s="25" t="n">
        <v>0</v>
      </c>
      <c r="AP97" s="25" t="n">
        <v>624.5435571920401</v>
      </c>
      <c r="AQ97" s="25" t="n">
        <v>-624.5435571920401</v>
      </c>
      <c r="AR97" s="25" t="n">
        <v>0</v>
      </c>
      <c r="AS97" s="25" t="n">
        <v>0</v>
      </c>
      <c r="AT97" s="25" t="n">
        <v>0</v>
      </c>
      <c r="AU97" s="25" t="n">
        <v>0</v>
      </c>
      <c r="AV97" s="25" t="n">
        <v>0</v>
      </c>
      <c r="AW97" s="25" t="n">
        <v>0</v>
      </c>
      <c r="AX97" s="25" t="n">
        <v>0</v>
      </c>
      <c r="AY97" s="25" t="n">
        <v>0</v>
      </c>
      <c r="AZ97" s="45" t="n">
        <v>1313.101556264625</v>
      </c>
    </row>
    <row r="98">
      <c r="A98" s="612" t="n"/>
      <c r="B98" s="650">
        <f>B64/$O28</f>
        <v/>
      </c>
      <c r="C98" s="487">
        <f>C64/$O28</f>
        <v/>
      </c>
      <c r="D98" s="487">
        <f>D64/$O28</f>
        <v/>
      </c>
      <c r="E98" s="487">
        <f>E64/$O28</f>
        <v/>
      </c>
      <c r="F98" s="487">
        <f>F64/$O28</f>
        <v/>
      </c>
      <c r="G98" s="487">
        <f>G64/$O28</f>
        <v/>
      </c>
      <c r="H98" s="487">
        <f>H64/$O28</f>
        <v/>
      </c>
      <c r="I98" s="487">
        <f>I64/$O28</f>
        <v/>
      </c>
      <c r="J98" s="487">
        <f>J64/$O28</f>
        <v/>
      </c>
      <c r="K98" s="487">
        <f>K64/$O28</f>
        <v/>
      </c>
      <c r="L98" s="487">
        <f>L64/$O28</f>
        <v/>
      </c>
      <c r="M98" s="487">
        <f>M64/$O28</f>
        <v/>
      </c>
      <c r="N98" s="487">
        <f>N64/$O28</f>
        <v/>
      </c>
      <c r="O98" s="487">
        <f>O64/$O28</f>
        <v/>
      </c>
      <c r="P98" s="487">
        <f>P64/$O28</f>
        <v/>
      </c>
      <c r="Q98" s="630">
        <f>Q64/$O28</f>
        <v/>
      </c>
      <c r="R98" s="544" t="n"/>
      <c r="S98" s="84">
        <f>S64/$O28</f>
        <v/>
      </c>
      <c r="T98" s="542" t="n"/>
      <c r="U98" s="11" t="n">
        <v>0</v>
      </c>
      <c r="V98" s="1" t="n">
        <v>638.9806755193482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-454.0415400210424</v>
      </c>
      <c r="AH98" s="1" t="n">
        <v>0</v>
      </c>
      <c r="AI98" s="1" t="n">
        <v>0</v>
      </c>
      <c r="AJ98" s="1" t="n">
        <v>-809.0559650606141</v>
      </c>
      <c r="AK98" s="1" t="n">
        <v>0</v>
      </c>
      <c r="AL98" s="1" t="n">
        <v>0</v>
      </c>
      <c r="AM98" s="1" t="n">
        <v>0</v>
      </c>
      <c r="AN98" s="1" t="n">
        <v>777.4872332498792</v>
      </c>
      <c r="AO98" s="25" t="n">
        <v>0</v>
      </c>
      <c r="AP98" s="25" t="n">
        <v>0</v>
      </c>
      <c r="AQ98" s="25" t="n">
        <v>-966.8332384225932</v>
      </c>
      <c r="AR98" s="25" t="n">
        <v>966.8332384225932</v>
      </c>
      <c r="AS98" s="25" t="n">
        <v>0</v>
      </c>
      <c r="AT98" s="25" t="n">
        <v>0</v>
      </c>
      <c r="AU98" s="25" t="n">
        <v>0</v>
      </c>
      <c r="AV98" s="25" t="n">
        <v>0</v>
      </c>
      <c r="AW98" s="25" t="n">
        <v>542.1336261037798</v>
      </c>
      <c r="AX98" s="25" t="n">
        <v>-1460.966287252866</v>
      </c>
      <c r="AY98" s="25" t="n">
        <v>-48.00057727350653</v>
      </c>
      <c r="AZ98" s="45" t="n">
        <v>450.971912747205</v>
      </c>
    </row>
    <row r="99">
      <c r="A99" s="612" t="n"/>
      <c r="B99" s="650">
        <f>B65/$O29</f>
        <v/>
      </c>
      <c r="C99" s="487">
        <f>C65/$O29</f>
        <v/>
      </c>
      <c r="D99" s="487">
        <f>D65/$O29</f>
        <v/>
      </c>
      <c r="E99" s="487">
        <f>E65/$O29</f>
        <v/>
      </c>
      <c r="F99" s="487">
        <f>F65/$O29</f>
        <v/>
      </c>
      <c r="G99" s="487">
        <f>G65/$O29</f>
        <v/>
      </c>
      <c r="H99" s="487">
        <f>H65/$O29</f>
        <v/>
      </c>
      <c r="I99" s="487">
        <f>I65/$O29</f>
        <v/>
      </c>
      <c r="J99" s="487">
        <f>J65/$O29</f>
        <v/>
      </c>
      <c r="K99" s="487">
        <f>K65/$O29</f>
        <v/>
      </c>
      <c r="L99" s="487">
        <f>L65/$O29</f>
        <v/>
      </c>
      <c r="M99" s="487">
        <f>M65/$O29</f>
        <v/>
      </c>
      <c r="N99" s="487">
        <f>N65/$O29</f>
        <v/>
      </c>
      <c r="O99" s="487">
        <f>O65/$O29</f>
        <v/>
      </c>
      <c r="P99" s="487">
        <f>P65/$O29</f>
        <v/>
      </c>
      <c r="Q99" s="630">
        <f>Q65/$O29</f>
        <v/>
      </c>
      <c r="R99" s="544" t="n"/>
      <c r="S99" s="84">
        <f>S65/$O29</f>
        <v/>
      </c>
      <c r="T99" s="542" t="n"/>
      <c r="U99" s="11" t="n">
        <v>0</v>
      </c>
      <c r="V99" s="1" t="n">
        <v>583.4171385176658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618.0009850286414</v>
      </c>
      <c r="AH99" s="1" t="n">
        <v>0</v>
      </c>
      <c r="AI99" s="1" t="n">
        <v>0</v>
      </c>
      <c r="AJ99" s="1" t="n">
        <v>317.8434148452415</v>
      </c>
      <c r="AK99" s="1" t="n">
        <v>0</v>
      </c>
      <c r="AL99" s="1" t="n">
        <v>0</v>
      </c>
      <c r="AM99" s="1" t="n">
        <v>0</v>
      </c>
      <c r="AN99" s="1" t="n">
        <v>-362.8273755166108</v>
      </c>
      <c r="AO99" s="25" t="n">
        <v>0</v>
      </c>
      <c r="AP99" s="25" t="n">
        <v>0</v>
      </c>
      <c r="AQ99" s="25" t="n">
        <v>-79.8302673926912</v>
      </c>
      <c r="AR99" s="25" t="n">
        <v>79.8302673926912</v>
      </c>
      <c r="AS99" s="25" t="n">
        <v>0</v>
      </c>
      <c r="AT99" s="25" t="n">
        <v>0</v>
      </c>
      <c r="AU99" s="25" t="n">
        <v>0</v>
      </c>
      <c r="AV99" s="25" t="n">
        <v>0</v>
      </c>
      <c r="AW99" s="25" t="n">
        <v>1161.714913079528</v>
      </c>
      <c r="AX99" s="25" t="n">
        <v>-155.3743794400522</v>
      </c>
      <c r="AY99" s="25" t="n">
        <v>-1086.170801032167</v>
      </c>
      <c r="AZ99" s="45" t="n">
        <v>-1233.271288871933</v>
      </c>
    </row>
    <row r="100">
      <c r="A100" s="612" t="n"/>
      <c r="B100" s="647">
        <f>B66/$O30</f>
        <v/>
      </c>
      <c r="C100" s="648">
        <f>C66/$O30</f>
        <v/>
      </c>
      <c r="D100" s="648">
        <f>D66/$O30</f>
        <v/>
      </c>
      <c r="E100" s="648">
        <f>E66/$O30</f>
        <v/>
      </c>
      <c r="F100" s="648">
        <f>F66/$O30</f>
        <v/>
      </c>
      <c r="G100" s="648">
        <f>G66/$O30</f>
        <v/>
      </c>
      <c r="H100" s="648">
        <f>H66/$O30</f>
        <v/>
      </c>
      <c r="I100" s="648">
        <f>I66/$O30</f>
        <v/>
      </c>
      <c r="J100" s="648">
        <f>J66/$O30</f>
        <v/>
      </c>
      <c r="K100" s="648">
        <f>K66/$O30</f>
        <v/>
      </c>
      <c r="L100" s="648">
        <f>L66/$O30</f>
        <v/>
      </c>
      <c r="M100" s="648">
        <f>M66/$O30</f>
        <v/>
      </c>
      <c r="N100" s="648">
        <f>N66/$O30</f>
        <v/>
      </c>
      <c r="O100" s="648">
        <f>O66/$O30</f>
        <v/>
      </c>
      <c r="P100" s="648">
        <f>P66/$O30</f>
        <v/>
      </c>
      <c r="Q100" s="649">
        <f>Q66/$O30</f>
        <v/>
      </c>
      <c r="R100" s="555" t="n"/>
      <c r="S100" s="84">
        <f>S66/$O30</f>
        <v/>
      </c>
      <c r="T100" s="542" t="n"/>
      <c r="U100" s="11" t="n">
        <v>0</v>
      </c>
      <c r="V100" s="1" t="n">
        <v>0</v>
      </c>
      <c r="W100" s="1" t="n">
        <v>-166.416470038025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-11.83530621393589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-377.87887706155</v>
      </c>
      <c r="AN100" s="1" t="n">
        <v>-777.4872332498792</v>
      </c>
      <c r="AO100" s="25" t="n">
        <v>0</v>
      </c>
      <c r="AP100" s="25" t="n">
        <v>0</v>
      </c>
      <c r="AQ100" s="25" t="n">
        <v>0</v>
      </c>
      <c r="AR100" s="25" t="n">
        <v>0</v>
      </c>
      <c r="AS100" s="25" t="n">
        <v>0</v>
      </c>
      <c r="AT100" s="25" t="n">
        <v>0</v>
      </c>
      <c r="AU100" s="25" t="n">
        <v>-502.9865441086901</v>
      </c>
      <c r="AV100" s="25" t="n">
        <v>616.2122718356139</v>
      </c>
      <c r="AW100" s="25" t="n">
        <v>7.62438112211089</v>
      </c>
      <c r="AX100" s="25" t="n">
        <v>542.1336261037798</v>
      </c>
      <c r="AY100" s="25" t="n">
        <v>0</v>
      </c>
      <c r="AZ100" s="45" t="n">
        <v>0</v>
      </c>
    </row>
    <row r="101">
      <c r="B101" s="650">
        <f>B67/$O31</f>
        <v/>
      </c>
      <c r="C101" s="487">
        <f>C67/$O31</f>
        <v/>
      </c>
      <c r="D101" s="487">
        <f>D67/$O31</f>
        <v/>
      </c>
      <c r="E101" s="487">
        <f>E67/$O31</f>
        <v/>
      </c>
      <c r="F101" s="487">
        <f>F67/$O31</f>
        <v/>
      </c>
      <c r="G101" s="487">
        <f>G67/$O31</f>
        <v/>
      </c>
      <c r="H101" s="487">
        <f>H67/$O31</f>
        <v/>
      </c>
      <c r="I101" s="487">
        <f>I67/$O31</f>
        <v/>
      </c>
      <c r="J101" s="487">
        <f>J67/$O31</f>
        <v/>
      </c>
      <c r="K101" s="487">
        <f>K67/$O31</f>
        <v/>
      </c>
      <c r="L101" s="487">
        <f>L67/$O31</f>
        <v/>
      </c>
      <c r="M101" s="487">
        <f>M67/$O31</f>
        <v/>
      </c>
      <c r="N101" s="487">
        <f>N67/$O31</f>
        <v/>
      </c>
      <c r="O101" s="487">
        <f>O67/$O31</f>
        <v/>
      </c>
      <c r="P101" s="487">
        <f>P67/$O31</f>
        <v/>
      </c>
      <c r="Q101" s="630">
        <f>Q67/$O31</f>
        <v/>
      </c>
      <c r="R101" s="544" t="n"/>
      <c r="S101" s="84">
        <f>S67/$O31</f>
        <v/>
      </c>
      <c r="T101" s="542" t="n"/>
      <c r="U101" s="11" t="n">
        <v>0</v>
      </c>
      <c r="V101" s="1" t="n">
        <v>0</v>
      </c>
      <c r="W101" s="1" t="n">
        <v>832.0823501901244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757.459597691902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647.7923606769436</v>
      </c>
      <c r="AN101" s="1" t="n">
        <v>362.8273755166108</v>
      </c>
      <c r="AO101" s="25" t="n">
        <v>0</v>
      </c>
      <c r="AP101" s="25" t="n">
        <v>0</v>
      </c>
      <c r="AQ101" s="25" t="n">
        <v>0</v>
      </c>
      <c r="AR101" s="25" t="n">
        <v>0</v>
      </c>
      <c r="AS101" s="25" t="n">
        <v>0</v>
      </c>
      <c r="AT101" s="25" t="n">
        <v>0</v>
      </c>
      <c r="AU101" s="25" t="n">
        <v>-222.8349349536632</v>
      </c>
      <c r="AV101" s="25" t="n">
        <v>-87.49811506946871</v>
      </c>
      <c r="AW101" s="25" t="n">
        <v>-841.0227421977584</v>
      </c>
      <c r="AX101" s="25" t="n">
        <v>1161.714913079528</v>
      </c>
      <c r="AY101" s="25" t="n">
        <v>0</v>
      </c>
      <c r="AZ101" s="45" t="n">
        <v>0</v>
      </c>
    </row>
    <row r="102">
      <c r="B102" s="650">
        <f>B68/$O32</f>
        <v/>
      </c>
      <c r="C102" s="487">
        <f>C68/$O32</f>
        <v/>
      </c>
      <c r="D102" s="487">
        <f>D68/$O32</f>
        <v/>
      </c>
      <c r="E102" s="487">
        <f>E68/$O32</f>
        <v/>
      </c>
      <c r="F102" s="487">
        <f>F68/$O32</f>
        <v/>
      </c>
      <c r="G102" s="487">
        <f>G68/$O32</f>
        <v/>
      </c>
      <c r="H102" s="487">
        <f>H68/$O32</f>
        <v/>
      </c>
      <c r="I102" s="487">
        <f>I68/$O32</f>
        <v/>
      </c>
      <c r="J102" s="487">
        <f>J68/$O32</f>
        <v/>
      </c>
      <c r="K102" s="487">
        <f>K68/$O32</f>
        <v/>
      </c>
      <c r="L102" s="487">
        <f>L68/$O32</f>
        <v/>
      </c>
      <c r="M102" s="487">
        <f>M68/$O32</f>
        <v/>
      </c>
      <c r="N102" s="487">
        <f>N68/$O32</f>
        <v/>
      </c>
      <c r="O102" s="487">
        <f>O68/$O32</f>
        <v/>
      </c>
      <c r="P102" s="487">
        <f>P68/$O32</f>
        <v/>
      </c>
      <c r="Q102" s="630">
        <f>Q68/$O32</f>
        <v/>
      </c>
      <c r="R102" s="544" t="n"/>
      <c r="S102" s="84">
        <f>S68/$O32</f>
        <v/>
      </c>
      <c r="T102" s="542" t="n"/>
      <c r="U102" s="11" t="n">
        <v>-173.6451804652637</v>
      </c>
      <c r="V102" s="1" t="n">
        <v>-638.9806755193482</v>
      </c>
      <c r="W102" s="1" t="n">
        <v>166.416470038025</v>
      </c>
      <c r="X102" s="1" t="n">
        <v>176.4746958190431</v>
      </c>
      <c r="Y102" s="1" t="n">
        <v>-648.8429228061034</v>
      </c>
      <c r="Z102" s="1" t="n">
        <v>0</v>
      </c>
      <c r="AA102" s="1" t="n">
        <v>0</v>
      </c>
      <c r="AB102" s="1" t="n">
        <v>176.4744652483416</v>
      </c>
      <c r="AC102" s="1" t="n">
        <v>0</v>
      </c>
      <c r="AD102" s="1" t="n">
        <v>0</v>
      </c>
      <c r="AE102" s="1" t="n">
        <v>0</v>
      </c>
      <c r="AF102" s="1" t="n">
        <v>-173.6449210300658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-778.9093926498092</v>
      </c>
      <c r="AL102" s="1" t="n">
        <v>0</v>
      </c>
      <c r="AM102" s="1" t="n">
        <v>0</v>
      </c>
      <c r="AN102" s="1" t="n">
        <v>0</v>
      </c>
      <c r="AO102" s="25" t="n">
        <v>0</v>
      </c>
      <c r="AP102" s="25" t="n">
        <v>0</v>
      </c>
      <c r="AQ102" s="25" t="n">
        <v>0</v>
      </c>
      <c r="AR102" s="25" t="n">
        <v>-787.292164921495</v>
      </c>
      <c r="AS102" s="25" t="n">
        <v>787.292164921495</v>
      </c>
      <c r="AT102" s="25" t="n">
        <v>0</v>
      </c>
      <c r="AU102" s="25" t="n">
        <v>1165.970279061504</v>
      </c>
      <c r="AV102" s="25" t="n">
        <v>-1165.970279061504</v>
      </c>
      <c r="AW102" s="25" t="n">
        <v>0</v>
      </c>
      <c r="AX102" s="25" t="n">
        <v>918.8326611490867</v>
      </c>
      <c r="AY102" s="25" t="n">
        <v>-918.8326611490867</v>
      </c>
      <c r="AZ102" s="45" t="n">
        <v>0</v>
      </c>
    </row>
    <row r="103">
      <c r="B103" s="650">
        <f>B69/$O33</f>
        <v/>
      </c>
      <c r="C103" s="487">
        <f>C69/$O33</f>
        <v/>
      </c>
      <c r="D103" s="487">
        <f>D69/$O33</f>
        <v/>
      </c>
      <c r="E103" s="487">
        <f>E69/$O33</f>
        <v/>
      </c>
      <c r="F103" s="487">
        <f>F69/$O33</f>
        <v/>
      </c>
      <c r="G103" s="487">
        <f>G69/$O33</f>
        <v/>
      </c>
      <c r="H103" s="487">
        <f>H69/$O33</f>
        <v/>
      </c>
      <c r="I103" s="487">
        <f>I69/$O33</f>
        <v/>
      </c>
      <c r="J103" s="487">
        <f>J69/$O33</f>
        <v/>
      </c>
      <c r="K103" s="487">
        <f>K69/$O33</f>
        <v/>
      </c>
      <c r="L103" s="487">
        <f>L69/$O33</f>
        <v/>
      </c>
      <c r="M103" s="487">
        <f>M69/$O33</f>
        <v/>
      </c>
      <c r="N103" s="487">
        <f>N69/$O33</f>
        <v/>
      </c>
      <c r="O103" s="487">
        <f>O69/$O33</f>
        <v/>
      </c>
      <c r="P103" s="487">
        <f>P69/$O33</f>
        <v/>
      </c>
      <c r="Q103" s="630">
        <f>Q69/$O33</f>
        <v/>
      </c>
      <c r="R103" s="544" t="n"/>
      <c r="S103" s="84">
        <f>S69/$O33</f>
        <v/>
      </c>
      <c r="T103" s="542" t="n"/>
      <c r="U103" s="11" t="n">
        <v>766.9328803882496</v>
      </c>
      <c r="V103" s="1" t="n">
        <v>-583.4171385176658</v>
      </c>
      <c r="W103" s="1" t="n">
        <v>-832.0823501901244</v>
      </c>
      <c r="X103" s="1" t="n">
        <v>852.9610297920442</v>
      </c>
      <c r="Y103" s="1" t="n">
        <v>551.272558474359</v>
      </c>
      <c r="Z103" s="1" t="n">
        <v>0</v>
      </c>
      <c r="AA103" s="1" t="n">
        <v>0</v>
      </c>
      <c r="AB103" s="1" t="n">
        <v>852.9599153669842</v>
      </c>
      <c r="AC103" s="1" t="n">
        <v>0</v>
      </c>
      <c r="AD103" s="1" t="n">
        <v>0</v>
      </c>
      <c r="AE103" s="1" t="n">
        <v>0</v>
      </c>
      <c r="AF103" s="1" t="n">
        <v>766.9317345494579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-152.7273318921193</v>
      </c>
      <c r="AL103" s="1" t="n">
        <v>0</v>
      </c>
      <c r="AM103" s="1" t="n">
        <v>0</v>
      </c>
      <c r="AN103" s="1" t="n">
        <v>0</v>
      </c>
      <c r="AO103" s="25" t="n">
        <v>0</v>
      </c>
      <c r="AP103" s="25" t="n">
        <v>0</v>
      </c>
      <c r="AQ103" s="25" t="n">
        <v>0</v>
      </c>
      <c r="AR103" s="25" t="n">
        <v>-926.6359109252995</v>
      </c>
      <c r="AS103" s="25" t="n">
        <v>926.6359109252995</v>
      </c>
      <c r="AT103" s="25" t="n">
        <v>0</v>
      </c>
      <c r="AU103" s="25" t="n">
        <v>233.1940558123009</v>
      </c>
      <c r="AV103" s="25" t="n">
        <v>-233.1940558123009</v>
      </c>
      <c r="AW103" s="25" t="n">
        <v>0</v>
      </c>
      <c r="AX103" s="25" t="n">
        <v>-1006.340533639476</v>
      </c>
      <c r="AY103" s="25" t="n">
        <v>1006.340533639476</v>
      </c>
      <c r="AZ103" s="45" t="n">
        <v>0</v>
      </c>
    </row>
    <row r="104">
      <c r="B104" s="650">
        <f>B70/$O34</f>
        <v/>
      </c>
      <c r="C104" s="487">
        <f>C70/$O34</f>
        <v/>
      </c>
      <c r="D104" s="487">
        <f>D70/$O34</f>
        <v/>
      </c>
      <c r="E104" s="487">
        <f>E70/$O34</f>
        <v/>
      </c>
      <c r="F104" s="487">
        <f>F70/$O34</f>
        <v/>
      </c>
      <c r="G104" s="487">
        <f>G70/$O34</f>
        <v/>
      </c>
      <c r="H104" s="487">
        <f>H70/$O34</f>
        <v/>
      </c>
      <c r="I104" s="487">
        <f>I70/$O34</f>
        <v/>
      </c>
      <c r="J104" s="487">
        <f>J70/$O34</f>
        <v/>
      </c>
      <c r="K104" s="487">
        <f>K70/$O34</f>
        <v/>
      </c>
      <c r="L104" s="487">
        <f>L70/$O34</f>
        <v/>
      </c>
      <c r="M104" s="487">
        <f>M70/$O34</f>
        <v/>
      </c>
      <c r="N104" s="487">
        <f>N70/$O34</f>
        <v/>
      </c>
      <c r="O104" s="487">
        <f>O70/$O34</f>
        <v/>
      </c>
      <c r="P104" s="487">
        <f>P70/$O34</f>
        <v/>
      </c>
      <c r="Q104" s="630">
        <f>Q70/$O34</f>
        <v/>
      </c>
      <c r="R104" s="544" t="n"/>
      <c r="S104" s="84">
        <f>S70/$O34</f>
        <v/>
      </c>
      <c r="T104" s="542" t="n"/>
      <c r="U104" s="11" t="n">
        <v>0</v>
      </c>
      <c r="V104" s="1" t="n">
        <v>0</v>
      </c>
      <c r="W104" s="1" t="n">
        <v>0</v>
      </c>
      <c r="X104" s="1" t="n">
        <v>-176.4746958190431</v>
      </c>
      <c r="Y104" s="1" t="n">
        <v>0</v>
      </c>
      <c r="Z104" s="1" t="n">
        <v>-521.7399017024632</v>
      </c>
      <c r="AA104" s="1" t="n">
        <v>-841.4880518702035</v>
      </c>
      <c r="AB104" s="1" t="n">
        <v>-176.4744652483416</v>
      </c>
      <c r="AC104" s="1" t="n">
        <v>11.83530621393589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25" t="n">
        <v>0</v>
      </c>
      <c r="AP104" s="25" t="n">
        <v>0</v>
      </c>
      <c r="AQ104" s="25" t="n">
        <v>0</v>
      </c>
      <c r="AR104" s="25" t="n">
        <v>0</v>
      </c>
      <c r="AS104" s="25" t="n">
        <v>246.0990434260211</v>
      </c>
      <c r="AT104" s="25" t="n">
        <v>-246.0990434260211</v>
      </c>
      <c r="AU104" s="25" t="n">
        <v>-662.9837349528144</v>
      </c>
      <c r="AV104" s="25" t="n">
        <v>0</v>
      </c>
      <c r="AW104" s="25" t="n">
        <v>0</v>
      </c>
      <c r="AX104" s="25" t="n">
        <v>0</v>
      </c>
      <c r="AY104" s="25" t="n">
        <v>0</v>
      </c>
      <c r="AZ104" s="45" t="n">
        <v>0</v>
      </c>
    </row>
    <row r="105">
      <c r="B105" s="650">
        <f>B71/$O35</f>
        <v/>
      </c>
      <c r="C105" s="487">
        <f>C71/$O35</f>
        <v/>
      </c>
      <c r="D105" s="487">
        <f>D71/$O35</f>
        <v/>
      </c>
      <c r="E105" s="487">
        <f>E71/$O35</f>
        <v/>
      </c>
      <c r="F105" s="487">
        <f>F71/$O35</f>
        <v/>
      </c>
      <c r="G105" s="487">
        <f>G71/$O35</f>
        <v/>
      </c>
      <c r="H105" s="487">
        <f>H71/$O35</f>
        <v/>
      </c>
      <c r="I105" s="487">
        <f>I71/$O35</f>
        <v/>
      </c>
      <c r="J105" s="487">
        <f>J71/$O35</f>
        <v/>
      </c>
      <c r="K105" s="487">
        <f>K71/$O35</f>
        <v/>
      </c>
      <c r="L105" s="487">
        <f>L71/$O35</f>
        <v/>
      </c>
      <c r="M105" s="487">
        <f>M71/$O35</f>
        <v/>
      </c>
      <c r="N105" s="487">
        <f>N71/$O35</f>
        <v/>
      </c>
      <c r="O105" s="487">
        <f>O71/$O35</f>
        <v/>
      </c>
      <c r="P105" s="487">
        <f>P71/$O35</f>
        <v/>
      </c>
      <c r="Q105" s="630">
        <f>Q71/$O35</f>
        <v/>
      </c>
      <c r="R105" s="544" t="n"/>
      <c r="S105" s="84">
        <f>S71/$O35</f>
        <v/>
      </c>
      <c r="T105" s="542" t="n"/>
      <c r="U105" s="11" t="n">
        <v>0</v>
      </c>
      <c r="V105" s="1" t="n">
        <v>0</v>
      </c>
      <c r="W105" s="1" t="n">
        <v>0</v>
      </c>
      <c r="X105" s="1" t="n">
        <v>-852.9610297920442</v>
      </c>
      <c r="Y105" s="1" t="n">
        <v>0</v>
      </c>
      <c r="Z105" s="1" t="n">
        <v>695.6532022699513</v>
      </c>
      <c r="AA105" s="1" t="n">
        <v>-165.2001083426166</v>
      </c>
      <c r="AB105" s="1" t="n">
        <v>-852.9599153669842</v>
      </c>
      <c r="AC105" s="1" t="n">
        <v>-757.459597691902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25" t="n">
        <v>0</v>
      </c>
      <c r="AP105" s="25" t="n">
        <v>0</v>
      </c>
      <c r="AQ105" s="25" t="n">
        <v>0</v>
      </c>
      <c r="AR105" s="25" t="n">
        <v>0</v>
      </c>
      <c r="AS105" s="25" t="n">
        <v>-1253.567002451295</v>
      </c>
      <c r="AT105" s="25" t="n">
        <v>1253.567002451295</v>
      </c>
      <c r="AU105" s="25" t="n">
        <v>-10.35912085863773</v>
      </c>
      <c r="AV105" s="25" t="n">
        <v>0</v>
      </c>
      <c r="AW105" s="25" t="n">
        <v>0</v>
      </c>
      <c r="AX105" s="25" t="n">
        <v>0</v>
      </c>
      <c r="AY105" s="25" t="n">
        <v>0</v>
      </c>
      <c r="AZ105" s="45" t="n">
        <v>0</v>
      </c>
    </row>
    <row r="106">
      <c r="B106" s="650">
        <f>B72/$O36</f>
        <v/>
      </c>
      <c r="C106" s="487">
        <f>C72/$O36</f>
        <v/>
      </c>
      <c r="D106" s="487">
        <f>D72/$O36</f>
        <v/>
      </c>
      <c r="E106" s="487">
        <f>E72/$O36</f>
        <v/>
      </c>
      <c r="F106" s="487">
        <f>F72/$O36</f>
        <v/>
      </c>
      <c r="G106" s="487">
        <f>G72/$O36</f>
        <v/>
      </c>
      <c r="H106" s="487">
        <f>H72/$O36</f>
        <v/>
      </c>
      <c r="I106" s="487">
        <f>I72/$O36</f>
        <v/>
      </c>
      <c r="J106" s="487">
        <f>J72/$O36</f>
        <v/>
      </c>
      <c r="K106" s="487">
        <f>K72/$O36</f>
        <v/>
      </c>
      <c r="L106" s="487">
        <f>L72/$O36</f>
        <v/>
      </c>
      <c r="M106" s="487">
        <f>M72/$O36</f>
        <v/>
      </c>
      <c r="N106" s="487">
        <f>N72/$O36</f>
        <v/>
      </c>
      <c r="O106" s="487">
        <f>O72/$O36</f>
        <v/>
      </c>
      <c r="P106" s="487">
        <f>P72/$O36</f>
        <v/>
      </c>
      <c r="Q106" s="630">
        <f>Q72/$O36</f>
        <v/>
      </c>
      <c r="R106" s="544" t="n"/>
      <c r="S106" s="84">
        <f>S72/$O36</f>
        <v/>
      </c>
      <c r="T106" s="542" t="n"/>
      <c r="U106" s="11" t="n">
        <v>0</v>
      </c>
      <c r="V106" s="1" t="n">
        <v>0</v>
      </c>
      <c r="W106" s="1" t="n">
        <v>0</v>
      </c>
      <c r="X106" s="1" t="n">
        <v>0</v>
      </c>
      <c r="Y106" s="1" t="n">
        <v>648.8429228061034</v>
      </c>
      <c r="Z106" s="1" t="n">
        <v>0</v>
      </c>
      <c r="AA106" s="1" t="n">
        <v>841.4880518702035</v>
      </c>
      <c r="AB106" s="1" t="n">
        <v>0</v>
      </c>
      <c r="AC106" s="1" t="n">
        <v>0</v>
      </c>
      <c r="AD106" s="1" t="n">
        <v>0</v>
      </c>
      <c r="AE106" s="1" t="n">
        <v>370.4568635792803</v>
      </c>
      <c r="AF106" s="1" t="n">
        <v>0</v>
      </c>
      <c r="AG106" s="1" t="n">
        <v>0</v>
      </c>
      <c r="AH106" s="1" t="n">
        <v>-847.2464825029242</v>
      </c>
      <c r="AI106" s="1" t="n">
        <v>0</v>
      </c>
      <c r="AJ106" s="1" t="n">
        <v>0</v>
      </c>
      <c r="AK106" s="1" t="n">
        <v>0</v>
      </c>
      <c r="AL106" s="1" t="n">
        <v>-497.8511607986447</v>
      </c>
      <c r="AM106" s="1" t="n">
        <v>377.87887706155</v>
      </c>
      <c r="AN106" s="1" t="n">
        <v>0</v>
      </c>
      <c r="AO106" s="25" t="n">
        <v>922.0163927247457</v>
      </c>
      <c r="AP106" s="25" t="n">
        <v>1046.85015588344</v>
      </c>
      <c r="AQ106" s="25" t="n">
        <v>132.402092338146</v>
      </c>
      <c r="AR106" s="25" t="n">
        <v>-179.5410735010983</v>
      </c>
      <c r="AS106" s="25" t="n">
        <v>-1033.391208347516</v>
      </c>
      <c r="AT106" s="25" t="n">
        <v>-888.3363590977174</v>
      </c>
      <c r="AU106" s="25" t="n">
        <v>0</v>
      </c>
      <c r="AV106" s="25" t="n">
        <v>549.7580072258907</v>
      </c>
      <c r="AW106" s="25" t="n">
        <v>-549.7580072258907</v>
      </c>
      <c r="AX106" s="25" t="n">
        <v>0</v>
      </c>
      <c r="AY106" s="25" t="n">
        <v>966.8332384225932</v>
      </c>
      <c r="AZ106" s="45" t="n">
        <v>-966.8332384225932</v>
      </c>
    </row>
    <row r="107">
      <c r="B107" s="650">
        <f>B73/$O37</f>
        <v/>
      </c>
      <c r="C107" s="487">
        <f>C73/$O37</f>
        <v/>
      </c>
      <c r="D107" s="487">
        <f>D73/$O37</f>
        <v/>
      </c>
      <c r="E107" s="487">
        <f>E73/$O37</f>
        <v/>
      </c>
      <c r="F107" s="487">
        <f>F73/$O37</f>
        <v/>
      </c>
      <c r="G107" s="487">
        <f>G73/$O37</f>
        <v/>
      </c>
      <c r="H107" s="487">
        <f>H73/$O37</f>
        <v/>
      </c>
      <c r="I107" s="487">
        <f>I73/$O37</f>
        <v/>
      </c>
      <c r="J107" s="487">
        <f>J73/$O37</f>
        <v/>
      </c>
      <c r="K107" s="487">
        <f>K73/$O37</f>
        <v/>
      </c>
      <c r="L107" s="487">
        <f>L73/$O37</f>
        <v/>
      </c>
      <c r="M107" s="487">
        <f>M73/$O37</f>
        <v/>
      </c>
      <c r="N107" s="487">
        <f>N73/$O37</f>
        <v/>
      </c>
      <c r="O107" s="487">
        <f>O73/$O37</f>
        <v/>
      </c>
      <c r="P107" s="487">
        <f>P73/$O37</f>
        <v/>
      </c>
      <c r="Q107" s="630">
        <f>Q73/$O37</f>
        <v/>
      </c>
      <c r="R107" s="544" t="n"/>
      <c r="S107" s="85">
        <f>S73/$O37</f>
        <v/>
      </c>
      <c r="T107" s="542" t="n"/>
      <c r="U107" s="13" t="n">
        <v>0</v>
      </c>
      <c r="V107" s="14" t="n">
        <v>0</v>
      </c>
      <c r="W107" s="14" t="n">
        <v>0</v>
      </c>
      <c r="X107" s="14" t="n">
        <v>0</v>
      </c>
      <c r="Y107" s="14" t="n">
        <v>-551.272558474359</v>
      </c>
      <c r="Z107" s="14" t="n">
        <v>0</v>
      </c>
      <c r="AA107" s="14" t="n">
        <v>165.2001083426166</v>
      </c>
      <c r="AB107" s="14" t="n">
        <v>0</v>
      </c>
      <c r="AC107" s="14" t="n">
        <v>0</v>
      </c>
      <c r="AD107" s="14" t="n">
        <v>0</v>
      </c>
      <c r="AE107" s="14" t="n">
        <v>771.3622364938443</v>
      </c>
      <c r="AF107" s="14" t="n">
        <v>0</v>
      </c>
      <c r="AG107" s="14" t="n">
        <v>0</v>
      </c>
      <c r="AH107" s="14" t="n">
        <v>141.2077470838209</v>
      </c>
      <c r="AI107" s="14" t="n">
        <v>0</v>
      </c>
      <c r="AJ107" s="14" t="n">
        <v>0</v>
      </c>
      <c r="AK107" s="14" t="n">
        <v>0</v>
      </c>
      <c r="AL107" s="14" t="n">
        <v>-665.1617968047454</v>
      </c>
      <c r="AM107" s="14" t="n">
        <v>-647.7923606769436</v>
      </c>
      <c r="AN107" s="14" t="n">
        <v>0</v>
      </c>
      <c r="AO107" s="32" t="n">
        <v>-1819.341587637594</v>
      </c>
      <c r="AP107" s="32" t="n">
        <v>649.9705016019165</v>
      </c>
      <c r="AQ107" s="32" t="n">
        <v>704.3738245847313</v>
      </c>
      <c r="AR107" s="32" t="n">
        <v>846.8056435326084</v>
      </c>
      <c r="AS107" s="32" t="n">
        <v>326.9310915259956</v>
      </c>
      <c r="AT107" s="32" t="n">
        <v>-708.7394736076576</v>
      </c>
      <c r="AU107" s="32" t="n">
        <v>0</v>
      </c>
      <c r="AV107" s="32" t="n">
        <v>320.6921708817696</v>
      </c>
      <c r="AW107" s="32" t="n">
        <v>-320.6921708817696</v>
      </c>
      <c r="AX107" s="32" t="n">
        <v>0</v>
      </c>
      <c r="AY107" s="32" t="n">
        <v>79.8302673926912</v>
      </c>
      <c r="AZ107" s="49" t="n">
        <v>-79.8302673926912</v>
      </c>
    </row>
    <row r="108">
      <c r="B108" s="650" t="n"/>
      <c r="C108" s="487" t="n"/>
      <c r="D108" s="487" t="n"/>
      <c r="E108" s="487" t="n"/>
      <c r="F108" s="487" t="n"/>
      <c r="G108" s="487" t="n"/>
      <c r="H108" s="487" t="n"/>
      <c r="I108" s="487" t="n"/>
      <c r="J108" s="487" t="n"/>
      <c r="K108" s="487" t="n"/>
      <c r="L108" s="487" t="n"/>
      <c r="M108" s="487" t="n"/>
      <c r="N108" s="487" t="n"/>
      <c r="O108" s="487" t="n"/>
      <c r="P108" s="487" t="n"/>
      <c r="Q108" s="630" t="n"/>
      <c r="R108" s="544" t="n"/>
      <c r="T108" s="542" t="n"/>
    </row>
    <row r="109">
      <c r="A109" s="23" t="n"/>
      <c r="B109" s="650" t="inlineStr">
        <is>
          <t>ATA</t>
        </is>
      </c>
      <c r="C109" s="651" t="n"/>
      <c r="D109" s="651" t="n"/>
      <c r="E109" s="651" t="n"/>
      <c r="F109" s="651" t="n"/>
      <c r="G109" s="651" t="n"/>
      <c r="H109" s="651" t="n"/>
      <c r="I109" s="651" t="n"/>
      <c r="J109" s="651" t="n"/>
      <c r="K109" s="651" t="n"/>
      <c r="L109" s="651" t="n"/>
      <c r="M109" s="651" t="n"/>
      <c r="N109" s="651" t="n"/>
      <c r="O109" s="651" t="n"/>
      <c r="P109" s="651" t="n"/>
      <c r="Q109" s="652" t="n"/>
      <c r="R109" s="544" t="inlineStr">
        <is>
          <t>ST</t>
        </is>
      </c>
      <c r="S109" s="596" t="n"/>
      <c r="T109" s="597" t="n"/>
      <c r="V109" s="260" t="inlineStr">
        <is>
          <t>ATL</t>
        </is>
      </c>
    </row>
    <row r="110">
      <c r="A110" s="23" t="n"/>
      <c r="B110" s="650">
        <f t="array" ref="B110:Q125">MMULT(_xlfn.ANCHORARRAY(U92),B76:Q107)</f>
        <v/>
      </c>
      <c r="C110" s="487" t="n">
        <v>-1321071.997594018</v>
      </c>
      <c r="D110" s="487" t="n">
        <v>-727167.8477095658</v>
      </c>
      <c r="E110" s="487" t="n">
        <v>-1704466.743152932</v>
      </c>
      <c r="F110" s="487" t="n">
        <v>0</v>
      </c>
      <c r="G110" s="487" t="n">
        <v>0</v>
      </c>
      <c r="H110" s="487" t="n">
        <v>0</v>
      </c>
      <c r="I110" s="487" t="n">
        <v>0</v>
      </c>
      <c r="J110" s="487" t="n">
        <v>0</v>
      </c>
      <c r="K110" s="487" t="n">
        <v>0</v>
      </c>
      <c r="L110" s="487" t="n">
        <v>-60305.20729835179</v>
      </c>
      <c r="M110" s="487" t="n">
        <v>266347.9989010541</v>
      </c>
      <c r="N110" s="487" t="n">
        <v>-551395.9924182012</v>
      </c>
      <c r="O110" s="487" t="n">
        <v>1785040.820387639</v>
      </c>
      <c r="P110" s="487" t="n">
        <v>-2190966.540496671</v>
      </c>
      <c r="Q110" s="630" t="n">
        <v>974149.9214582572</v>
      </c>
      <c r="R110" s="544" t="n">
        <v>0</v>
      </c>
      <c r="S110" s="9" t="n">
        <v>0</v>
      </c>
      <c r="T110" s="542" t="n">
        <v>0</v>
      </c>
      <c r="V110" s="2">
        <f t="array" ref="V110:V125">MMULT(_xlfn.ANCHORARRAY(U92),S76:S107)</f>
        <v/>
      </c>
    </row>
    <row r="111" ht="15.95" customHeight="1">
      <c r="A111" s="23" t="n"/>
      <c r="B111" s="653" t="n">
        <v>-1321071.997594018</v>
      </c>
      <c r="C111" s="654" t="n">
        <v>2986537.51784672</v>
      </c>
      <c r="D111" s="654" t="n">
        <v>-142881.1496546489</v>
      </c>
      <c r="E111" s="654" t="n">
        <v>556830.305851076</v>
      </c>
      <c r="F111" s="654" t="n">
        <v>0</v>
      </c>
      <c r="G111" s="654" t="n">
        <v>0</v>
      </c>
      <c r="H111" s="654" t="n">
        <v>0</v>
      </c>
      <c r="I111" s="654" t="n">
        <v>0</v>
      </c>
      <c r="J111" s="654" t="n">
        <v>0</v>
      </c>
      <c r="K111" s="654" t="n">
        <v>0</v>
      </c>
      <c r="L111" s="654" t="n">
        <v>266347.9989010541</v>
      </c>
      <c r="M111" s="654" t="n">
        <v>-1176370.328479657</v>
      </c>
      <c r="N111" s="654" t="n">
        <v>497031.5670519102</v>
      </c>
      <c r="O111" s="654" t="n">
        <v>-1166911.190013903</v>
      </c>
      <c r="P111" s="654" t="n">
        <v>700573.581295703</v>
      </c>
      <c r="Q111" s="655" t="n">
        <v>-1200086.305204235</v>
      </c>
      <c r="R111" s="568" t="n">
        <v>0</v>
      </c>
      <c r="S111" s="1" t="n">
        <v>0</v>
      </c>
      <c r="T111" s="589" t="n">
        <v>0</v>
      </c>
      <c r="V111" s="3" t="n">
        <v>140.6463967935427</v>
      </c>
      <c r="Y111" s="23" t="n"/>
      <c r="Z111" s="152" t="inlineStr">
        <is>
          <t>Nr</t>
        </is>
      </c>
      <c r="AA111" s="153" t="inlineStr">
        <is>
          <t>X</t>
        </is>
      </c>
      <c r="AB111" s="153" t="inlineStr">
        <is>
          <t>Y</t>
        </is>
      </c>
      <c r="AC111" s="154" t="inlineStr">
        <is>
          <t>∆X</t>
        </is>
      </c>
      <c r="AD111" s="154" t="inlineStr">
        <is>
          <t>∆Y</t>
        </is>
      </c>
      <c r="AE111" s="153" t="inlineStr">
        <is>
          <t>d^2</t>
        </is>
      </c>
      <c r="AF111" s="153" t="inlineStr">
        <is>
          <t>A</t>
        </is>
      </c>
      <c r="AG111" s="155" t="inlineStr">
        <is>
          <t>B</t>
        </is>
      </c>
    </row>
    <row r="112">
      <c r="A112" s="23" t="n"/>
      <c r="B112" s="11" t="n">
        <v>-727167.8477095658</v>
      </c>
      <c r="C112" s="1" t="n">
        <v>-142881.1496546489</v>
      </c>
      <c r="D112" s="1" t="n">
        <v>1530177.468067946</v>
      </c>
      <c r="E112" s="1" t="n">
        <v>258472.9763532605</v>
      </c>
      <c r="F112" s="1" t="n">
        <v>147487.7661795294</v>
      </c>
      <c r="G112" s="1" t="n">
        <v>8701.116186472093</v>
      </c>
      <c r="H112" s="1" t="n">
        <v>-206153.7200646798</v>
      </c>
      <c r="I112" s="1" t="n">
        <v>280598.1189769254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-744343.6664732296</v>
      </c>
      <c r="Q112" s="12" t="n">
        <v>-404891.0618620091</v>
      </c>
      <c r="R112" s="11" t="n">
        <v>0</v>
      </c>
      <c r="S112" s="1" t="n">
        <v>0</v>
      </c>
      <c r="T112" s="12" t="n">
        <v>0</v>
      </c>
      <c r="V112" s="3" t="n">
        <v>1157.468269497698</v>
      </c>
      <c r="Y112" s="288" t="inlineStr">
        <is>
          <t>Początek</t>
        </is>
      </c>
      <c r="Z112" s="151" t="n">
        <v>9</v>
      </c>
      <c r="AA112" s="35">
        <f>VLOOKUP(Z112,$P$5:$R$13,2,FALSE)</f>
        <v/>
      </c>
      <c r="AB112" s="35">
        <f>VLOOKUP(Z112,$P$5:$R$13,3,FALSE)</f>
        <v/>
      </c>
      <c r="AC112" s="35">
        <f>AA113-AA112</f>
        <v/>
      </c>
      <c r="AD112" s="35">
        <f>AB113-AB112</f>
        <v/>
      </c>
      <c r="AE112" s="35">
        <f>AC112^2+AD112^2</f>
        <v/>
      </c>
      <c r="AF112" s="111">
        <f>AD112/AE112*(200/PI()*10000)</f>
        <v/>
      </c>
      <c r="AG112" s="656">
        <f>-AC112/AE112*200/PI()*10000</f>
        <v/>
      </c>
    </row>
    <row r="113">
      <c r="A113" s="23" t="n"/>
      <c r="B113" s="11" t="n">
        <v>-1704466.743152932</v>
      </c>
      <c r="C113" s="1" t="n">
        <v>556830.305851076</v>
      </c>
      <c r="D113" s="1" t="n">
        <v>258472.9763532605</v>
      </c>
      <c r="E113" s="1" t="n">
        <v>4459685.747600202</v>
      </c>
      <c r="F113" s="1" t="n">
        <v>1204860.266961728</v>
      </c>
      <c r="G113" s="1" t="n">
        <v>-1467478.234832786</v>
      </c>
      <c r="H113" s="1" t="n">
        <v>280598.1189769254</v>
      </c>
      <c r="I113" s="1" t="n">
        <v>-381925.217496371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-39464.61913898122</v>
      </c>
      <c r="Q113" s="12" t="n">
        <v>-3167112.601122121</v>
      </c>
      <c r="R113" s="11" t="n">
        <v>0</v>
      </c>
      <c r="S113" s="1" t="n">
        <v>0</v>
      </c>
      <c r="T113" s="12" t="n">
        <v>0</v>
      </c>
      <c r="V113" s="3" t="n">
        <v>-408.6350835469304</v>
      </c>
      <c r="Y113" s="150" t="inlineStr">
        <is>
          <t>Koniec</t>
        </is>
      </c>
      <c r="Z113" s="148" t="n">
        <v>6</v>
      </c>
      <c r="AA113" s="1">
        <f>VLOOKUP(Z113,$P$5:$R$13,2,FALSE)</f>
        <v/>
      </c>
      <c r="AB113" s="1">
        <f>VLOOKUP(Z113,$P$5:$R$13,3,FALSE)</f>
        <v/>
      </c>
      <c r="AC113" s="23" t="n"/>
      <c r="AD113" s="23" t="n"/>
      <c r="AE113" s="23" t="n"/>
      <c r="AF113" s="23" t="n"/>
      <c r="AG113" s="23" t="n"/>
    </row>
    <row r="114" ht="15.95" customHeight="1">
      <c r="A114" s="23" t="n"/>
      <c r="B114" s="657" t="n">
        <v>0</v>
      </c>
      <c r="C114" s="590" t="n">
        <v>0</v>
      </c>
      <c r="D114" s="590" t="n">
        <v>147487.7661795294</v>
      </c>
      <c r="E114" s="590" t="n">
        <v>1204860.266961728</v>
      </c>
      <c r="F114" s="590" t="n">
        <v>3197552.028923159</v>
      </c>
      <c r="G114" s="590" t="n">
        <v>-313305.7077877912</v>
      </c>
      <c r="H114" s="590" t="n">
        <v>-1228688.353057525</v>
      </c>
      <c r="I114" s="590" t="n">
        <v>-445656.7127718034</v>
      </c>
      <c r="J114" s="590" t="n">
        <v>0</v>
      </c>
      <c r="K114" s="590" t="n">
        <v>0</v>
      </c>
      <c r="L114" s="590" t="n">
        <v>-606699.8419580946</v>
      </c>
      <c r="M114" s="590" t="n">
        <v>-118960.7533251165</v>
      </c>
      <c r="N114" s="590" t="n">
        <v>0</v>
      </c>
      <c r="O114" s="590" t="n">
        <v>0</v>
      </c>
      <c r="P114" s="590" t="n">
        <v>-1509651.600087069</v>
      </c>
      <c r="Q114" s="590" t="n">
        <v>-326937.0930770166</v>
      </c>
      <c r="R114" s="11" t="n">
        <v>0</v>
      </c>
      <c r="S114" s="1" t="n">
        <v>0</v>
      </c>
      <c r="T114" s="12" t="n">
        <v>0</v>
      </c>
      <c r="U114" s="658" t="n"/>
      <c r="V114" s="3" t="n">
        <v>-3237.852452809496</v>
      </c>
    </row>
    <row r="115">
      <c r="A115" s="23" t="n"/>
      <c r="B115" s="580" t="n">
        <v>0</v>
      </c>
      <c r="C115" s="581" t="n">
        <v>0</v>
      </c>
      <c r="D115" s="581" t="n">
        <v>8701.116186472093</v>
      </c>
      <c r="E115" s="581" t="n">
        <v>-1467478.234832786</v>
      </c>
      <c r="F115" s="581" t="n">
        <v>-313305.7077877912</v>
      </c>
      <c r="G115" s="581" t="n">
        <v>3742623.987782983</v>
      </c>
      <c r="H115" s="581" t="n">
        <v>1453154.501131713</v>
      </c>
      <c r="I115" s="581" t="n">
        <v>-1670577.405905676</v>
      </c>
      <c r="J115" s="581" t="n">
        <v>0</v>
      </c>
      <c r="K115" s="581" t="n">
        <v>0</v>
      </c>
      <c r="L115" s="581" t="n">
        <v>-118960.7533251165</v>
      </c>
      <c r="M115" s="581" t="n">
        <v>-23325.63790688556</v>
      </c>
      <c r="N115" s="581" t="n">
        <v>0</v>
      </c>
      <c r="O115" s="581" t="n">
        <v>0</v>
      </c>
      <c r="P115" s="581" t="n">
        <v>-1029589.156205278</v>
      </c>
      <c r="Q115" s="581" t="n">
        <v>-581242.709137636</v>
      </c>
      <c r="R115" s="580" t="n">
        <v>0</v>
      </c>
      <c r="S115" s="581" t="n">
        <v>0</v>
      </c>
      <c r="T115" s="555" t="n">
        <v>0</v>
      </c>
      <c r="U115" s="659" t="n"/>
      <c r="V115" s="3" t="n">
        <v>22.2519758727949</v>
      </c>
    </row>
    <row r="116">
      <c r="A116" s="23" t="n"/>
      <c r="B116" s="543" t="n">
        <v>0</v>
      </c>
      <c r="C116" s="1" t="n">
        <v>0</v>
      </c>
      <c r="D116" s="1" t="n">
        <v>-206153.7200646798</v>
      </c>
      <c r="E116" s="1" t="n">
        <v>280598.1189769254</v>
      </c>
      <c r="F116" s="1" t="n">
        <v>-1228688.353057525</v>
      </c>
      <c r="G116" s="1" t="n">
        <v>1453154.501131713</v>
      </c>
      <c r="H116" s="1" t="n">
        <v>6377052.080603315</v>
      </c>
      <c r="I116" s="1" t="n">
        <v>60080.06910376681</v>
      </c>
      <c r="J116" s="1" t="n">
        <v>-1392391.915405798</v>
      </c>
      <c r="K116" s="1" t="n">
        <v>-1871079.379933775</v>
      </c>
      <c r="L116" s="1" t="n">
        <v>-2467755.58049569</v>
      </c>
      <c r="M116" s="1" t="n">
        <v>153229.9907167496</v>
      </c>
      <c r="N116" s="1" t="n">
        <v>0</v>
      </c>
      <c r="O116" s="1" t="n">
        <v>0</v>
      </c>
      <c r="P116" s="1" t="n">
        <v>-1082062.511579622</v>
      </c>
      <c r="Q116" s="12" t="n">
        <v>-75983.29999538064</v>
      </c>
      <c r="R116" s="543" t="n">
        <v>0</v>
      </c>
      <c r="S116" s="1" t="n">
        <v>0</v>
      </c>
      <c r="T116" s="544" t="n">
        <v>0</v>
      </c>
      <c r="U116" s="547" t="n"/>
      <c r="V116" s="3" t="n">
        <v>235.3003984229595</v>
      </c>
    </row>
    <row r="117">
      <c r="A117" s="23" t="n"/>
      <c r="B117" s="543" t="n">
        <v>0</v>
      </c>
      <c r="C117" s="1" t="n">
        <v>0</v>
      </c>
      <c r="D117" s="1" t="n">
        <v>280598.1189769254</v>
      </c>
      <c r="E117" s="1" t="n">
        <v>-381925.217496371</v>
      </c>
      <c r="F117" s="1" t="n">
        <v>-445656.7127718034</v>
      </c>
      <c r="G117" s="1" t="n">
        <v>-1670577.405905676</v>
      </c>
      <c r="H117" s="1" t="n">
        <v>60080.06910376681</v>
      </c>
      <c r="I117" s="1" t="n">
        <v>5042162.477009702</v>
      </c>
      <c r="J117" s="1" t="n">
        <v>206717.3338608228</v>
      </c>
      <c r="K117" s="1" t="n">
        <v>-1289173.099980433</v>
      </c>
      <c r="L117" s="1" t="n">
        <v>419604.1317180932</v>
      </c>
      <c r="M117" s="1" t="n">
        <v>-1351047.317675701</v>
      </c>
      <c r="N117" s="1" t="n">
        <v>0</v>
      </c>
      <c r="O117" s="1" t="n">
        <v>0</v>
      </c>
      <c r="P117" s="1" t="n">
        <v>-521342.9408878051</v>
      </c>
      <c r="Q117" s="12" t="n">
        <v>-349439.4359515198</v>
      </c>
      <c r="R117" s="543" t="n">
        <v>0</v>
      </c>
      <c r="S117" s="1" t="n">
        <v>0</v>
      </c>
      <c r="T117" s="544" t="n">
        <v>0</v>
      </c>
      <c r="U117" s="547" t="n"/>
      <c r="V117" s="3" t="n">
        <v>4651.516614574971</v>
      </c>
      <c r="X117" s="660" t="n"/>
      <c r="Y117" s="661" t="n"/>
      <c r="Z117" s="661" t="n"/>
      <c r="AA117" s="661" t="n"/>
      <c r="AB117" s="538" t="n"/>
      <c r="AC117" s="538" t="n"/>
      <c r="AD117" s="661" t="n"/>
      <c r="AE117" s="661" t="n"/>
      <c r="AF117" s="661" t="n"/>
    </row>
    <row r="118">
      <c r="A118" s="23" t="n"/>
      <c r="B118" s="543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-1392391.915405798</v>
      </c>
      <c r="I118" s="1" t="n">
        <v>206717.3338608228</v>
      </c>
      <c r="J118" s="1" t="n">
        <v>1701793.386824084</v>
      </c>
      <c r="K118" s="1" t="n">
        <v>7240.326036168612</v>
      </c>
      <c r="L118" s="1" t="n">
        <v>-834516.9148804627</v>
      </c>
      <c r="M118" s="1" t="n">
        <v>-668089.3462479746</v>
      </c>
      <c r="N118" s="1" t="n">
        <v>333331.8231710103</v>
      </c>
      <c r="O118" s="1" t="n">
        <v>14175.26468405878</v>
      </c>
      <c r="P118" s="1" t="n">
        <v>191783.6202911655</v>
      </c>
      <c r="Q118" s="12" t="n">
        <v>439956.4216669244</v>
      </c>
      <c r="R118" s="543" t="n">
        <v>0</v>
      </c>
      <c r="S118" s="1" t="n">
        <v>0</v>
      </c>
      <c r="T118" s="544">
        <f>J128</f>
        <v/>
      </c>
      <c r="U118" s="547" t="n"/>
      <c r="V118" s="3" t="n">
        <v>-230.0302248978255</v>
      </c>
      <c r="X118" s="539" t="n"/>
      <c r="Y118" s="662" t="inlineStr">
        <is>
          <t>V</t>
        </is>
      </c>
      <c r="Z118" s="662" t="n"/>
      <c r="AA118" s="662" t="n"/>
      <c r="AB118" s="662" t="n"/>
      <c r="AC118" s="662" t="n"/>
      <c r="AD118" s="662" t="n"/>
      <c r="AE118" s="663" t="n"/>
      <c r="AF118" s="663" t="n"/>
    </row>
    <row r="119">
      <c r="A119" s="23" t="n"/>
      <c r="B119" s="543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-1871079.379933775</v>
      </c>
      <c r="I119" s="1" t="n">
        <v>-1289173.099980433</v>
      </c>
      <c r="J119" s="1" t="n">
        <v>7240.326036168612</v>
      </c>
      <c r="K119" s="1" t="n">
        <v>3931596.847150904</v>
      </c>
      <c r="L119" s="1" t="n">
        <v>1048095.102933356</v>
      </c>
      <c r="M119" s="1" t="n">
        <v>-1893001.584992845</v>
      </c>
      <c r="N119" s="1" t="n">
        <v>156700.7037369154</v>
      </c>
      <c r="O119" s="1" t="n">
        <v>-571436.6681128663</v>
      </c>
      <c r="P119" s="1" t="n">
        <v>659043.2472273349</v>
      </c>
      <c r="Q119" s="12" t="n">
        <v>-177985.4940647603</v>
      </c>
      <c r="R119" s="543" t="n">
        <v>0</v>
      </c>
      <c r="S119" s="1" t="n">
        <v>0</v>
      </c>
      <c r="T119" s="544">
        <f>K128</f>
        <v/>
      </c>
      <c r="U119" s="547" t="n"/>
      <c r="V119" s="3" t="n">
        <v>-2370.765555557647</v>
      </c>
      <c r="X119" s="664" t="n"/>
      <c r="Y119" s="591">
        <f t="array" ref="Y119:Y150">MMULT(B76:Q107,_xlfn.ANCHORARRAY(V131))+S76:S107</f>
        <v/>
      </c>
      <c r="Z119" s="662" t="n"/>
      <c r="AA119" s="662" t="n"/>
      <c r="AB119" s="660" t="n"/>
      <c r="AC119" s="660" t="n"/>
      <c r="AD119" s="660" t="n"/>
      <c r="AE119" s="660" t="n"/>
      <c r="AF119" s="660" t="n"/>
    </row>
    <row r="120">
      <c r="A120" s="23" t="n"/>
      <c r="B120" s="543" t="n">
        <v>-60305.20729835179</v>
      </c>
      <c r="C120" s="1" t="n">
        <v>266347.9989010541</v>
      </c>
      <c r="D120" s="1" t="n">
        <v>0</v>
      </c>
      <c r="E120" s="1" t="n">
        <v>0</v>
      </c>
      <c r="F120" s="1" t="n">
        <v>-606699.8419580946</v>
      </c>
      <c r="G120" s="1" t="n">
        <v>-118960.7533251165</v>
      </c>
      <c r="H120" s="1" t="n">
        <v>-2467755.58049569</v>
      </c>
      <c r="I120" s="1" t="n">
        <v>419604.1317180932</v>
      </c>
      <c r="J120" s="1" t="n">
        <v>-834516.9148804627</v>
      </c>
      <c r="K120" s="1" t="n">
        <v>1048095.102933356</v>
      </c>
      <c r="L120" s="1" t="n">
        <v>7233417.695659904</v>
      </c>
      <c r="M120" s="1" t="n">
        <v>183839.1697038311</v>
      </c>
      <c r="N120" s="1" t="n">
        <v>-641554.0369213023</v>
      </c>
      <c r="O120" s="1" t="n">
        <v>-1300053.589493115</v>
      </c>
      <c r="P120" s="1" t="n">
        <v>-2622586.114106003</v>
      </c>
      <c r="Q120" s="12" t="n">
        <v>-498872.0604381031</v>
      </c>
      <c r="R120" s="543" t="n">
        <v>0</v>
      </c>
      <c r="S120" s="1" t="n">
        <v>0</v>
      </c>
      <c r="T120" s="544" t="n">
        <v>0</v>
      </c>
      <c r="U120" s="547" t="n"/>
      <c r="V120" s="3" t="n">
        <v>1381.007370095507</v>
      </c>
      <c r="Y120" s="3" t="n">
        <v>-0.3086669057884605</v>
      </c>
    </row>
    <row r="121">
      <c r="A121" s="23" t="n"/>
      <c r="B121" s="543" t="n">
        <v>266347.9989010541</v>
      </c>
      <c r="C121" s="1" t="n">
        <v>-1176370.328479657</v>
      </c>
      <c r="D121" s="1" t="n">
        <v>0</v>
      </c>
      <c r="E121" s="1" t="n">
        <v>0</v>
      </c>
      <c r="F121" s="1" t="n">
        <v>-118960.7533251165</v>
      </c>
      <c r="G121" s="1" t="n">
        <v>-23325.63790688556</v>
      </c>
      <c r="H121" s="1" t="n">
        <v>153229.9907167496</v>
      </c>
      <c r="I121" s="1" t="n">
        <v>-1351047.317675701</v>
      </c>
      <c r="J121" s="1" t="n">
        <v>-668089.3462479746</v>
      </c>
      <c r="K121" s="1" t="n">
        <v>-1893001.584992845</v>
      </c>
      <c r="L121" s="1" t="n">
        <v>183839.1697038311</v>
      </c>
      <c r="M121" s="1" t="n">
        <v>7842926.828150898</v>
      </c>
      <c r="N121" s="1" t="n">
        <v>-227611.3380290264</v>
      </c>
      <c r="O121" s="1" t="n">
        <v>-2619099.022196786</v>
      </c>
      <c r="P121" s="1" t="n">
        <v>411244.2782804827</v>
      </c>
      <c r="Q121" s="12" t="n">
        <v>-780082.9368990238</v>
      </c>
      <c r="R121" s="543" t="n">
        <v>0</v>
      </c>
      <c r="S121" s="1" t="n">
        <v>0</v>
      </c>
      <c r="T121" s="544" t="n">
        <v>0</v>
      </c>
      <c r="U121" s="547" t="n"/>
      <c r="V121" s="3" t="n">
        <v>-2156.489188373575</v>
      </c>
      <c r="Y121" s="3" t="n">
        <v>0.08201989658987874</v>
      </c>
    </row>
    <row r="122">
      <c r="A122" s="23" t="n"/>
      <c r="B122" s="543" t="n">
        <v>-551395.9924182012</v>
      </c>
      <c r="C122" s="1" t="n">
        <v>497031.5670519102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333331.8231710103</v>
      </c>
      <c r="K122" s="1" t="n">
        <v>156700.7037369154</v>
      </c>
      <c r="L122" s="1" t="n">
        <v>-641554.0369213023</v>
      </c>
      <c r="M122" s="1" t="n">
        <v>-227611.3380290264</v>
      </c>
      <c r="N122" s="1" t="n">
        <v>1603418.207253485</v>
      </c>
      <c r="O122" s="1" t="n">
        <v>-541984.5508057029</v>
      </c>
      <c r="P122" s="1" t="n">
        <v>-743800.0010849915</v>
      </c>
      <c r="Q122" s="12" t="n">
        <v>115863.6180459037</v>
      </c>
      <c r="R122" s="543" t="n">
        <v>0</v>
      </c>
      <c r="S122" s="1" t="n">
        <v>0</v>
      </c>
      <c r="T122" s="544" t="n">
        <v>0</v>
      </c>
      <c r="U122" s="547" t="n"/>
      <c r="V122" s="3" t="n">
        <v>104.9401007561032</v>
      </c>
      <c r="Y122" s="3" t="n">
        <v>0.1170785623037149</v>
      </c>
    </row>
    <row r="123">
      <c r="A123" s="23" t="n"/>
      <c r="B123" s="543" t="n">
        <v>1785040.820387639</v>
      </c>
      <c r="C123" s="1" t="n">
        <v>-1166911.190013903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14175.26468405878</v>
      </c>
      <c r="K123" s="1" t="n">
        <v>-571436.6681128663</v>
      </c>
      <c r="L123" s="1" t="n">
        <v>-1300053.589493115</v>
      </c>
      <c r="M123" s="1" t="n">
        <v>-2619099.022196786</v>
      </c>
      <c r="N123" s="1" t="n">
        <v>-541984.5508057029</v>
      </c>
      <c r="O123" s="1" t="n">
        <v>5683020.401981601</v>
      </c>
      <c r="P123" s="1" t="n">
        <v>42822.05522711971</v>
      </c>
      <c r="Q123" s="12" t="n">
        <v>-1325573.521658045</v>
      </c>
      <c r="R123" s="543" t="n">
        <v>0</v>
      </c>
      <c r="S123" s="1" t="n">
        <v>0</v>
      </c>
      <c r="T123" s="544" t="n">
        <v>0</v>
      </c>
      <c r="U123" s="547" t="n"/>
      <c r="V123" s="3" t="n">
        <v>3273.295223438698</v>
      </c>
      <c r="Y123" s="3" t="n">
        <v>-0.3849438927243755</v>
      </c>
    </row>
    <row r="124">
      <c r="A124" s="23" t="n"/>
      <c r="B124" s="543" t="n">
        <v>-2190966.540496671</v>
      </c>
      <c r="C124" s="1" t="n">
        <v>700573.581295703</v>
      </c>
      <c r="D124" s="1" t="n">
        <v>-744343.6664732296</v>
      </c>
      <c r="E124" s="1" t="n">
        <v>-39464.61913898122</v>
      </c>
      <c r="F124" s="1" t="n">
        <v>-1509651.600087069</v>
      </c>
      <c r="G124" s="1" t="n">
        <v>-1029589.156205278</v>
      </c>
      <c r="H124" s="1" t="n">
        <v>-1082062.511579622</v>
      </c>
      <c r="I124" s="1" t="n">
        <v>-521342.9408878051</v>
      </c>
      <c r="J124" s="1" t="n">
        <v>191783.6202911655</v>
      </c>
      <c r="K124" s="1" t="n">
        <v>659043.2472273349</v>
      </c>
      <c r="L124" s="1" t="n">
        <v>-2622586.114106003</v>
      </c>
      <c r="M124" s="1" t="n">
        <v>411244.2782804827</v>
      </c>
      <c r="N124" s="1" t="n">
        <v>-743800.0010849915</v>
      </c>
      <c r="O124" s="1" t="n">
        <v>42822.05522711971</v>
      </c>
      <c r="P124" s="1" t="n">
        <v>8701626.81353642</v>
      </c>
      <c r="Q124" s="12" t="n">
        <v>-223286.4457985761</v>
      </c>
      <c r="R124" s="543" t="n">
        <v>1</v>
      </c>
      <c r="S124" s="1" t="n">
        <v>0</v>
      </c>
      <c r="T124" s="544">
        <f>P128</f>
        <v/>
      </c>
      <c r="U124" s="547" t="n"/>
      <c r="V124" s="3" t="n">
        <v>3321.765136715449</v>
      </c>
      <c r="Y124" s="3" t="n">
        <v>1.473813179381696</v>
      </c>
    </row>
    <row r="125">
      <c r="A125" s="23" t="n"/>
      <c r="B125" s="543" t="n">
        <v>974149.9214582572</v>
      </c>
      <c r="C125" s="14" t="n">
        <v>-1200086.305204235</v>
      </c>
      <c r="D125" s="14" t="n">
        <v>-404891.0618620091</v>
      </c>
      <c r="E125" s="14" t="n">
        <v>-3167112.601122121</v>
      </c>
      <c r="F125" s="14" t="n">
        <v>-326937.0930770166</v>
      </c>
      <c r="G125" s="14" t="n">
        <v>-581242.709137636</v>
      </c>
      <c r="H125" s="14" t="n">
        <v>-75983.29999538064</v>
      </c>
      <c r="I125" s="14" t="n">
        <v>-349439.4359515198</v>
      </c>
      <c r="J125" s="14" t="n">
        <v>439956.4216669244</v>
      </c>
      <c r="K125" s="14" t="n">
        <v>-177985.4940647603</v>
      </c>
      <c r="L125" s="14" t="n">
        <v>-498872.0604381031</v>
      </c>
      <c r="M125" s="14" t="n">
        <v>-780082.9368990238</v>
      </c>
      <c r="N125" s="14" t="n">
        <v>115863.6180459037</v>
      </c>
      <c r="O125" s="14" t="n">
        <v>-1325573.521658045</v>
      </c>
      <c r="P125" s="14" t="n">
        <v>-223286.4457985761</v>
      </c>
      <c r="Q125" s="15" t="n">
        <v>7581523.004037343</v>
      </c>
      <c r="R125" s="543" t="n">
        <v>0</v>
      </c>
      <c r="S125" s="14" t="n">
        <v>1</v>
      </c>
      <c r="T125" s="544">
        <f>Q128</f>
        <v/>
      </c>
      <c r="U125" s="547" t="n"/>
      <c r="V125" s="4" t="n">
        <v>-3151.820383201856</v>
      </c>
      <c r="Y125" s="3" t="n">
        <v>0.002068210712392604</v>
      </c>
    </row>
    <row r="126" ht="25.75" customHeight="1">
      <c r="A126" s="21" t="inlineStr">
        <is>
          <t>S</t>
        </is>
      </c>
      <c r="B126" s="543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1</v>
      </c>
      <c r="Q126" s="10" t="n">
        <v>0</v>
      </c>
      <c r="R126" s="543" t="n">
        <v>0</v>
      </c>
      <c r="S126" s="23" t="n">
        <v>0</v>
      </c>
      <c r="T126" s="544" t="n">
        <v>0</v>
      </c>
      <c r="U126" s="547" t="n"/>
      <c r="Y126" s="3" t="n">
        <v>-1.189458490942731</v>
      </c>
    </row>
    <row r="127">
      <c r="A127" s="601" t="n"/>
      <c r="B127" s="543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2" t="n">
        <v>1</v>
      </c>
      <c r="R127" s="543" t="n">
        <v>0</v>
      </c>
      <c r="S127" s="23" t="n">
        <v>0</v>
      </c>
      <c r="T127" s="544" t="n">
        <v>0</v>
      </c>
      <c r="U127" s="547" t="n"/>
      <c r="Y127" s="3" t="n">
        <v>-0.6826956505396717</v>
      </c>
    </row>
    <row r="128">
      <c r="A128" s="606" t="n"/>
      <c r="B128" s="543" t="n">
        <v>0</v>
      </c>
      <c r="C128" s="14" t="n">
        <v>0</v>
      </c>
      <c r="D128" s="14" t="n">
        <v>0</v>
      </c>
      <c r="E128" s="14" t="n">
        <v>0</v>
      </c>
      <c r="F128" s="14" t="n">
        <v>0</v>
      </c>
      <c r="G128" s="14" t="n">
        <v>0</v>
      </c>
      <c r="H128" s="14" t="n">
        <v>0</v>
      </c>
      <c r="I128" s="14" t="n">
        <v>0</v>
      </c>
      <c r="J128" s="80">
        <f>-AF112</f>
        <v/>
      </c>
      <c r="K128" s="80">
        <f>-AG112</f>
        <v/>
      </c>
      <c r="L128" s="665" t="n">
        <v>0</v>
      </c>
      <c r="M128" s="665" t="n">
        <v>0</v>
      </c>
      <c r="N128" s="665" t="n">
        <v>0</v>
      </c>
      <c r="O128" s="665" t="n">
        <v>0</v>
      </c>
      <c r="P128" s="80">
        <f>AF112</f>
        <v/>
      </c>
      <c r="Q128" s="97">
        <f>AG112</f>
        <v/>
      </c>
      <c r="R128" s="543" t="n">
        <v>0</v>
      </c>
      <c r="S128" s="23" t="n">
        <v>0</v>
      </c>
      <c r="T128" s="544" t="n">
        <v>0</v>
      </c>
      <c r="U128" s="547" t="n"/>
      <c r="Y128" s="3" t="n">
        <v>-0.1223242669284901</v>
      </c>
    </row>
    <row r="129">
      <c r="B129" s="543" t="n"/>
      <c r="R129" s="543" t="n"/>
      <c r="T129" s="544" t="n"/>
      <c r="U129" s="547" t="n"/>
      <c r="V129" s="23" t="n"/>
      <c r="W129" s="23" t="n"/>
      <c r="X129" s="23" t="n"/>
      <c r="Y129" s="3" t="n">
        <v>-1.122294722680996</v>
      </c>
      <c r="Z129" s="23" t="n"/>
      <c r="AA129" s="21" t="inlineStr">
        <is>
          <t>VTL</t>
        </is>
      </c>
      <c r="AB129" s="87">
        <f t="array" ref="AB129">MMULT(TRANSPOSE(_xlfn.ANCHORARRAY(Y119)),S76:S107)</f>
        <v/>
      </c>
      <c r="AC129" s="23" t="n"/>
      <c r="AD129" s="23" t="n"/>
      <c r="AE129" s="23" t="n"/>
    </row>
    <row r="130">
      <c r="B130" s="543" t="inlineStr">
        <is>
          <t>(ATA)-1</t>
        </is>
      </c>
      <c r="C130" s="596" t="n"/>
      <c r="D130" s="596" t="n"/>
      <c r="E130" s="596" t="n"/>
      <c r="F130" s="596" t="n"/>
      <c r="G130" s="596" t="n"/>
      <c r="H130" s="596" t="n"/>
      <c r="I130" s="596" t="n"/>
      <c r="J130" s="596" t="n"/>
      <c r="K130" s="596" t="n"/>
      <c r="L130" s="596" t="n"/>
      <c r="M130" s="596" t="n"/>
      <c r="N130" s="596" t="n"/>
      <c r="O130" s="596" t="n"/>
      <c r="P130" s="596" t="n"/>
      <c r="Q130" s="597" t="n"/>
      <c r="R130" s="567" t="inlineStr">
        <is>
          <t>ST(-1)</t>
        </is>
      </c>
      <c r="S130" s="596" t="n"/>
      <c r="T130" s="597" t="n"/>
      <c r="U130" s="571" t="n"/>
      <c r="V130" s="260" t="inlineStr">
        <is>
          <t>X</t>
        </is>
      </c>
      <c r="W130" s="260" t="inlineStr">
        <is>
          <t>mx</t>
        </is>
      </c>
      <c r="X130" s="23" t="n"/>
      <c r="Y130" s="3" t="n">
        <v>-0.3844016225836423</v>
      </c>
      <c r="Z130" s="23" t="n"/>
      <c r="AA130" s="21" t="inlineStr">
        <is>
          <t>VTV</t>
        </is>
      </c>
      <c r="AB130" s="88">
        <f t="array" ref="AB130">MMULT(TRANSPOSE(_xlfn.ANCHORARRAY(Y119)),_xlfn.ANCHORARRAY(Y119))</f>
        <v/>
      </c>
      <c r="AC130" s="23" t="n"/>
      <c r="AD130" s="23" t="n"/>
      <c r="AE130" s="23" t="n"/>
    </row>
    <row r="131">
      <c r="B131" s="580">
        <f t="array" ref="B131:T149">MINVERSE(B110:T128)</f>
        <v/>
      </c>
      <c r="C131" s="581" t="n">
        <v>1.121397068893093e-07</v>
      </c>
      <c r="D131" s="581" t="n">
        <v>2.850086687661459e-07</v>
      </c>
      <c r="E131" s="581" t="n">
        <v>3.607010032598815e-07</v>
      </c>
      <c r="F131" s="581" t="n">
        <v>-1.961353435105053e-07</v>
      </c>
      <c r="G131" s="581" t="n">
        <v>1.76222016425345e-07</v>
      </c>
      <c r="H131" s="581" t="n">
        <v>-1.23852637182895e-07</v>
      </c>
      <c r="I131" s="581" t="n">
        <v>1.558035953702593e-08</v>
      </c>
      <c r="J131" s="581" t="n">
        <v>3.74915827300507e-08</v>
      </c>
      <c r="K131" s="581" t="n">
        <v>-6.411282490523456e-08</v>
      </c>
      <c r="L131" s="581" t="n">
        <v>-7.98739799393396e-08</v>
      </c>
      <c r="M131" s="581" t="n">
        <v>-1.012300095698442e-07</v>
      </c>
      <c r="N131" s="581" t="n">
        <v>7.195685724833555e-08</v>
      </c>
      <c r="O131" s="581" t="n">
        <v>-2.643914749023845e-07</v>
      </c>
      <c r="P131" s="581" t="n">
        <v>0</v>
      </c>
      <c r="Q131" s="555" t="n">
        <v>0</v>
      </c>
      <c r="R131" s="580" t="n">
        <v>1</v>
      </c>
      <c r="S131" s="581" t="n">
        <v>3.298038079315813e-17</v>
      </c>
      <c r="T131" s="555" t="n">
        <v>0.0002397406926178376</v>
      </c>
      <c r="U131" s="547" t="n"/>
      <c r="V131" s="92">
        <f t="array" ref="V131:V146">-MMULT(B131:Q146,_xlfn.ANCHORARRAY(V110))</f>
        <v/>
      </c>
      <c r="W131" s="89">
        <f>$AB$131*SQRT(INDEX($B$131:$Q$146,1,1))</f>
        <v/>
      </c>
      <c r="X131" s="23" t="n"/>
      <c r="Y131" s="3" t="n">
        <v>-0.07330129713477451</v>
      </c>
      <c r="Z131" s="23" t="n"/>
      <c r="AA131" s="21" t="inlineStr">
        <is>
          <t>m0'</t>
        </is>
      </c>
      <c r="AB131" s="88">
        <f>SQRT(AB130/(32-16+3))</f>
        <v/>
      </c>
      <c r="AC131" s="23" t="n"/>
      <c r="AD131" s="23" t="n"/>
      <c r="AE131" s="23" t="n"/>
    </row>
    <row r="132">
      <c r="B132" s="543" t="n">
        <v>1.121397068893093e-07</v>
      </c>
      <c r="C132" s="25" t="n">
        <v>5.191789604301037e-07</v>
      </c>
      <c r="D132" s="25" t="n">
        <v>8.934271356695148e-08</v>
      </c>
      <c r="E132" s="25" t="n">
        <v>-1.671010311993292e-08</v>
      </c>
      <c r="F132" s="25" t="n">
        <v>1.771332135659061e-08</v>
      </c>
      <c r="G132" s="25" t="n">
        <v>2.724900997900582e-08</v>
      </c>
      <c r="H132" s="25" t="n">
        <v>3.604935911710969e-09</v>
      </c>
      <c r="I132" s="25" t="n">
        <v>7.565180736960997e-08</v>
      </c>
      <c r="J132" s="25" t="n">
        <v>-5.934523408800768e-08</v>
      </c>
      <c r="K132" s="25" t="n">
        <v>1.01483861842806e-07</v>
      </c>
      <c r="L132" s="25" t="n">
        <v>-2.496795759575825e-08</v>
      </c>
      <c r="M132" s="25" t="n">
        <v>1.525678939595194e-07</v>
      </c>
      <c r="N132" s="25" t="n">
        <v>-6.078161512968704e-08</v>
      </c>
      <c r="O132" s="25" t="n">
        <v>1.405384117190727e-07</v>
      </c>
      <c r="P132" s="25" t="n">
        <v>0</v>
      </c>
      <c r="Q132" s="544" t="n">
        <v>0</v>
      </c>
      <c r="R132" s="67" t="n">
        <v>-1.751755066127662e-17</v>
      </c>
      <c r="S132" s="25" t="n">
        <v>1</v>
      </c>
      <c r="T132" s="544" t="n">
        <v>-0.000115138622112514</v>
      </c>
      <c r="U132" s="547" t="n"/>
      <c r="V132" s="93" t="n">
        <v>-3.603472893604434e-05</v>
      </c>
      <c r="W132" s="90">
        <f>$AB$131*SQRT(INDEX($B$131:$Q$146,2,2))</f>
        <v/>
      </c>
      <c r="X132" s="23" t="n"/>
      <c r="Y132" s="3" t="n">
        <v>-0.2247463811154561</v>
      </c>
      <c r="Z132" s="23" t="n"/>
      <c r="AA132" s="23" t="n"/>
      <c r="AB132" s="23" t="n"/>
      <c r="AC132" s="23" t="n"/>
      <c r="AD132" s="23" t="n"/>
      <c r="AE132" s="23" t="n"/>
    </row>
    <row r="133">
      <c r="B133" s="666" t="n">
        <v>2.85008668766146e-07</v>
      </c>
      <c r="C133" s="667" t="n">
        <v>8.934271356695151e-08</v>
      </c>
      <c r="D133" s="667" t="n">
        <v>8.135237401399707e-07</v>
      </c>
      <c r="E133" s="667" t="n">
        <v>5.080539344026722e-08</v>
      </c>
      <c r="F133" s="667" t="n">
        <v>-7.070308378851466e-08</v>
      </c>
      <c r="G133" s="667" t="n">
        <v>-3.222760166054935e-08</v>
      </c>
      <c r="H133" s="667" t="n">
        <v>1.017295756637385e-08</v>
      </c>
      <c r="I133" s="667" t="n">
        <v>-8.962119679839887e-08</v>
      </c>
      <c r="J133" s="668" t="n">
        <v>3.339100289317069e-08</v>
      </c>
      <c r="K133" s="668" t="n">
        <v>-5.710059074630962e-08</v>
      </c>
      <c r="L133" s="667" t="n">
        <v>-9.339123197326214e-10</v>
      </c>
      <c r="M133" s="667" t="n">
        <v>-5.69431537015965e-08</v>
      </c>
      <c r="N133" s="667" t="n">
        <v>2.637781049416772e-08</v>
      </c>
      <c r="O133" s="667" t="n">
        <v>-1.009423301743028e-07</v>
      </c>
      <c r="P133" s="668" t="n">
        <v>0</v>
      </c>
      <c r="Q133" s="669" t="n">
        <v>0</v>
      </c>
      <c r="R133" s="666" t="n">
        <v>1</v>
      </c>
      <c r="S133" s="667" t="n">
        <v>-1.331720587962013e-16</v>
      </c>
      <c r="T133" s="568" t="n">
        <v>4.258551776764224e-05</v>
      </c>
      <c r="U133" s="571" t="n"/>
      <c r="V133" s="93" t="n">
        <v>0.0001101004956470144</v>
      </c>
      <c r="W133" s="90">
        <f>$AB$131*SQRT(INDEX($B$131:$Q$146,3,3))</f>
        <v/>
      </c>
      <c r="X133" s="23" t="n"/>
      <c r="Y133" s="3" t="n">
        <v>1.016760069398723</v>
      </c>
      <c r="Z133" s="23" t="n"/>
      <c r="AA133" s="260" t="inlineStr">
        <is>
          <t>ATV</t>
        </is>
      </c>
      <c r="AB133" s="23" t="n"/>
      <c r="AC133" s="23" t="n"/>
      <c r="AD133" s="23" t="n"/>
      <c r="AE133" s="23" t="n"/>
    </row>
    <row r="134">
      <c r="B134" s="670" t="n">
        <v>3.607010032598815e-07</v>
      </c>
      <c r="C134" s="670" t="n">
        <v>-1.671010311993289e-08</v>
      </c>
      <c r="D134" s="670" t="n">
        <v>5.080539344026719e-08</v>
      </c>
      <c r="E134" s="670" t="n">
        <v>5.594829535922687e-07</v>
      </c>
      <c r="F134" s="670" t="n">
        <v>-2.597888115732361e-07</v>
      </c>
      <c r="G134" s="670" t="n">
        <v>3.214208326229933e-07</v>
      </c>
      <c r="H134" s="670" t="n">
        <v>-1.892459826402093e-07</v>
      </c>
      <c r="I134" s="670" t="n">
        <v>1.213668474100007e-07</v>
      </c>
      <c r="J134" s="670" t="n">
        <v>2.542629130516734e-09</v>
      </c>
      <c r="K134" s="670" t="n">
        <v>-4.348046264611416e-09</v>
      </c>
      <c r="L134" s="670" t="n">
        <v>-1.089721172122373e-07</v>
      </c>
      <c r="M134" s="670" t="n">
        <v>-4.412814539386415e-08</v>
      </c>
      <c r="N134" s="670" t="n">
        <v>2.515551118316996e-08</v>
      </c>
      <c r="O134" s="670" t="n">
        <v>-1.600377103071107e-07</v>
      </c>
      <c r="P134" s="670" t="n">
        <v>0</v>
      </c>
      <c r="Q134" s="670" t="n">
        <v>0</v>
      </c>
      <c r="R134" s="67" t="n">
        <v>2.568875342100192e-16</v>
      </c>
      <c r="S134" s="25" t="n">
        <v>1</v>
      </c>
      <c r="T134" s="45" t="n">
        <v>0.0002555131066058532</v>
      </c>
      <c r="V134" s="93" t="n">
        <v>0.0003563166253621572</v>
      </c>
      <c r="W134" s="90">
        <f>$AB$131*SQRT(INDEX($B$131:$Q$146,4,4))</f>
        <v/>
      </c>
      <c r="X134" s="23" t="n"/>
      <c r="Y134" s="3" t="n">
        <v>-0.2834522290618536</v>
      </c>
      <c r="Z134" s="23" t="n"/>
      <c r="AA134" s="2">
        <f t="array" ref="AA134:AA149">MMULT(_xlfn.ANCHORARRAY(U92),_xlfn.ANCHORARRAY(Y119))</f>
        <v/>
      </c>
      <c r="AB134" s="23" t="n"/>
      <c r="AC134" s="23" t="n"/>
      <c r="AD134" s="23" t="n"/>
      <c r="AE134" s="23" t="n"/>
    </row>
    <row r="135">
      <c r="B135" s="670" t="n">
        <v>-1.961353435105053e-07</v>
      </c>
      <c r="C135" s="670" t="n">
        <v>1.771332135659061e-08</v>
      </c>
      <c r="D135" s="670" t="n">
        <v>-7.070308378851467e-08</v>
      </c>
      <c r="E135" s="670" t="n">
        <v>-2.597888115732361e-07</v>
      </c>
      <c r="F135" s="670" t="n">
        <v>4.962408653961355e-07</v>
      </c>
      <c r="G135" s="670" t="n">
        <v>-1.258098664378e-07</v>
      </c>
      <c r="H135" s="670" t="n">
        <v>1.829993742969955e-07</v>
      </c>
      <c r="I135" s="670" t="n">
        <v>3.120008541293656e-09</v>
      </c>
      <c r="J135" s="670" t="n">
        <v>-2.464993529615401e-08</v>
      </c>
      <c r="K135" s="670" t="n">
        <v>4.215284793247634e-08</v>
      </c>
      <c r="L135" s="670" t="n">
        <v>1.13965690798098e-07</v>
      </c>
      <c r="M135" s="670" t="n">
        <v>6.181248109110056e-08</v>
      </c>
      <c r="N135" s="670" t="n">
        <v>2.520048870824818e-08</v>
      </c>
      <c r="O135" s="670" t="n">
        <v>1.265048000197084e-07</v>
      </c>
      <c r="P135" s="670" t="n">
        <v>0</v>
      </c>
      <c r="Q135" s="670" t="n">
        <v>0</v>
      </c>
      <c r="R135" s="67" t="n">
        <v>0.9999999999999998</v>
      </c>
      <c r="S135" s="25" t="n">
        <v>-1.259648706895356e-16</v>
      </c>
      <c r="T135" s="45" t="n">
        <v>-0.0002570903480046546</v>
      </c>
      <c r="V135" s="93" t="n">
        <v>0.0006426515764777245</v>
      </c>
      <c r="W135" s="90">
        <f>$AB$131*SQRT(INDEX($B$131:$Q$146,5,5))</f>
        <v/>
      </c>
      <c r="X135" s="23" t="n"/>
      <c r="Y135" s="3" t="n">
        <v>0.4501520773251297</v>
      </c>
      <c r="Z135" s="23" t="n"/>
      <c r="AA135" s="3" t="n">
        <v>9.094947017729282e-13</v>
      </c>
      <c r="AB135" s="23" t="n"/>
      <c r="AC135" s="23" t="n"/>
      <c r="AD135" s="23" t="n"/>
      <c r="AE135" s="23" t="n"/>
    </row>
    <row r="136">
      <c r="B136" s="67" t="n">
        <v>1.76222016425345e-07</v>
      </c>
      <c r="C136" s="25" t="n">
        <v>2.724900997900589e-08</v>
      </c>
      <c r="D136" s="25" t="n">
        <v>-3.222760166054936e-08</v>
      </c>
      <c r="E136" s="25" t="n">
        <v>3.214208326229932e-07</v>
      </c>
      <c r="F136" s="25" t="n">
        <v>-1.258098664378e-07</v>
      </c>
      <c r="G136" s="25" t="n">
        <v>5.697282770401195e-07</v>
      </c>
      <c r="H136" s="25" t="n">
        <v>-2.023316717206646e-07</v>
      </c>
      <c r="I136" s="25" t="n">
        <v>2.500316915570734e-07</v>
      </c>
      <c r="J136" s="25" t="n">
        <v>-4.585861060440282e-08</v>
      </c>
      <c r="K136" s="25" t="n">
        <v>7.842093766078353e-08</v>
      </c>
      <c r="L136" s="25" t="n">
        <v>-1.100298403861533e-07</v>
      </c>
      <c r="M136" s="25" t="n">
        <v>4.758419744260814e-08</v>
      </c>
      <c r="N136" s="25" t="n">
        <v>1.594853838921965e-09</v>
      </c>
      <c r="O136" s="25" t="n">
        <v>-4.484520917072531e-08</v>
      </c>
      <c r="P136" s="25" t="n">
        <v>0</v>
      </c>
      <c r="Q136" s="45" t="n">
        <v>0</v>
      </c>
      <c r="R136" s="67" t="n">
        <v>1.484081195295066e-16</v>
      </c>
      <c r="S136" s="25" t="n">
        <v>1.000000000000001</v>
      </c>
      <c r="T136" s="45" t="n">
        <v>0.0001924234506537907</v>
      </c>
      <c r="V136" s="93" t="n">
        <v>-0.0003125315299515454</v>
      </c>
      <c r="W136" s="90">
        <f>$AB$131*SQRT(INDEX($B$131:$Q$146,6,6))</f>
        <v/>
      </c>
      <c r="X136" s="23" t="n"/>
      <c r="Y136" s="3" t="n">
        <v>-0.138660450507863</v>
      </c>
      <c r="Z136" s="23" t="n"/>
      <c r="AA136" s="3" t="n">
        <v>5.506706202140776e-13</v>
      </c>
      <c r="AB136" s="23" t="n"/>
      <c r="AC136" s="23" t="n"/>
      <c r="AD136" s="23" t="n"/>
      <c r="AE136" s="23" t="n"/>
    </row>
    <row r="137">
      <c r="B137" s="67" t="n">
        <v>-1.238526371828949e-07</v>
      </c>
      <c r="C137" s="25" t="n">
        <v>3.60493591171093e-09</v>
      </c>
      <c r="D137" s="25" t="n">
        <v>1.017295756637388e-08</v>
      </c>
      <c r="E137" s="25" t="n">
        <v>-1.892459826402093e-07</v>
      </c>
      <c r="F137" s="25" t="n">
        <v>1.829993742969955e-07</v>
      </c>
      <c r="G137" s="25" t="n">
        <v>-2.023316717206647e-07</v>
      </c>
      <c r="H137" s="25" t="n">
        <v>3.015598245226523e-07</v>
      </c>
      <c r="I137" s="25" t="n">
        <v>-6.863914215820166e-08</v>
      </c>
      <c r="J137" s="25" t="n">
        <v>-1.312915849558463e-08</v>
      </c>
      <c r="K137" s="25" t="n">
        <v>2.245163790073344e-08</v>
      </c>
      <c r="L137" s="25" t="n">
        <v>1.313806508470926e-07</v>
      </c>
      <c r="M137" s="25" t="n">
        <v>2.004812479447842e-08</v>
      </c>
      <c r="N137" s="25" t="n">
        <v>4.101827891075864e-08</v>
      </c>
      <c r="O137" s="25" t="n">
        <v>8.513881732020057e-08</v>
      </c>
      <c r="P137" s="25" t="n">
        <v>0</v>
      </c>
      <c r="Q137" s="45" t="n">
        <v>0</v>
      </c>
      <c r="R137" s="67" t="n">
        <v>1</v>
      </c>
      <c r="S137" s="25" t="n">
        <v>-4.311982147327282e-16</v>
      </c>
      <c r="T137" s="45" t="n">
        <v>-0.0003438386249387406</v>
      </c>
      <c r="V137" s="93" t="n">
        <v>4.63066656398685e-05</v>
      </c>
      <c r="W137" s="90">
        <f>$AB$131*SQRT(INDEX($B$131:$Q$146,7,7))</f>
        <v/>
      </c>
      <c r="X137" s="23" t="n"/>
      <c r="Y137" s="3" t="n">
        <v>-0.5983393409097904</v>
      </c>
      <c r="Z137" s="23" t="n"/>
      <c r="AA137" s="3" t="n">
        <v>8.526512829121202e-13</v>
      </c>
      <c r="AB137" s="23" t="n"/>
      <c r="AC137" s="23" t="n"/>
      <c r="AD137" s="23" t="n"/>
      <c r="AE137" s="23" t="n"/>
    </row>
    <row r="138">
      <c r="B138" s="67" t="n">
        <v>1.558035953702594e-08</v>
      </c>
      <c r="C138" s="25" t="n">
        <v>7.565180736960998e-08</v>
      </c>
      <c r="D138" s="25" t="n">
        <v>-8.962119679839883e-08</v>
      </c>
      <c r="E138" s="25" t="n">
        <v>1.213668474100006e-07</v>
      </c>
      <c r="F138" s="25" t="n">
        <v>3.120008541293645e-09</v>
      </c>
      <c r="G138" s="25" t="n">
        <v>2.500316915570733e-07</v>
      </c>
      <c r="H138" s="25" t="n">
        <v>-6.863914215820162e-08</v>
      </c>
      <c r="I138" s="25" t="n">
        <v>3.960080255044111e-07</v>
      </c>
      <c r="J138" s="25" t="n">
        <v>-1.127592833574836e-07</v>
      </c>
      <c r="K138" s="25" t="n">
        <v>1.928250466882411e-07</v>
      </c>
      <c r="L138" s="25" t="n">
        <v>-7.420004949830948e-08</v>
      </c>
      <c r="M138" s="25" t="n">
        <v>1.47290035340504e-07</v>
      </c>
      <c r="N138" s="25" t="n">
        <v>5.348734489340101e-09</v>
      </c>
      <c r="O138" s="25" t="n">
        <v>8.172681129849808e-08</v>
      </c>
      <c r="P138" s="25" t="n">
        <v>0</v>
      </c>
      <c r="Q138" s="45" t="n">
        <v>0</v>
      </c>
      <c r="R138" s="67" t="n">
        <v>-6.283262170841639e-17</v>
      </c>
      <c r="S138" s="25" t="n">
        <v>1</v>
      </c>
      <c r="T138" s="45" t="n">
        <v>-2.839034517842801e-05</v>
      </c>
      <c r="U138" s="671" t="n"/>
      <c r="V138" s="93" t="n">
        <v>-0.00105285766476887</v>
      </c>
      <c r="W138" s="90">
        <f>$AB$131*SQRT(INDEX($B$131:$Q$146,8,8))</f>
        <v/>
      </c>
      <c r="X138" s="23" t="n"/>
      <c r="Y138" s="672" t="n">
        <v>1.627331602170647</v>
      </c>
      <c r="Z138" s="532" t="n"/>
      <c r="AA138" s="3" t="n">
        <v>-2.557953848736361e-13</v>
      </c>
      <c r="AB138" s="23" t="n"/>
      <c r="AC138" s="23" t="n"/>
      <c r="AD138" s="23" t="n"/>
      <c r="AE138" s="23" t="n"/>
    </row>
    <row r="139" ht="17.1" customHeight="1">
      <c r="B139" s="657" t="n">
        <v>3.749158273005076e-08</v>
      </c>
      <c r="C139" s="590" t="n">
        <v>-5.934523408800774e-08</v>
      </c>
      <c r="D139" s="590" t="n">
        <v>3.339100289317072e-08</v>
      </c>
      <c r="E139" s="590" t="n">
        <v>2.542629130516801e-09</v>
      </c>
      <c r="F139" s="590" t="n">
        <v>-2.464993529615397e-08</v>
      </c>
      <c r="G139" s="590" t="n">
        <v>-4.585861060440284e-08</v>
      </c>
      <c r="H139" s="590" t="n">
        <v>-1.312915849558463e-08</v>
      </c>
      <c r="I139" s="590" t="n">
        <v>-1.127592833574836e-07</v>
      </c>
      <c r="J139" s="590" t="n">
        <v>1.32238317609745e-07</v>
      </c>
      <c r="K139" s="590" t="n">
        <v>-2.261353478651852e-07</v>
      </c>
      <c r="L139" s="590" t="n">
        <v>3.654554129359286e-08</v>
      </c>
      <c r="M139" s="590" t="n">
        <v>-1.029920122842324e-07</v>
      </c>
      <c r="N139" s="590" t="n">
        <v>-3.321772519782076e-09</v>
      </c>
      <c r="O139" s="590" t="n">
        <v>-8.645167487876666e-08</v>
      </c>
      <c r="P139" s="590" t="n">
        <v>0</v>
      </c>
      <c r="Q139" s="590" t="n">
        <v>0</v>
      </c>
      <c r="R139" s="67" t="n">
        <v>1</v>
      </c>
      <c r="S139" s="25" t="n">
        <v>-1.159925568328092e-15</v>
      </c>
      <c r="T139" s="45" t="n">
        <v>-0.0004542455228548501</v>
      </c>
      <c r="U139" s="673" t="n"/>
      <c r="V139" s="673" t="n">
        <v>2.704922337457368e-05</v>
      </c>
      <c r="W139" s="90">
        <f>$AB$131*SQRT(INDEX($B$131:$Q$146,9,9))</f>
        <v/>
      </c>
      <c r="X139" s="23" t="n"/>
      <c r="Y139" s="674" t="n">
        <v>0.6689386755750475</v>
      </c>
      <c r="Z139" s="674" t="n"/>
      <c r="AA139" s="3" t="n">
        <v>-1.13686837721616e-13</v>
      </c>
      <c r="AB139" s="23" t="n"/>
      <c r="AC139" s="23" t="n"/>
      <c r="AD139" s="23" t="n"/>
      <c r="AE139" s="23" t="n"/>
    </row>
    <row r="140">
      <c r="B140" s="675" t="n">
        <v>-6.411282490523446e-08</v>
      </c>
      <c r="C140" s="676" t="n">
        <v>1.01483861842806e-07</v>
      </c>
      <c r="D140" s="676" t="n">
        <v>-5.710059074630959e-08</v>
      </c>
      <c r="E140" s="676" t="n">
        <v>-4.348046264611452e-09</v>
      </c>
      <c r="F140" s="676" t="n">
        <v>4.215284793247629e-08</v>
      </c>
      <c r="G140" s="676" t="n">
        <v>7.842093766078347e-08</v>
      </c>
      <c r="H140" s="676" t="n">
        <v>2.245163790073346e-08</v>
      </c>
      <c r="I140" s="676" t="n">
        <v>1.928250466882412e-07</v>
      </c>
      <c r="J140" s="676" t="n">
        <v>-2.261353478651852e-07</v>
      </c>
      <c r="K140" s="676" t="n">
        <v>3.867048256392811e-07</v>
      </c>
      <c r="L140" s="676" t="n">
        <v>-6.249503807010838e-08</v>
      </c>
      <c r="M140" s="676" t="n">
        <v>1.761224352079476e-07</v>
      </c>
      <c r="N140" s="676" t="n">
        <v>5.680427563414278e-09</v>
      </c>
      <c r="O140" s="676" t="n">
        <v>1.478374795264115e-07</v>
      </c>
      <c r="P140" s="676" t="n">
        <v>0</v>
      </c>
      <c r="Q140" s="676" t="n">
        <v>0</v>
      </c>
      <c r="R140" s="677" t="n">
        <v>-1.790596086607147e-16</v>
      </c>
      <c r="S140" s="678" t="n">
        <v>1</v>
      </c>
      <c r="T140" s="679" t="n">
        <v>-0.0002649765549986623</v>
      </c>
      <c r="U140" s="617" t="n"/>
      <c r="V140" s="680" t="n">
        <v>-4.625577251628243e-05</v>
      </c>
      <c r="W140" s="90">
        <f>$AB$131*SQRT(INDEX($B$131:$Q$146,10,10))</f>
        <v/>
      </c>
      <c r="X140" s="23" t="n"/>
      <c r="Y140" s="681" t="n">
        <v>0.04006305004127952</v>
      </c>
      <c r="Z140" s="682" t="n"/>
      <c r="AA140" s="3" t="n">
        <v>5.684341886080801e-14</v>
      </c>
      <c r="AB140" s="23" t="n"/>
      <c r="AC140" s="23" t="n"/>
      <c r="AD140" s="23" t="n"/>
      <c r="AE140" s="23" t="n"/>
    </row>
    <row r="141" ht="15.95" customHeight="1">
      <c r="B141" s="683" t="n">
        <v>-7.987397993933953e-08</v>
      </c>
      <c r="C141" s="684" t="n">
        <v>-2.496795759575826e-08</v>
      </c>
      <c r="D141" s="684" t="n">
        <v>-9.339123197326208e-10</v>
      </c>
      <c r="E141" s="684" t="n">
        <v>-1.089721172122372e-07</v>
      </c>
      <c r="F141" s="684" t="n">
        <v>1.13965690798098e-07</v>
      </c>
      <c r="G141" s="684" t="n">
        <v>-1.100298403861532e-07</v>
      </c>
      <c r="H141" s="684" t="n">
        <v>1.313806508470926e-07</v>
      </c>
      <c r="I141" s="684" t="n">
        <v>-7.420004949830948e-08</v>
      </c>
      <c r="J141" s="684" t="n">
        <v>3.654554129359279e-08</v>
      </c>
      <c r="K141" s="684" t="n">
        <v>-6.249503807010837e-08</v>
      </c>
      <c r="L141" s="684" t="n">
        <v>2.302909557568875e-07</v>
      </c>
      <c r="M141" s="684" t="n">
        <v>-5.256555873581777e-09</v>
      </c>
      <c r="N141" s="684" t="n">
        <v>9.481670211862309e-08</v>
      </c>
      <c r="O141" s="684" t="n">
        <v>7.28882228527913e-08</v>
      </c>
      <c r="P141" s="684" t="n">
        <v>0</v>
      </c>
      <c r="Q141" s="684" t="n">
        <v>0</v>
      </c>
      <c r="R141" s="685" t="n">
        <v>1</v>
      </c>
      <c r="S141" s="686" t="n">
        <v>-1.625365210827371e-16</v>
      </c>
      <c r="T141" s="687" t="n">
        <v>-0.0001782282780645767</v>
      </c>
      <c r="U141" s="542" t="n"/>
      <c r="V141" s="688" t="n">
        <v>-0.0002901778758861989</v>
      </c>
      <c r="W141" s="90">
        <f>$AB$131*SQRT(INDEX($B$131:$Q$146,11,11))</f>
        <v/>
      </c>
      <c r="X141" s="23" t="n"/>
      <c r="Y141" s="682" t="n">
        <v>0.4814723789381969</v>
      </c>
      <c r="Z141" s="674" t="n"/>
      <c r="AA141" s="3" t="n">
        <v>0</v>
      </c>
      <c r="AB141" s="23" t="n"/>
      <c r="AC141" s="23" t="n"/>
      <c r="AD141" s="23" t="n"/>
      <c r="AE141" s="23" t="n"/>
    </row>
    <row r="142">
      <c r="B142" s="683" t="n">
        <v>-1.012300095698442e-07</v>
      </c>
      <c r="C142" s="684" t="n">
        <v>1.525678939595195e-07</v>
      </c>
      <c r="D142" s="684" t="n">
        <v>-5.694315370159648e-08</v>
      </c>
      <c r="E142" s="684" t="n">
        <v>-4.412814539386423e-08</v>
      </c>
      <c r="F142" s="684" t="n">
        <v>6.181248109110056e-08</v>
      </c>
      <c r="G142" s="684" t="n">
        <v>4.758419744260802e-08</v>
      </c>
      <c r="H142" s="684" t="n">
        <v>2.004812479447849e-08</v>
      </c>
      <c r="I142" s="684" t="n">
        <v>1.47290035340504e-07</v>
      </c>
      <c r="J142" s="684" t="n">
        <v>-1.029920122842324e-07</v>
      </c>
      <c r="K142" s="684" t="n">
        <v>1.761224352079476e-07</v>
      </c>
      <c r="L142" s="684" t="n">
        <v>-5.25655587358179e-09</v>
      </c>
      <c r="M142" s="684" t="n">
        <v>2.865568378083478e-07</v>
      </c>
      <c r="N142" s="684" t="n">
        <v>3.338763384393919e-08</v>
      </c>
      <c r="O142" s="684" t="n">
        <v>2.151352737180276e-07</v>
      </c>
      <c r="P142" s="684" t="n">
        <v>0</v>
      </c>
      <c r="Q142" s="684" t="n">
        <v>0</v>
      </c>
      <c r="R142" s="685" t="n">
        <v>-5.83647937657849e-17</v>
      </c>
      <c r="S142" s="686" t="n">
        <v>1</v>
      </c>
      <c r="T142" s="687" t="n">
        <v>-0.0002097731060406078</v>
      </c>
      <c r="U142" s="542" t="n"/>
      <c r="V142" s="688" t="n">
        <v>-0.0004295952220780405</v>
      </c>
      <c r="W142" s="90">
        <f>$AB$131*SQRT(INDEX($B$131:$Q$146,12,12))</f>
        <v/>
      </c>
      <c r="X142" s="23" t="n"/>
      <c r="Y142" s="682" t="n">
        <v>-0.0284483889149022</v>
      </c>
      <c r="Z142" s="689" t="n"/>
      <c r="AA142" s="3" t="n">
        <v>2.216893335571513e-12</v>
      </c>
      <c r="AB142" s="23" t="n"/>
      <c r="AC142" s="23" t="n"/>
      <c r="AD142" s="23" t="n"/>
      <c r="AE142" s="23" t="n"/>
    </row>
    <row r="143">
      <c r="B143" s="683" t="n">
        <v>7.195685724833543e-08</v>
      </c>
      <c r="C143" s="684" t="n">
        <v>-6.078161512968702e-08</v>
      </c>
      <c r="D143" s="684" t="n">
        <v>2.637781049416756e-08</v>
      </c>
      <c r="E143" s="684" t="n">
        <v>2.515551118316992e-08</v>
      </c>
      <c r="F143" s="684" t="n">
        <v>2.520048870824815e-08</v>
      </c>
      <c r="G143" s="684" t="n">
        <v>1.594853838921982e-09</v>
      </c>
      <c r="H143" s="684" t="n">
        <v>4.101827891075868e-08</v>
      </c>
      <c r="I143" s="684" t="n">
        <v>5.348734489340091e-09</v>
      </c>
      <c r="J143" s="684" t="n">
        <v>-3.321772519781909e-09</v>
      </c>
      <c r="K143" s="684" t="n">
        <v>5.680427563414289e-09</v>
      </c>
      <c r="L143" s="684" t="n">
        <v>9.481670211862297e-08</v>
      </c>
      <c r="M143" s="684" t="n">
        <v>3.338763384393931e-08</v>
      </c>
      <c r="N143" s="684" t="n">
        <v>7.34618429524341e-07</v>
      </c>
      <c r="O143" s="684" t="n">
        <v>7.263471546762284e-08</v>
      </c>
      <c r="P143" s="684" t="n">
        <v>0</v>
      </c>
      <c r="Q143" s="684" t="n">
        <v>0</v>
      </c>
      <c r="R143" s="685" t="n">
        <v>1</v>
      </c>
      <c r="S143" s="686" t="n">
        <v>3.276157744927905e-16</v>
      </c>
      <c r="T143" s="687" t="n">
        <v>5.047172476164993e-05</v>
      </c>
      <c r="U143" s="542" t="n"/>
      <c r="V143" s="688" t="n">
        <v>-0.0001291309393659537</v>
      </c>
      <c r="W143" s="90">
        <f>$AB$131*SQRT(INDEX($B$131:$Q$146,13,13))</f>
        <v/>
      </c>
      <c r="X143" s="23" t="n"/>
      <c r="Y143" s="682" t="n">
        <v>1.399550069383983</v>
      </c>
      <c r="Z143" s="23" t="n"/>
      <c r="AA143" s="3" t="n">
        <v>5.684341886080801e-13</v>
      </c>
      <c r="AB143" s="23" t="n"/>
      <c r="AC143" s="23" t="n"/>
      <c r="AD143" s="23" t="n"/>
      <c r="AE143" s="23" t="n"/>
    </row>
    <row r="144">
      <c r="B144" s="683" t="n">
        <v>-2.643914749023844e-07</v>
      </c>
      <c r="C144" s="684" t="n">
        <v>1.405384117190727e-07</v>
      </c>
      <c r="D144" s="684" t="n">
        <v>-1.009423301743028e-07</v>
      </c>
      <c r="E144" s="684" t="n">
        <v>-1.600377103071107e-07</v>
      </c>
      <c r="F144" s="684" t="n">
        <v>1.265048000197084e-07</v>
      </c>
      <c r="G144" s="684" t="n">
        <v>-4.484520917072537e-08</v>
      </c>
      <c r="H144" s="684" t="n">
        <v>8.51388173202006e-08</v>
      </c>
      <c r="I144" s="684" t="n">
        <v>8.172681129849803e-08</v>
      </c>
      <c r="J144" s="684" t="n">
        <v>-8.645167487876657e-08</v>
      </c>
      <c r="K144" s="684" t="n">
        <v>1.478374795264114e-07</v>
      </c>
      <c r="L144" s="684" t="n">
        <v>7.288822285279127e-08</v>
      </c>
      <c r="M144" s="684" t="n">
        <v>2.151352737180275e-07</v>
      </c>
      <c r="N144" s="684" t="n">
        <v>7.263471546762275e-08</v>
      </c>
      <c r="O144" s="684" t="n">
        <v>4.256955907109029e-07</v>
      </c>
      <c r="P144" s="684" t="n">
        <v>0</v>
      </c>
      <c r="Q144" s="684" t="n">
        <v>0</v>
      </c>
      <c r="R144" s="685" t="n">
        <v>3.142517281670756e-17</v>
      </c>
      <c r="S144" s="686" t="n">
        <v>1</v>
      </c>
      <c r="T144" s="687" t="n">
        <v>-0.0002570903480046547</v>
      </c>
      <c r="U144" s="542" t="n"/>
      <c r="V144" s="688" t="n">
        <v>-0.001387556933546357</v>
      </c>
      <c r="W144" s="90">
        <f>$AB$131*SQRT(INDEX($B$131:$Q$146,14,14))</f>
        <v/>
      </c>
      <c r="X144" s="23" t="n"/>
      <c r="Y144" s="682" t="n">
        <v>-0.5615757850756348</v>
      </c>
      <c r="Z144" s="23" t="n"/>
      <c r="AA144" s="3" t="n">
        <v>-1.506350599811412e-12</v>
      </c>
      <c r="AB144" s="23" t="n"/>
      <c r="AC144" s="23" t="n"/>
      <c r="AD144" s="23" t="n"/>
      <c r="AE144" s="23" t="n"/>
    </row>
    <row r="145">
      <c r="B145" s="683" t="n">
        <v>0</v>
      </c>
      <c r="C145" s="684" t="n">
        <v>0</v>
      </c>
      <c r="D145" s="684" t="n">
        <v>0</v>
      </c>
      <c r="E145" s="684" t="n">
        <v>0</v>
      </c>
      <c r="F145" s="684" t="n">
        <v>0</v>
      </c>
      <c r="G145" s="684" t="n">
        <v>0</v>
      </c>
      <c r="H145" s="684" t="n">
        <v>0</v>
      </c>
      <c r="I145" s="684" t="n">
        <v>0</v>
      </c>
      <c r="J145" s="684" t="n">
        <v>0</v>
      </c>
      <c r="K145" s="684" t="n">
        <v>0</v>
      </c>
      <c r="L145" s="684" t="n">
        <v>0</v>
      </c>
      <c r="M145" s="684" t="n">
        <v>0</v>
      </c>
      <c r="N145" s="684" t="n">
        <v>0</v>
      </c>
      <c r="O145" s="684" t="n">
        <v>0</v>
      </c>
      <c r="P145" s="684" t="n">
        <v>0</v>
      </c>
      <c r="Q145" s="684" t="n">
        <v>0</v>
      </c>
      <c r="R145" s="685" t="n">
        <v>1</v>
      </c>
      <c r="S145" s="686" t="n">
        <v>0</v>
      </c>
      <c r="T145" s="687" t="n">
        <v>0</v>
      </c>
      <c r="U145" s="542" t="n"/>
      <c r="V145" s="688" t="n">
        <v>0</v>
      </c>
      <c r="W145" s="90">
        <f>$AB$131*SQRT(INDEX($B$131:$Q$146,15,15))</f>
        <v/>
      </c>
      <c r="X145" s="23" t="n"/>
      <c r="Y145" s="682" t="n">
        <v>-0.1612235415534093</v>
      </c>
      <c r="Z145" s="23" t="n"/>
      <c r="AA145" s="3" t="n">
        <v>-2.174260771425907e-12</v>
      </c>
      <c r="AB145" s="23" t="n"/>
      <c r="AC145" s="23" t="n"/>
      <c r="AD145" s="23" t="n"/>
      <c r="AE145" s="23" t="n"/>
    </row>
    <row r="146">
      <c r="B146" s="683" t="n">
        <v>0</v>
      </c>
      <c r="C146" s="684" t="n">
        <v>0</v>
      </c>
      <c r="D146" s="684" t="n">
        <v>0</v>
      </c>
      <c r="E146" s="684" t="n">
        <v>0</v>
      </c>
      <c r="F146" s="684" t="n">
        <v>0</v>
      </c>
      <c r="G146" s="684" t="n">
        <v>0</v>
      </c>
      <c r="H146" s="684" t="n">
        <v>0</v>
      </c>
      <c r="I146" s="684" t="n">
        <v>0</v>
      </c>
      <c r="J146" s="684" t="n">
        <v>0</v>
      </c>
      <c r="K146" s="684" t="n">
        <v>0</v>
      </c>
      <c r="L146" s="684" t="n">
        <v>0</v>
      </c>
      <c r="M146" s="684" t="n">
        <v>0</v>
      </c>
      <c r="N146" s="684" t="n">
        <v>0</v>
      </c>
      <c r="O146" s="684" t="n">
        <v>0</v>
      </c>
      <c r="P146" s="684" t="n">
        <v>0</v>
      </c>
      <c r="Q146" s="684" t="n">
        <v>0</v>
      </c>
      <c r="R146" s="685" t="n">
        <v>0</v>
      </c>
      <c r="S146" s="686" t="n">
        <v>1</v>
      </c>
      <c r="T146" s="687" t="n">
        <v>0</v>
      </c>
      <c r="U146" s="542" t="n"/>
      <c r="V146" s="688" t="n">
        <v>0</v>
      </c>
      <c r="W146" s="91">
        <f>$AB$131*SQRT(INDEX($B$131:$Q$146,16,16))</f>
        <v/>
      </c>
      <c r="X146" s="23" t="n"/>
      <c r="Y146" s="682" t="n">
        <v>1.03215729491578</v>
      </c>
      <c r="Z146" s="23" t="n"/>
      <c r="AA146" s="3" t="n">
        <v>2.273736754432321e-13</v>
      </c>
      <c r="AB146" s="23" t="n"/>
      <c r="AC146" s="23" t="n"/>
      <c r="AD146" s="23" t="n"/>
      <c r="AE146" s="23" t="n"/>
    </row>
    <row r="147">
      <c r="A147" s="21" t="inlineStr">
        <is>
          <t>S(-1)</t>
        </is>
      </c>
      <c r="B147" s="683" t="n">
        <v>1</v>
      </c>
      <c r="C147" s="684" t="n">
        <v>-1.850371707708594e-16</v>
      </c>
      <c r="D147" s="684" t="n">
        <v>1</v>
      </c>
      <c r="E147" s="684" t="n">
        <v>2.467162276944792e-16</v>
      </c>
      <c r="F147" s="684" t="n">
        <v>0.9999999999999999</v>
      </c>
      <c r="G147" s="684" t="n">
        <v>1.233581138472396e-16</v>
      </c>
      <c r="H147" s="684" t="n">
        <v>1</v>
      </c>
      <c r="I147" s="684" t="n">
        <v>0</v>
      </c>
      <c r="J147" s="684" t="n">
        <v>1</v>
      </c>
      <c r="K147" s="684" t="n">
        <v>-1.233581138472396e-16</v>
      </c>
      <c r="L147" s="684" t="n">
        <v>1</v>
      </c>
      <c r="M147" s="684" t="n">
        <v>0</v>
      </c>
      <c r="N147" s="684" t="n">
        <v>1</v>
      </c>
      <c r="O147" s="684" t="n">
        <v>1.233581138472396e-16</v>
      </c>
      <c r="P147" s="684" t="n">
        <v>1</v>
      </c>
      <c r="Q147" s="684" t="n">
        <v>0</v>
      </c>
      <c r="R147" s="685" t="n">
        <v>1.396983861923218e-09</v>
      </c>
      <c r="S147" s="686" t="n">
        <v>8.367351256310943e-10</v>
      </c>
      <c r="T147" s="687" t="n">
        <v>-1.12234708505852e-13</v>
      </c>
      <c r="U147" s="542" t="n"/>
      <c r="V147" s="688" t="n"/>
      <c r="W147" s="23" t="n"/>
      <c r="X147" s="23" t="n"/>
      <c r="Y147" s="682" t="n">
        <v>0.4683455653382198</v>
      </c>
      <c r="Z147" s="23" t="n"/>
      <c r="AA147" s="3" t="n">
        <v>-1.353139822413141e-12</v>
      </c>
      <c r="AB147" s="23" t="n"/>
      <c r="AC147" s="23" t="n"/>
      <c r="AD147" s="23" t="n"/>
      <c r="AE147" s="23" t="n"/>
    </row>
    <row r="148">
      <c r="A148" s="601" t="n"/>
      <c r="B148" s="683" t="n">
        <v>-9.135555037380483e-17</v>
      </c>
      <c r="C148" s="684" t="n">
        <v>1</v>
      </c>
      <c r="D148" s="684" t="n">
        <v>5.375062429337199e-17</v>
      </c>
      <c r="E148" s="684" t="n">
        <v>0.9999999999999997</v>
      </c>
      <c r="F148" s="684" t="n">
        <v>3.481307434095212e-16</v>
      </c>
      <c r="G148" s="684" t="n">
        <v>0.9999999999999999</v>
      </c>
      <c r="H148" s="684" t="n">
        <v>2.854134440305102e-16</v>
      </c>
      <c r="I148" s="684" t="n">
        <v>1</v>
      </c>
      <c r="J148" s="684" t="n">
        <v>-8.34695109877398e-17</v>
      </c>
      <c r="K148" s="684" t="n">
        <v>1</v>
      </c>
      <c r="L148" s="684" t="n">
        <v>5.237637703596983e-17</v>
      </c>
      <c r="M148" s="684" t="n">
        <v>1.000000000000001</v>
      </c>
      <c r="N148" s="684" t="n">
        <v>1.053055340345083e-16</v>
      </c>
      <c r="O148" s="684" t="n">
        <v>1.000000000000001</v>
      </c>
      <c r="P148" s="684" t="n">
        <v>0</v>
      </c>
      <c r="Q148" s="684" t="n">
        <v>1</v>
      </c>
      <c r="R148" s="685" t="n">
        <v>1.164153218269348e-09</v>
      </c>
      <c r="S148" s="686" t="n">
        <v>1.746229827404024e-09</v>
      </c>
      <c r="T148" s="687" t="n">
        <v>-4.803370101452909e-13</v>
      </c>
      <c r="U148" s="542" t="n"/>
      <c r="V148" s="688" t="n"/>
      <c r="W148" s="23" t="n"/>
      <c r="X148" s="23" t="n"/>
      <c r="Y148" s="682" t="n">
        <v>0.5976518924868232</v>
      </c>
      <c r="Z148" s="23" t="n"/>
      <c r="AA148" s="3" t="n">
        <v>-5.684341886080801e-14</v>
      </c>
      <c r="AB148" s="23" t="n"/>
      <c r="AE148" s="23" t="n"/>
    </row>
    <row r="149">
      <c r="A149" s="606" t="n"/>
      <c r="B149" s="683" t="n">
        <v>0.0002397406926178376</v>
      </c>
      <c r="C149" s="684" t="n">
        <v>-0.0001151386221125141</v>
      </c>
      <c r="D149" s="684" t="n">
        <v>4.258551776764224e-05</v>
      </c>
      <c r="E149" s="684" t="n">
        <v>0.0002555131066058532</v>
      </c>
      <c r="F149" s="684" t="n">
        <v>-0.0002570903480046547</v>
      </c>
      <c r="G149" s="684" t="n">
        <v>0.0001924234506537908</v>
      </c>
      <c r="H149" s="684" t="n">
        <v>-0.0003438386249387407</v>
      </c>
      <c r="I149" s="684" t="n">
        <v>-2.839034517842803e-05</v>
      </c>
      <c r="J149" s="684" t="n">
        <v>-0.0004542455228548501</v>
      </c>
      <c r="K149" s="684" t="n">
        <v>-0.0002649765549986624</v>
      </c>
      <c r="L149" s="684" t="n">
        <v>-0.0001782282780645767</v>
      </c>
      <c r="M149" s="684" t="n">
        <v>-0.0002097731060406078</v>
      </c>
      <c r="N149" s="684" t="n">
        <v>5.047172476164994e-05</v>
      </c>
      <c r="O149" s="684" t="n">
        <v>-0.0002570903480046549</v>
      </c>
      <c r="P149" s="684" t="n">
        <v>0</v>
      </c>
      <c r="Q149" s="684" t="n">
        <v>0</v>
      </c>
      <c r="R149" s="685" t="n">
        <v>6.13274317234431e-14</v>
      </c>
      <c r="S149" s="686" t="n">
        <v>-6.58260008169292e-13</v>
      </c>
      <c r="T149" s="687" t="n">
        <v>8.376774861520242e-17</v>
      </c>
      <c r="U149" s="542" t="n"/>
      <c r="V149" s="688" t="n"/>
      <c r="W149" s="23" t="n"/>
      <c r="X149" s="23" t="n"/>
      <c r="Y149" s="682" t="n">
        <v>0.08356834371649846</v>
      </c>
      <c r="Z149" s="23" t="n"/>
      <c r="AA149" s="4" t="n">
        <v>1.321609488513786e-12</v>
      </c>
      <c r="AB149" s="23" t="n"/>
      <c r="AE149" s="23" t="n"/>
    </row>
    <row r="150">
      <c r="B150" s="683" t="n"/>
      <c r="C150" s="684" t="n"/>
      <c r="D150" s="684" t="n"/>
      <c r="E150" s="684" t="n"/>
      <c r="F150" s="684" t="n"/>
      <c r="G150" s="684" t="n"/>
      <c r="H150" s="684" t="n"/>
      <c r="I150" s="684" t="n"/>
      <c r="J150" s="684" t="n"/>
      <c r="K150" s="684" t="n"/>
      <c r="L150" s="684" t="n"/>
      <c r="M150" s="684" t="n"/>
      <c r="N150" s="684" t="n"/>
      <c r="O150" s="684" t="n"/>
      <c r="P150" s="684" t="n"/>
      <c r="Q150" s="684" t="n"/>
      <c r="R150" s="685" t="n"/>
      <c r="S150" s="686" t="n"/>
      <c r="T150" s="687" t="n"/>
      <c r="U150" s="542" t="n"/>
      <c r="V150" s="688" t="n"/>
      <c r="W150" s="23" t="n"/>
      <c r="X150" s="23" t="n"/>
      <c r="Y150" s="682" t="n">
        <v>-0.4752953312578863</v>
      </c>
      <c r="Z150" s="23" t="n"/>
      <c r="AB150" s="23" t="n"/>
      <c r="AE150" s="23" t="n"/>
    </row>
    <row r="151">
      <c r="B151" s="683" t="n"/>
      <c r="C151" s="684" t="n"/>
      <c r="D151" s="684" t="n"/>
      <c r="E151" s="684" t="n"/>
      <c r="F151" s="684" t="n"/>
      <c r="G151" s="684" t="n"/>
      <c r="H151" s="684" t="n"/>
      <c r="I151" s="684" t="n"/>
      <c r="J151" s="684" t="n"/>
      <c r="K151" s="684" t="n"/>
      <c r="L151" s="684" t="n"/>
      <c r="M151" s="684" t="n"/>
      <c r="N151" s="684" t="n"/>
      <c r="O151" s="684" t="n"/>
      <c r="P151" s="684" t="n"/>
      <c r="Q151" s="684" t="n"/>
      <c r="R151" s="685" t="n"/>
      <c r="S151" s="686" t="n"/>
      <c r="T151" s="687" t="n"/>
      <c r="U151" s="542" t="n"/>
      <c r="V151" s="688" t="n"/>
      <c r="W151" s="23" t="n"/>
      <c r="X151" s="23" t="n"/>
      <c r="Y151" s="682" t="n"/>
      <c r="Z151" s="23" t="n"/>
      <c r="AA151" s="23" t="n"/>
      <c r="AB151" s="23" t="n"/>
      <c r="AE151" s="23" t="n"/>
    </row>
    <row r="152">
      <c r="B152" s="683" t="n"/>
      <c r="C152" s="684" t="n"/>
      <c r="D152" s="684" t="n"/>
      <c r="E152" s="684" t="n"/>
      <c r="F152" s="684" t="n"/>
      <c r="G152" s="684" t="n"/>
      <c r="H152" s="684" t="n"/>
      <c r="I152" s="684" t="n"/>
      <c r="J152" s="684" t="n"/>
      <c r="K152" s="684" t="n"/>
      <c r="L152" s="684" t="n"/>
      <c r="M152" s="684" t="n"/>
      <c r="N152" s="684" t="n"/>
      <c r="O152" s="684" t="n"/>
      <c r="P152" s="684" t="n"/>
      <c r="Q152" s="684" t="n"/>
      <c r="R152" s="685" t="n"/>
      <c r="S152" s="686" t="n"/>
      <c r="T152" s="687" t="n"/>
      <c r="U152" s="542" t="n"/>
      <c r="V152" s="688" t="n"/>
      <c r="W152" s="23" t="n"/>
      <c r="X152" s="23" t="n"/>
      <c r="Y152" s="682" t="n"/>
      <c r="Z152" s="23" t="n"/>
      <c r="AA152" s="23" t="n"/>
      <c r="AB152" s="23" t="n"/>
      <c r="AC152" s="23" t="n"/>
      <c r="AD152" s="23" t="n"/>
      <c r="AE152" s="23" t="n"/>
    </row>
    <row r="153">
      <c r="B153" s="683" t="n"/>
      <c r="C153" s="684" t="n"/>
      <c r="D153" s="684" t="n"/>
      <c r="E153" s="684" t="n"/>
      <c r="F153" s="684" t="n"/>
      <c r="G153" s="684" t="n"/>
      <c r="H153" s="684" t="n"/>
      <c r="I153" s="684" t="n"/>
      <c r="J153" s="684" t="n"/>
      <c r="K153" s="684" t="n"/>
      <c r="L153" s="684" t="n"/>
      <c r="M153" s="684" t="n"/>
      <c r="N153" s="684" t="n"/>
      <c r="O153" s="684" t="n"/>
      <c r="P153" s="684" t="n"/>
      <c r="Q153" s="684" t="n"/>
      <c r="R153" s="685" t="n"/>
      <c r="S153" s="686" t="n"/>
      <c r="T153" s="687" t="n"/>
      <c r="U153" s="542" t="n"/>
      <c r="V153" s="688" t="n"/>
      <c r="Y153" s="682" t="n"/>
    </row>
    <row r="154">
      <c r="B154" s="683" t="inlineStr">
        <is>
          <t>I</t>
        </is>
      </c>
      <c r="C154" s="506" t="n"/>
      <c r="D154" s="506" t="n"/>
      <c r="E154" s="506" t="n"/>
      <c r="F154" s="506" t="n"/>
      <c r="G154" s="506" t="n"/>
      <c r="H154" s="506" t="n"/>
      <c r="I154" s="506" t="n"/>
      <c r="J154" s="506" t="n"/>
      <c r="K154" s="506" t="n"/>
      <c r="L154" s="506" t="n"/>
      <c r="M154" s="506" t="n"/>
      <c r="N154" s="506" t="n"/>
      <c r="O154" s="506" t="n"/>
      <c r="P154" s="506" t="n"/>
      <c r="Q154" s="506" t="n"/>
      <c r="R154" s="506" t="n"/>
      <c r="S154" s="506" t="n"/>
      <c r="T154" s="506" t="n"/>
      <c r="U154" s="506" t="n"/>
      <c r="V154" s="506" t="n"/>
      <c r="W154" s="506" t="n"/>
      <c r="X154" s="506" t="n"/>
      <c r="Y154" s="506" t="n"/>
      <c r="Z154" s="506" t="n"/>
      <c r="AA154" s="506" t="n"/>
      <c r="AB154" s="506" t="n"/>
      <c r="AC154" s="506" t="n"/>
      <c r="AD154" s="506" t="n"/>
      <c r="AE154" s="506" t="n"/>
      <c r="AF154" s="506" t="n"/>
      <c r="AG154" s="507" t="n"/>
      <c r="AJ154" s="690" t="inlineStr">
        <is>
          <t>(ATA)-1AT</t>
        </is>
      </c>
      <c r="AK154" s="596" t="n"/>
      <c r="AL154" s="596" t="n"/>
      <c r="AM154" s="596" t="n"/>
      <c r="AN154" s="596" t="n"/>
      <c r="AO154" s="596" t="n"/>
      <c r="AP154" s="596" t="n"/>
      <c r="AQ154" s="596" t="n"/>
      <c r="AR154" s="596" t="n"/>
      <c r="AS154" s="596" t="n"/>
      <c r="AT154" s="596" t="n"/>
      <c r="AU154" s="596" t="n"/>
      <c r="AV154" s="596" t="n"/>
      <c r="AW154" s="596" t="n"/>
      <c r="AX154" s="596" t="n"/>
      <c r="AY154" s="596" t="n"/>
      <c r="AZ154" s="596" t="n"/>
      <c r="BA154" s="596" t="n"/>
      <c r="BB154" s="596" t="n"/>
      <c r="BC154" s="596" t="n"/>
      <c r="BD154" s="596" t="n"/>
      <c r="BE154" s="596" t="n"/>
      <c r="BF154" s="596" t="n"/>
      <c r="BG154" s="596" t="n"/>
      <c r="BH154" s="596" t="n"/>
      <c r="BI154" s="596" t="n"/>
      <c r="BJ154" s="596" t="n"/>
      <c r="BK154" s="596" t="n"/>
      <c r="BL154" s="596" t="n"/>
      <c r="BM154" s="596" t="n"/>
      <c r="BN154" s="596" t="n"/>
      <c r="BO154" s="597" t="n"/>
    </row>
    <row r="155">
      <c r="A155" t="n">
        <v>1</v>
      </c>
      <c r="B155" s="683">
        <f t="array" ref="B155:AG186">_xlfn.MUNIT(32)</f>
        <v/>
      </c>
      <c r="C155" s="684" t="n">
        <v>0</v>
      </c>
      <c r="D155" s="684" t="n">
        <v>0</v>
      </c>
      <c r="E155" s="684" t="n">
        <v>0</v>
      </c>
      <c r="F155" s="684" t="n">
        <v>0</v>
      </c>
      <c r="G155" s="684" t="n">
        <v>0</v>
      </c>
      <c r="H155" s="684" t="n">
        <v>0</v>
      </c>
      <c r="I155" s="684" t="n">
        <v>0</v>
      </c>
      <c r="J155" s="684" t="n">
        <v>0</v>
      </c>
      <c r="K155" s="684" t="n">
        <v>0</v>
      </c>
      <c r="L155" s="684" t="n">
        <v>0</v>
      </c>
      <c r="M155" s="684" t="n">
        <v>0</v>
      </c>
      <c r="N155" s="684" t="n">
        <v>0</v>
      </c>
      <c r="O155" s="684" t="n">
        <v>0</v>
      </c>
      <c r="P155" s="684" t="n">
        <v>0</v>
      </c>
      <c r="Q155" s="684" t="n">
        <v>0</v>
      </c>
      <c r="R155" s="685" t="n">
        <v>0</v>
      </c>
      <c r="S155" s="686" t="n">
        <v>0</v>
      </c>
      <c r="T155" s="687" t="n">
        <v>0</v>
      </c>
      <c r="U155" s="589" t="n">
        <v>0</v>
      </c>
      <c r="V155" s="691" t="n">
        <v>0</v>
      </c>
      <c r="W155" s="9" t="n">
        <v>0</v>
      </c>
      <c r="X155" s="9" t="n">
        <v>0</v>
      </c>
      <c r="Y155" s="689" t="n">
        <v>0</v>
      </c>
      <c r="Z155" s="9" t="n">
        <v>0</v>
      </c>
      <c r="AA155" s="9" t="n">
        <v>0</v>
      </c>
      <c r="AB155" s="9" t="n">
        <v>0</v>
      </c>
      <c r="AC155" s="9" t="n">
        <v>0</v>
      </c>
      <c r="AD155" s="9" t="n">
        <v>0</v>
      </c>
      <c r="AE155" s="9" t="n">
        <v>0</v>
      </c>
      <c r="AF155" s="9" t="n">
        <v>0</v>
      </c>
      <c r="AG155" s="10" t="n">
        <v>0</v>
      </c>
      <c r="AH155" s="23" t="n"/>
      <c r="AI155" s="23" t="n">
        <v>1</v>
      </c>
      <c r="AJ155" s="8">
        <f t="array" ref="AJ155:BO186">MMULT(MMULT(B76:Q107,B131:Q146),_xlfn.ANCHORARRAY(U92))</f>
        <v/>
      </c>
      <c r="AK155" s="9" t="n">
        <v>-0.00458665622884618</v>
      </c>
      <c r="AL155" s="9" t="n">
        <v>-0.02514522396139462</v>
      </c>
      <c r="AM155" s="9" t="n">
        <v>0.0557110290915428</v>
      </c>
      <c r="AN155" s="9" t="n">
        <v>0.07259895458687853</v>
      </c>
      <c r="AO155" s="9" t="n">
        <v>0.1286048859272834</v>
      </c>
      <c r="AP155" s="9" t="n">
        <v>-0.05720918967344831</v>
      </c>
      <c r="AQ155" s="9" t="n">
        <v>0.05571095630302748</v>
      </c>
      <c r="AR155" s="9" t="n">
        <v>0.04537559224892714</v>
      </c>
      <c r="AS155" s="9" t="n">
        <v>0.09283597919840504</v>
      </c>
      <c r="AT155" s="9" t="n">
        <v>0.2083672033197031</v>
      </c>
      <c r="AU155" s="9" t="n">
        <v>0.2655149284812723</v>
      </c>
      <c r="AV155" s="9" t="n">
        <v>-0.007816109742312283</v>
      </c>
      <c r="AW155" s="9" t="n">
        <v>-0.06153297287199222</v>
      </c>
      <c r="AX155" s="9" t="n">
        <v>-0.003422558325052262</v>
      </c>
      <c r="AY155" s="9" t="n">
        <v>0.01111421728776117</v>
      </c>
      <c r="AZ155" s="9" t="n">
        <v>0.01140149479472648</v>
      </c>
      <c r="BA155" s="9" t="n">
        <v>0.03346618823590719</v>
      </c>
      <c r="BB155" s="9" t="n">
        <v>0.04948655233166156</v>
      </c>
      <c r="BC155" s="9" t="n">
        <v>-0.003678995166684344</v>
      </c>
      <c r="BD155" s="9" t="n">
        <v>-0.04618930495752269</v>
      </c>
      <c r="BE155" s="9" t="n">
        <v>-0.006365571112860235</v>
      </c>
      <c r="BF155" s="9" t="n">
        <v>-0.03246767165860998</v>
      </c>
      <c r="BG155" s="9" t="n">
        <v>-0.07430511825860255</v>
      </c>
      <c r="BH155" s="9" t="n">
        <v>0.06777500925307936</v>
      </c>
      <c r="BI155" s="9" t="n">
        <v>0.0915526567345161</v>
      </c>
      <c r="BJ155" s="9" t="n">
        <v>-0.06626892797580575</v>
      </c>
      <c r="BK155" s="9" t="n">
        <v>-0.0004156640783736822</v>
      </c>
      <c r="BL155" s="9" t="n">
        <v>0.01658685635014134</v>
      </c>
      <c r="BM155" s="9" t="n">
        <v>-0.03875557536124445</v>
      </c>
      <c r="BN155" s="9" t="n">
        <v>0.04715052626417889</v>
      </c>
      <c r="BO155" s="10" t="n">
        <v>-0.02586736130083116</v>
      </c>
      <c r="BP155" s="23" t="n"/>
      <c r="BQ155" s="23" t="n"/>
      <c r="BR155" s="23" t="n"/>
      <c r="BS155" s="23" t="n"/>
      <c r="BT155" s="23" t="n"/>
    </row>
    <row r="156">
      <c r="A156" t="n">
        <v>2</v>
      </c>
      <c r="B156" s="677" t="n">
        <v>0</v>
      </c>
      <c r="C156" s="678" t="n">
        <v>1</v>
      </c>
      <c r="D156" s="678" t="n">
        <v>0</v>
      </c>
      <c r="E156" s="678" t="n">
        <v>0</v>
      </c>
      <c r="F156" s="678" t="n">
        <v>0</v>
      </c>
      <c r="G156" s="678" t="n">
        <v>0</v>
      </c>
      <c r="H156" s="678" t="n">
        <v>0</v>
      </c>
      <c r="I156" s="678" t="n">
        <v>0</v>
      </c>
      <c r="J156" s="678" t="n">
        <v>0</v>
      </c>
      <c r="K156" s="678" t="n">
        <v>0</v>
      </c>
      <c r="L156" s="678" t="n">
        <v>0</v>
      </c>
      <c r="M156" s="678" t="n">
        <v>0</v>
      </c>
      <c r="N156" s="678" t="n">
        <v>0</v>
      </c>
      <c r="O156" s="678" t="n">
        <v>0</v>
      </c>
      <c r="P156" s="678" t="n">
        <v>0</v>
      </c>
      <c r="Q156" s="678" t="n">
        <v>0</v>
      </c>
      <c r="R156" s="677" t="n">
        <v>0</v>
      </c>
      <c r="S156" s="678" t="n">
        <v>0</v>
      </c>
      <c r="T156" s="679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2" t="n">
        <v>0</v>
      </c>
      <c r="AH156" s="23" t="n"/>
      <c r="AI156" s="23" t="n">
        <v>2</v>
      </c>
      <c r="AJ156" s="11" t="n">
        <v>-0.0045866562288462</v>
      </c>
      <c r="AK156" s="1" t="n">
        <v>0.2272081271252843</v>
      </c>
      <c r="AL156" s="1" t="n">
        <v>0.09644525657834678</v>
      </c>
      <c r="AM156" s="1" t="n">
        <v>-0.005098949264373653</v>
      </c>
      <c r="AN156" s="1" t="n">
        <v>0.03122870223129613</v>
      </c>
      <c r="AO156" s="1" t="n">
        <v>0.0171815112334583</v>
      </c>
      <c r="AP156" s="1" t="n">
        <v>0.05425731394011916</v>
      </c>
      <c r="AQ156" s="1" t="n">
        <v>-0.00509894260240832</v>
      </c>
      <c r="AR156" s="1" t="n">
        <v>0.1013640240773068</v>
      </c>
      <c r="AS156" s="1" t="n">
        <v>-0.009611030275552466</v>
      </c>
      <c r="AT156" s="1" t="n">
        <v>0.00569513792898527</v>
      </c>
      <c r="AU156" s="1" t="n">
        <v>-0.004586649376136148</v>
      </c>
      <c r="AV156" s="1" t="n">
        <v>0.03258754239121291</v>
      </c>
      <c r="AW156" s="1" t="n">
        <v>-0.01653066811839084</v>
      </c>
      <c r="AX156" s="1" t="n">
        <v>0.00760104343172812</v>
      </c>
      <c r="AY156" s="1" t="n">
        <v>-0.009675547400277054</v>
      </c>
      <c r="AZ156" s="1" t="n">
        <v>0.1072162623763003</v>
      </c>
      <c r="BA156" s="1" t="n">
        <v>0.04424580522307387</v>
      </c>
      <c r="BB156" s="1" t="n">
        <v>0.05562179797405698</v>
      </c>
      <c r="BC156" s="1" t="n">
        <v>0.04271701676241851</v>
      </c>
      <c r="BD156" s="1" t="n">
        <v>-0.004791714670850718</v>
      </c>
      <c r="BE156" s="1" t="n">
        <v>-0.02644557448560203</v>
      </c>
      <c r="BF156" s="1" t="n">
        <v>-0.09567225102247293</v>
      </c>
      <c r="BG156" s="1" t="n">
        <v>0.2087087474256643</v>
      </c>
      <c r="BH156" s="1" t="n">
        <v>-0.06646206398367062</v>
      </c>
      <c r="BI156" s="1" t="n">
        <v>-0.01533714326306802</v>
      </c>
      <c r="BJ156" s="1" t="n">
        <v>-0.09684040367116298</v>
      </c>
      <c r="BK156" s="1" t="n">
        <v>0.1070939128231065</v>
      </c>
      <c r="BL156" s="1" t="n">
        <v>0.1494705080220718</v>
      </c>
      <c r="BM156" s="1" t="n">
        <v>-0.08182785595138421</v>
      </c>
      <c r="BN156" s="1" t="n">
        <v>-0.1346699799852333</v>
      </c>
      <c r="BO156" s="12" t="n">
        <v>-0.07489480674787359</v>
      </c>
      <c r="BP156" s="23" t="n"/>
      <c r="BQ156" s="23" t="n"/>
      <c r="BR156" s="23" t="n"/>
      <c r="BS156" s="23" t="n"/>
      <c r="BT156" s="23" t="n"/>
    </row>
    <row r="157">
      <c r="A157" t="n">
        <v>3</v>
      </c>
      <c r="B157" s="685" t="n">
        <v>0</v>
      </c>
      <c r="C157" s="686" t="n">
        <v>0</v>
      </c>
      <c r="D157" s="686" t="n">
        <v>1</v>
      </c>
      <c r="E157" s="686" t="n">
        <v>0</v>
      </c>
      <c r="F157" s="686" t="n">
        <v>0</v>
      </c>
      <c r="G157" s="686" t="n">
        <v>0</v>
      </c>
      <c r="H157" s="686" t="n">
        <v>0</v>
      </c>
      <c r="I157" s="686" t="n">
        <v>0</v>
      </c>
      <c r="J157" s="686" t="n">
        <v>0</v>
      </c>
      <c r="K157" s="686" t="n">
        <v>0</v>
      </c>
      <c r="L157" s="686" t="n">
        <v>0</v>
      </c>
      <c r="M157" s="686" t="n">
        <v>0</v>
      </c>
      <c r="N157" s="686" t="n">
        <v>0</v>
      </c>
      <c r="O157" s="686" t="n">
        <v>0</v>
      </c>
      <c r="P157" s="686" t="n">
        <v>0</v>
      </c>
      <c r="Q157" s="686" t="n">
        <v>0</v>
      </c>
      <c r="R157" s="685" t="n">
        <v>0</v>
      </c>
      <c r="S157" s="686" t="n">
        <v>0</v>
      </c>
      <c r="T157" s="687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2" t="n">
        <v>0</v>
      </c>
      <c r="AH157" s="23" t="n"/>
      <c r="AI157" s="23" t="n">
        <v>3</v>
      </c>
      <c r="AJ157" s="11" t="n">
        <v>-0.02514522396139462</v>
      </c>
      <c r="AK157" s="1" t="n">
        <v>0.09644525657834681</v>
      </c>
      <c r="AL157" s="1" t="n">
        <v>0.2485273299862456</v>
      </c>
      <c r="AM157" s="1" t="n">
        <v>-0.0408886642161857</v>
      </c>
      <c r="AN157" s="1" t="n">
        <v>-0.03170813279447196</v>
      </c>
      <c r="AO157" s="1" t="n">
        <v>0.01451237683416374</v>
      </c>
      <c r="AP157" s="1" t="n">
        <v>0.01052735735653213</v>
      </c>
      <c r="AQ157" s="1" t="n">
        <v>-0.04088861079363709</v>
      </c>
      <c r="AR157" s="1" t="n">
        <v>0.1770029013297575</v>
      </c>
      <c r="AS157" s="1" t="n">
        <v>0.007046446053629131</v>
      </c>
      <c r="AT157" s="1" t="n">
        <v>0.02416890235081338</v>
      </c>
      <c r="AU157" s="1" t="n">
        <v>-0.02514518639308352</v>
      </c>
      <c r="AV157" s="1" t="n">
        <v>0.003913498334988035</v>
      </c>
      <c r="AW157" s="1" t="n">
        <v>-0.007004161082915579</v>
      </c>
      <c r="AX157" s="1" t="n">
        <v>-0.001807323661064269</v>
      </c>
      <c r="AY157" s="1" t="n">
        <v>-0.006325386809883368</v>
      </c>
      <c r="AZ157" s="1" t="n">
        <v>0.0310472773521099</v>
      </c>
      <c r="BA157" s="1" t="n">
        <v>0.01330415663633981</v>
      </c>
      <c r="BB157" s="1" t="n">
        <v>0.1758855451078051</v>
      </c>
      <c r="BC157" s="1" t="n">
        <v>0.1696800932772771</v>
      </c>
      <c r="BD157" s="1" t="n">
        <v>-0.01562749707860341</v>
      </c>
      <c r="BE157" s="1" t="n">
        <v>-0.01353653600865345</v>
      </c>
      <c r="BF157" s="1" t="n">
        <v>-0.03247850192413676</v>
      </c>
      <c r="BG157" s="1" t="n">
        <v>0.1109114935839732</v>
      </c>
      <c r="BH157" s="1" t="n">
        <v>-0.04688843886181537</v>
      </c>
      <c r="BI157" s="1" t="n">
        <v>-0.002380519710764188</v>
      </c>
      <c r="BJ157" s="1" t="n">
        <v>-0.01637625994308689</v>
      </c>
      <c r="BK157" s="1" t="n">
        <v>-0.05509432112963787</v>
      </c>
      <c r="BL157" s="1" t="n">
        <v>-0.1055787818347154</v>
      </c>
      <c r="BM157" s="1" t="n">
        <v>0.1880398472951751</v>
      </c>
      <c r="BN157" s="1" t="n">
        <v>-0.111343256473899</v>
      </c>
      <c r="BO157" s="12" t="n">
        <v>-0.01976294139946748</v>
      </c>
      <c r="BP157" s="23" t="n"/>
      <c r="BQ157" s="23" t="n"/>
      <c r="BR157" s="23" t="n"/>
      <c r="BS157" s="23" t="n"/>
      <c r="BT157" s="23" t="n"/>
    </row>
    <row r="158">
      <c r="A158" t="n">
        <v>4</v>
      </c>
      <c r="B158" s="692" t="n">
        <v>0</v>
      </c>
      <c r="C158" s="693" t="n">
        <v>0</v>
      </c>
      <c r="D158" s="693" t="n">
        <v>0</v>
      </c>
      <c r="E158" s="693" t="n">
        <v>1</v>
      </c>
      <c r="F158" s="693" t="n">
        <v>0</v>
      </c>
      <c r="G158" s="693" t="n">
        <v>0</v>
      </c>
      <c r="H158" s="693" t="n">
        <v>0</v>
      </c>
      <c r="I158" s="693" t="n">
        <v>0</v>
      </c>
      <c r="J158" s="693" t="n">
        <v>0</v>
      </c>
      <c r="K158" s="693" t="n">
        <v>0</v>
      </c>
      <c r="L158" s="693" t="n">
        <v>0</v>
      </c>
      <c r="M158" s="693" t="n">
        <v>0</v>
      </c>
      <c r="N158" s="693" t="n">
        <v>0</v>
      </c>
      <c r="O158" s="693" t="n">
        <v>0</v>
      </c>
      <c r="P158" s="693" t="n">
        <v>0</v>
      </c>
      <c r="Q158" s="693" t="n">
        <v>0</v>
      </c>
      <c r="R158" s="692" t="n">
        <v>0</v>
      </c>
      <c r="S158" s="693" t="n">
        <v>0</v>
      </c>
      <c r="T158" s="694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2" t="n">
        <v>0</v>
      </c>
      <c r="AH158" s="23" t="n"/>
      <c r="AI158" s="23" t="n">
        <v>4</v>
      </c>
      <c r="AJ158" s="11" t="n">
        <v>0.05571102909154283</v>
      </c>
      <c r="AK158" s="1" t="n">
        <v>-0.005098949264373674</v>
      </c>
      <c r="AL158" s="1" t="n">
        <v>-0.04088866421618569</v>
      </c>
      <c r="AM158" s="1" t="n">
        <v>0.2175882420250209</v>
      </c>
      <c r="AN158" s="1" t="n">
        <v>0.05755977100452239</v>
      </c>
      <c r="AO158" s="1" t="n">
        <v>-0.001436560908543438</v>
      </c>
      <c r="AP158" s="1" t="n">
        <v>0.1528437741457812</v>
      </c>
      <c r="AQ158" s="1" t="n">
        <v>0.2175879577379537</v>
      </c>
      <c r="AR158" s="1" t="n">
        <v>0.1435181211385836</v>
      </c>
      <c r="AS158" s="1" t="n">
        <v>-0.0338094283783501</v>
      </c>
      <c r="AT158" s="1" t="n">
        <v>-0.05442035435893673</v>
      </c>
      <c r="AU158" s="1" t="n">
        <v>0.05571094585628215</v>
      </c>
      <c r="AV158" s="1" t="n">
        <v>0.01223279021728475</v>
      </c>
      <c r="AW158" s="1" t="n">
        <v>0.01709493745837201</v>
      </c>
      <c r="AX158" s="1" t="n">
        <v>-0.0006975147267583859</v>
      </c>
      <c r="AY158" s="1" t="n">
        <v>-0.005437583779362964</v>
      </c>
      <c r="AZ158" s="1" t="n">
        <v>0.003286706841081352</v>
      </c>
      <c r="BA158" s="1" t="n">
        <v>0.01966480534370847</v>
      </c>
      <c r="BB158" s="1" t="n">
        <v>0.01050748804631623</v>
      </c>
      <c r="BC158" s="1" t="n">
        <v>-0.03607725099688384</v>
      </c>
      <c r="BD158" s="1" t="n">
        <v>-0.01566287115855239</v>
      </c>
      <c r="BE158" s="1" t="n">
        <v>-0.03287872522799241</v>
      </c>
      <c r="BF158" s="1" t="n">
        <v>-0.03499108891714739</v>
      </c>
      <c r="BG158" s="1" t="n">
        <v>-0.05139395023865061</v>
      </c>
      <c r="BH158" s="1" t="n">
        <v>0.2055359767863476</v>
      </c>
      <c r="BI158" s="1" t="n">
        <v>-0.07060934124400475</v>
      </c>
      <c r="BJ158" s="1" t="n">
        <v>0.06254774777559635</v>
      </c>
      <c r="BK158" s="1" t="n">
        <v>0.03180898697656522</v>
      </c>
      <c r="BL158" s="1" t="n">
        <v>0.01697808419975642</v>
      </c>
      <c r="BM158" s="1" t="n">
        <v>-0.0321966203682099</v>
      </c>
      <c r="BN158" s="1" t="n">
        <v>0.05012593539400634</v>
      </c>
      <c r="BO158" s="12" t="n">
        <v>-0.01222924161768148</v>
      </c>
      <c r="BP158" s="23" t="n"/>
      <c r="BQ158" s="23" t="n"/>
      <c r="BR158" s="23" t="n"/>
      <c r="BS158" s="23" t="n"/>
      <c r="BT158" s="23" t="n"/>
    </row>
    <row r="159">
      <c r="A159" t="n">
        <v>5</v>
      </c>
      <c r="B159" s="1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2" t="n">
        <v>0</v>
      </c>
      <c r="AH159" s="23" t="n"/>
      <c r="AI159" s="23" t="n">
        <v>5</v>
      </c>
      <c r="AJ159" s="11" t="n">
        <v>0.07259895458687848</v>
      </c>
      <c r="AK159" s="1" t="n">
        <v>0.03122870223129615</v>
      </c>
      <c r="AL159" s="1" t="n">
        <v>-0.03170813279447195</v>
      </c>
      <c r="AM159" s="1" t="n">
        <v>0.05755977100452236</v>
      </c>
      <c r="AN159" s="1" t="n">
        <v>0.1877972948063714</v>
      </c>
      <c r="AO159" s="1" t="n">
        <v>0.0002436451632058245</v>
      </c>
      <c r="AP159" s="1" t="n">
        <v>0.02450152325752511</v>
      </c>
      <c r="AQ159" s="1" t="n">
        <v>0.05755969580055752</v>
      </c>
      <c r="AR159" s="1" t="n">
        <v>0.05068898779691693</v>
      </c>
      <c r="AS159" s="1" t="n">
        <v>-0.03869211728956252</v>
      </c>
      <c r="AT159" s="1" t="n">
        <v>-0.0758985666609419</v>
      </c>
      <c r="AU159" s="1" t="n">
        <v>0.07259884612015277</v>
      </c>
      <c r="AV159" s="1" t="n">
        <v>0.07097970637445628</v>
      </c>
      <c r="AW159" s="1" t="n">
        <v>-0.03263177808440802</v>
      </c>
      <c r="AX159" s="1" t="n">
        <v>0.04355955306684373</v>
      </c>
      <c r="AY159" s="1" t="n">
        <v>0.03785042139376721</v>
      </c>
      <c r="AZ159" s="1" t="n">
        <v>0.07785093727603098</v>
      </c>
      <c r="BA159" s="1" t="n">
        <v>0.0450862402185828</v>
      </c>
      <c r="BB159" s="1" t="n">
        <v>0.1195778297030721</v>
      </c>
      <c r="BC159" s="1" t="n">
        <v>0.007906112256961882</v>
      </c>
      <c r="BD159" s="1" t="n">
        <v>0.1117360709895802</v>
      </c>
      <c r="BE159" s="1" t="n">
        <v>0.04166792116478216</v>
      </c>
      <c r="BF159" s="1" t="n">
        <v>-0.03283210071394847</v>
      </c>
      <c r="BG159" s="1" t="n">
        <v>-0.09102861953227656</v>
      </c>
      <c r="BH159" s="1" t="n">
        <v>-0.07037518779677729</v>
      </c>
      <c r="BI159" s="1" t="n">
        <v>0.04083191588864</v>
      </c>
      <c r="BJ159" s="1" t="n">
        <v>-0.1023080305955952</v>
      </c>
      <c r="BK159" s="1" t="n">
        <v>0.0783262671504153</v>
      </c>
      <c r="BL159" s="1" t="n">
        <v>-0.006338058699457472</v>
      </c>
      <c r="BM159" s="1" t="n">
        <v>-0.09780032435873334</v>
      </c>
      <c r="BN159" s="1" t="n">
        <v>0.1654366184525417</v>
      </c>
      <c r="BO159" s="12" t="n">
        <v>-0.08534924944545338</v>
      </c>
      <c r="BP159" s="23" t="n"/>
      <c r="BQ159" s="23" t="n"/>
      <c r="BR159" s="23" t="n"/>
      <c r="BS159" s="23" t="n"/>
      <c r="BT159" s="23" t="n"/>
    </row>
    <row r="160">
      <c r="A160" t="n">
        <v>6</v>
      </c>
      <c r="B160" s="1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2" t="n">
        <v>0</v>
      </c>
      <c r="AH160" s="23" t="n"/>
      <c r="AI160" s="23" t="n">
        <v>6</v>
      </c>
      <c r="AJ160" s="11" t="n">
        <v>0.1286048859272834</v>
      </c>
      <c r="AK160" s="1" t="n">
        <v>0.01718151123345828</v>
      </c>
      <c r="AL160" s="1" t="n">
        <v>0.01451237683416377</v>
      </c>
      <c r="AM160" s="1" t="n">
        <v>-0.001436560908543452</v>
      </c>
      <c r="AN160" s="1" t="n">
        <v>0.0002436451632057551</v>
      </c>
      <c r="AO160" s="1" t="n">
        <v>0.3049602622284034</v>
      </c>
      <c r="AP160" s="1" t="n">
        <v>0.2091117345229314</v>
      </c>
      <c r="AQ160" s="1" t="n">
        <v>-0.001436559031623499</v>
      </c>
      <c r="AR160" s="1" t="n">
        <v>-0.02324523713362986</v>
      </c>
      <c r="AS160" s="1" t="n">
        <v>0.04472297037303963</v>
      </c>
      <c r="AT160" s="1" t="n">
        <v>0.107421084104207</v>
      </c>
      <c r="AU160" s="1" t="n">
        <v>0.1286046937846972</v>
      </c>
      <c r="AV160" s="1" t="n">
        <v>-0.0261939808925794</v>
      </c>
      <c r="AW160" s="1" t="n">
        <v>-0.008467851828202169</v>
      </c>
      <c r="AX160" s="1" t="n">
        <v>-0.02088352800120585</v>
      </c>
      <c r="AY160" s="1" t="n">
        <v>-0.01847167442388974</v>
      </c>
      <c r="AZ160" s="1" t="n">
        <v>-0.00269604489936943</v>
      </c>
      <c r="BA160" s="1" t="n">
        <v>0.00742951064808229</v>
      </c>
      <c r="BB160" s="1" t="n">
        <v>-0.003620916405079866</v>
      </c>
      <c r="BC160" s="1" t="n">
        <v>-0.02965808645611064</v>
      </c>
      <c r="BD160" s="1" t="n">
        <v>-0.07788604210536987</v>
      </c>
      <c r="BE160" s="1" t="n">
        <v>-0.03780499477134407</v>
      </c>
      <c r="BF160" s="1" t="n">
        <v>-0.03122375210513586</v>
      </c>
      <c r="BG160" s="1" t="n">
        <v>0.01534767162686526</v>
      </c>
      <c r="BH160" s="1" t="n">
        <v>-0.1334009801392274</v>
      </c>
      <c r="BI160" s="1" t="n">
        <v>0.2649680974942119</v>
      </c>
      <c r="BJ160" s="1" t="n">
        <v>0.1340283371572584</v>
      </c>
      <c r="BK160" s="1" t="n">
        <v>0.03499314373499937</v>
      </c>
      <c r="BL160" s="1" t="n">
        <v>-0.001249842069812537</v>
      </c>
      <c r="BM160" s="1" t="n">
        <v>0.0434832046468523</v>
      </c>
      <c r="BN160" s="1" t="n">
        <v>-0.01466495361784915</v>
      </c>
      <c r="BO160" s="12" t="n">
        <v>0.008241548579331102</v>
      </c>
      <c r="BP160" s="23" t="n"/>
      <c r="BQ160" s="23" t="n"/>
      <c r="BR160" s="23" t="n"/>
      <c r="BS160" s="23" t="n"/>
      <c r="BT160" s="23" t="n"/>
    </row>
    <row r="161">
      <c r="A161" t="n">
        <v>7</v>
      </c>
      <c r="B161" s="695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2" t="n">
        <v>0</v>
      </c>
      <c r="AH161" s="658" t="n"/>
      <c r="AI161" s="23" t="n">
        <v>7</v>
      </c>
      <c r="AJ161" s="695" t="n">
        <v>-0.05720918967344836</v>
      </c>
      <c r="AK161" s="1" t="n">
        <v>0.05425731394011914</v>
      </c>
      <c r="AL161" s="1" t="n">
        <v>0.01052735735653226</v>
      </c>
      <c r="AM161" s="1" t="n">
        <v>0.1528437741457812</v>
      </c>
      <c r="AN161" s="1" t="n">
        <v>0.02450152325752498</v>
      </c>
      <c r="AO161" s="1" t="n">
        <v>0.2091117345229315</v>
      </c>
      <c r="AP161" s="1" t="n">
        <v>0.5519970463837603</v>
      </c>
      <c r="AQ161" s="1" t="n">
        <v>0.1528435744497505</v>
      </c>
      <c r="AR161" s="1" t="n">
        <v>0.06978487278544776</v>
      </c>
      <c r="AS161" s="1" t="n">
        <v>-0.0004885864956773902</v>
      </c>
      <c r="AT161" s="1" t="n">
        <v>-0.015293336827921</v>
      </c>
      <c r="AU161" s="1" t="n">
        <v>-0.05720910419985548</v>
      </c>
      <c r="AV161" s="1" t="n">
        <v>0.005168871660555623</v>
      </c>
      <c r="AW161" s="1" t="n">
        <v>-0.005421778186445618</v>
      </c>
      <c r="AX161" s="1" t="n">
        <v>0.00696364122078364</v>
      </c>
      <c r="AY161" s="1" t="n">
        <v>-0.00240992527788656</v>
      </c>
      <c r="AZ161" s="1" t="n">
        <v>0.04937570180935096</v>
      </c>
      <c r="BA161" s="1" t="n">
        <v>-0.01692665638065234</v>
      </c>
      <c r="BB161" s="1" t="n">
        <v>-0.02537039698778677</v>
      </c>
      <c r="BC161" s="1" t="n">
        <v>-0.05511244729893819</v>
      </c>
      <c r="BD161" s="1" t="n">
        <v>0.03990293944046663</v>
      </c>
      <c r="BE161" s="1" t="n">
        <v>0.03337786592893561</v>
      </c>
      <c r="BF161" s="1" t="n">
        <v>0.0094851257174402</v>
      </c>
      <c r="BG161" s="1" t="n">
        <v>0.08285559949075189</v>
      </c>
      <c r="BH161" s="1" t="n">
        <v>-0.1215708435511029</v>
      </c>
      <c r="BI161" s="1" t="n">
        <v>-0.04405068702649143</v>
      </c>
      <c r="BJ161" s="1" t="n">
        <v>0.2951647663323547</v>
      </c>
      <c r="BK161" s="1" t="n">
        <v>0.1349867666746571</v>
      </c>
      <c r="BL161" s="1" t="n">
        <v>-0.02256056501529452</v>
      </c>
      <c r="BM161" s="1" t="n">
        <v>0.0287698509943267</v>
      </c>
      <c r="BN161" s="1" t="n">
        <v>0.04222102692932637</v>
      </c>
      <c r="BO161" s="12" t="n">
        <v>-0.0134615671899086</v>
      </c>
      <c r="BP161" s="23" t="n"/>
      <c r="BQ161" s="658" t="n"/>
      <c r="BR161" s="23" t="n"/>
      <c r="BS161" s="23" t="n"/>
      <c r="BT161" s="23" t="n"/>
    </row>
    <row r="162">
      <c r="A162" t="n">
        <v>8</v>
      </c>
      <c r="B162" s="696" t="n">
        <v>0</v>
      </c>
      <c r="C162" s="697" t="n">
        <v>0</v>
      </c>
      <c r="D162" s="697" t="n">
        <v>0</v>
      </c>
      <c r="E162" s="697" t="n">
        <v>0</v>
      </c>
      <c r="F162" s="697" t="n">
        <v>0</v>
      </c>
      <c r="G162" s="697" t="n">
        <v>0</v>
      </c>
      <c r="H162" s="697" t="n">
        <v>0</v>
      </c>
      <c r="I162" s="697" t="n">
        <v>1</v>
      </c>
      <c r="J162" s="697" t="n">
        <v>0</v>
      </c>
      <c r="K162" s="697" t="n">
        <v>0</v>
      </c>
      <c r="L162" s="697" t="n">
        <v>0</v>
      </c>
      <c r="M162" s="697" t="n">
        <v>0</v>
      </c>
      <c r="N162" s="697" t="n">
        <v>0</v>
      </c>
      <c r="O162" s="697" t="n">
        <v>0</v>
      </c>
      <c r="P162" s="697" t="n">
        <v>0</v>
      </c>
      <c r="Q162" s="697" t="n">
        <v>0</v>
      </c>
      <c r="R162" s="697" t="n">
        <v>0</v>
      </c>
      <c r="S162" s="697" t="n">
        <v>0</v>
      </c>
      <c r="T162" s="697" t="n">
        <v>0</v>
      </c>
      <c r="U162" s="697" t="n">
        <v>0</v>
      </c>
      <c r="V162" s="697" t="n">
        <v>0</v>
      </c>
      <c r="W162" s="697" t="n">
        <v>0</v>
      </c>
      <c r="X162" s="697" t="n">
        <v>0</v>
      </c>
      <c r="Y162" s="697" t="n">
        <v>0</v>
      </c>
      <c r="Z162" s="697" t="n">
        <v>0</v>
      </c>
      <c r="AA162" s="697" t="n">
        <v>0</v>
      </c>
      <c r="AB162" s="697" t="n">
        <v>0</v>
      </c>
      <c r="AC162" s="697" t="n">
        <v>0</v>
      </c>
      <c r="AD162" s="697" t="n">
        <v>0</v>
      </c>
      <c r="AE162" s="697" t="n">
        <v>0</v>
      </c>
      <c r="AF162" s="697" t="n">
        <v>0</v>
      </c>
      <c r="AG162" s="698" t="n">
        <v>0</v>
      </c>
      <c r="AH162" s="699" t="n"/>
      <c r="AI162" s="23" t="n">
        <v>8</v>
      </c>
      <c r="AJ162" s="580" t="n">
        <v>0.0557109563030275</v>
      </c>
      <c r="AK162" s="581" t="n">
        <v>-0.005098942602408323</v>
      </c>
      <c r="AL162" s="581" t="n">
        <v>-0.04088861079363706</v>
      </c>
      <c r="AM162" s="581" t="n">
        <v>0.2175879577379537</v>
      </c>
      <c r="AN162" s="581" t="n">
        <v>0.05755969580055753</v>
      </c>
      <c r="AO162" s="581" t="n">
        <v>-0.001436559031623472</v>
      </c>
      <c r="AP162" s="581" t="n">
        <v>0.1528435744497505</v>
      </c>
      <c r="AQ162" s="581" t="n">
        <v>0.2175876734512578</v>
      </c>
      <c r="AR162" s="581" t="n">
        <v>0.1435179336268624</v>
      </c>
      <c r="AS162" s="581" t="n">
        <v>-0.03380938420508434</v>
      </c>
      <c r="AT162" s="581" t="n">
        <v>-0.05442028325673562</v>
      </c>
      <c r="AU162" s="581" t="n">
        <v>0.05571087306787557</v>
      </c>
      <c r="AV162" s="581" t="n">
        <v>0.01223277423469293</v>
      </c>
      <c r="AW162" s="581" t="n">
        <v>0.01709491512320541</v>
      </c>
      <c r="AX162" s="581" t="n">
        <v>-0.0006975138154296581</v>
      </c>
      <c r="AY162" s="581" t="n">
        <v>-0.0054375766749591</v>
      </c>
      <c r="AZ162" s="581" t="n">
        <v>0.003286702546877556</v>
      </c>
      <c r="BA162" s="581" t="n">
        <v>0.01966477965091463</v>
      </c>
      <c r="BB162" s="581" t="n">
        <v>0.01050747431789533</v>
      </c>
      <c r="BC162" s="581" t="n">
        <v>-0.03607720386062414</v>
      </c>
      <c r="BD162" s="581" t="n">
        <v>-0.01566285069443328</v>
      </c>
      <c r="BE162" s="581" t="n">
        <v>-0.03287868227072465</v>
      </c>
      <c r="BF162" s="581" t="n">
        <v>-0.03499104319999852</v>
      </c>
      <c r="BG162" s="581" t="n">
        <v>-0.05139388309055815</v>
      </c>
      <c r="BH162" s="581" t="n">
        <v>0.2055357082460095</v>
      </c>
      <c r="BI162" s="581" t="n">
        <v>-0.07060924899029486</v>
      </c>
      <c r="BJ162" s="581" t="n">
        <v>0.06254766605465611</v>
      </c>
      <c r="BK162" s="581" t="n">
        <v>0.03180894541694991</v>
      </c>
      <c r="BL162" s="581" t="n">
        <v>0.01697806201726294</v>
      </c>
      <c r="BM162" s="581" t="n">
        <v>-0.03219657830213731</v>
      </c>
      <c r="BN162" s="581" t="n">
        <v>0.05012586990262202</v>
      </c>
      <c r="BO162" s="555" t="n">
        <v>-0.01222922563972602</v>
      </c>
      <c r="BP162" s="23" t="n"/>
      <c r="BQ162" s="700" t="n"/>
      <c r="BR162" s="648" t="n"/>
      <c r="BS162" s="648" t="n"/>
      <c r="BT162" s="648" t="n"/>
    </row>
    <row r="163">
      <c r="A163" t="n">
        <v>9</v>
      </c>
      <c r="B163" s="701" t="n">
        <v>0</v>
      </c>
      <c r="C163" s="702" t="n">
        <v>0</v>
      </c>
      <c r="D163" s="702" t="n">
        <v>0</v>
      </c>
      <c r="E163" s="702" t="n">
        <v>0</v>
      </c>
      <c r="F163" s="702" t="n">
        <v>0</v>
      </c>
      <c r="G163" s="702" t="n">
        <v>0</v>
      </c>
      <c r="H163" s="702" t="n">
        <v>0</v>
      </c>
      <c r="I163" s="702" t="n">
        <v>0</v>
      </c>
      <c r="J163" s="702" t="n">
        <v>1</v>
      </c>
      <c r="K163" s="702" t="n">
        <v>0</v>
      </c>
      <c r="L163" s="702" t="n">
        <v>0</v>
      </c>
      <c r="M163" s="702" t="n">
        <v>0</v>
      </c>
      <c r="N163" s="702" t="n">
        <v>0</v>
      </c>
      <c r="O163" s="702" t="n">
        <v>0</v>
      </c>
      <c r="P163" s="702" t="n">
        <v>0</v>
      </c>
      <c r="Q163" s="702" t="n">
        <v>0</v>
      </c>
      <c r="R163" s="702" t="n">
        <v>0</v>
      </c>
      <c r="S163" s="702" t="n">
        <v>0</v>
      </c>
      <c r="T163" s="702" t="n">
        <v>0</v>
      </c>
      <c r="U163" s="702" t="n">
        <v>0</v>
      </c>
      <c r="V163" s="702" t="n">
        <v>0</v>
      </c>
      <c r="W163" s="702" t="n">
        <v>0</v>
      </c>
      <c r="X163" s="702" t="n">
        <v>0</v>
      </c>
      <c r="Y163" s="702" t="n">
        <v>0</v>
      </c>
      <c r="Z163" s="702" t="n">
        <v>0</v>
      </c>
      <c r="AA163" s="702" t="n">
        <v>0</v>
      </c>
      <c r="AB163" s="702" t="n">
        <v>0</v>
      </c>
      <c r="AC163" s="702" t="n">
        <v>0</v>
      </c>
      <c r="AD163" s="702" t="n">
        <v>0</v>
      </c>
      <c r="AE163" s="702" t="n">
        <v>0</v>
      </c>
      <c r="AF163" s="702" t="n">
        <v>0</v>
      </c>
      <c r="AG163" s="703" t="n">
        <v>0</v>
      </c>
      <c r="AH163" s="704" t="n"/>
      <c r="AI163" s="23" t="n">
        <v>9</v>
      </c>
      <c r="AJ163" s="543" t="n">
        <v>0.0453755922489272</v>
      </c>
      <c r="AK163" s="1" t="n">
        <v>0.1013640240773068</v>
      </c>
      <c r="AL163" s="1" t="n">
        <v>0.1770029013297575</v>
      </c>
      <c r="AM163" s="1" t="n">
        <v>0.1435181211385836</v>
      </c>
      <c r="AN163" s="1" t="n">
        <v>0.05068898779691697</v>
      </c>
      <c r="AO163" s="1" t="n">
        <v>-0.02324523713362989</v>
      </c>
      <c r="AP163" s="1" t="n">
        <v>0.0697848727854477</v>
      </c>
      <c r="AQ163" s="1" t="n">
        <v>0.1435179336268625</v>
      </c>
      <c r="AR163" s="1" t="n">
        <v>0.2978950282412372</v>
      </c>
      <c r="AS163" s="1" t="n">
        <v>-0.02814962661415947</v>
      </c>
      <c r="AT163" s="1" t="n">
        <v>-0.0335187854593836</v>
      </c>
      <c r="AU163" s="1" t="n">
        <v>0.04537552445536264</v>
      </c>
      <c r="AV163" s="1" t="n">
        <v>0.01613331073098668</v>
      </c>
      <c r="AW163" s="1" t="n">
        <v>0.01137510268009117</v>
      </c>
      <c r="AX163" s="1" t="n">
        <v>-0.003248901266539275</v>
      </c>
      <c r="AY163" s="1" t="n">
        <v>-0.01598158917279589</v>
      </c>
      <c r="AZ163" s="1" t="n">
        <v>0.04864292500816359</v>
      </c>
      <c r="BA163" s="1" t="n">
        <v>0.03096357602493108</v>
      </c>
      <c r="BB163" s="1" t="n">
        <v>0.1595715360825059</v>
      </c>
      <c r="BC163" s="1" t="n">
        <v>0.08269274562676247</v>
      </c>
      <c r="BD163" s="1" t="n">
        <v>-0.03100721610365359</v>
      </c>
      <c r="BE163" s="1" t="n">
        <v>-0.04619324006139333</v>
      </c>
      <c r="BF163" s="1" t="n">
        <v>-0.07302695765798055</v>
      </c>
      <c r="BG163" s="1" t="n">
        <v>0.0676197273634023</v>
      </c>
      <c r="BH163" s="1" t="n">
        <v>0.145062973543208</v>
      </c>
      <c r="BI163" s="1" t="n">
        <v>-0.06245528708358278</v>
      </c>
      <c r="BJ163" s="1" t="n">
        <v>-0.08218801654488615</v>
      </c>
      <c r="BK163" s="1" t="n">
        <v>0.04301955347106679</v>
      </c>
      <c r="BL163" s="1" t="n">
        <v>-0.08130428330392878</v>
      </c>
      <c r="BM163" s="1" t="n">
        <v>0.1448150150432609</v>
      </c>
      <c r="BN163" s="1" t="n">
        <v>-0.02519726536434155</v>
      </c>
      <c r="BO163" s="544" t="n">
        <v>-0.03594624271045099</v>
      </c>
      <c r="BP163" s="23" t="n"/>
      <c r="BQ163" s="705" t="n"/>
      <c r="BR163" s="487" t="n"/>
      <c r="BS163" s="487" t="n"/>
      <c r="BT163" s="487" t="n"/>
    </row>
    <row r="164">
      <c r="A164" t="n">
        <v>10</v>
      </c>
      <c r="B164" s="701" t="n">
        <v>0</v>
      </c>
      <c r="C164" s="702" t="n">
        <v>0</v>
      </c>
      <c r="D164" s="702" t="n">
        <v>0</v>
      </c>
      <c r="E164" s="702" t="n">
        <v>0</v>
      </c>
      <c r="F164" s="702" t="n">
        <v>0</v>
      </c>
      <c r="G164" s="702" t="n">
        <v>0</v>
      </c>
      <c r="H164" s="702" t="n">
        <v>0</v>
      </c>
      <c r="I164" s="702" t="n">
        <v>0</v>
      </c>
      <c r="J164" s="702" t="n">
        <v>0</v>
      </c>
      <c r="K164" s="702" t="n">
        <v>1</v>
      </c>
      <c r="L164" s="702" t="n">
        <v>0</v>
      </c>
      <c r="M164" s="702" t="n">
        <v>0</v>
      </c>
      <c r="N164" s="702" t="n">
        <v>0</v>
      </c>
      <c r="O164" s="702" t="n">
        <v>0</v>
      </c>
      <c r="P164" s="702" t="n">
        <v>0</v>
      </c>
      <c r="Q164" s="702" t="n">
        <v>0</v>
      </c>
      <c r="R164" s="702" t="n">
        <v>0</v>
      </c>
      <c r="S164" s="702" t="n">
        <v>0</v>
      </c>
      <c r="T164" s="702" t="n">
        <v>0</v>
      </c>
      <c r="U164" s="702" t="n">
        <v>0</v>
      </c>
      <c r="V164" s="702" t="n">
        <v>0</v>
      </c>
      <c r="W164" s="702" t="n">
        <v>0</v>
      </c>
      <c r="X164" s="702" t="n">
        <v>0</v>
      </c>
      <c r="Y164" s="702" t="n">
        <v>0</v>
      </c>
      <c r="Z164" s="702" t="n">
        <v>0</v>
      </c>
      <c r="AA164" s="702" t="n">
        <v>0</v>
      </c>
      <c r="AB164" s="702" t="n">
        <v>0</v>
      </c>
      <c r="AC164" s="702" t="n">
        <v>0</v>
      </c>
      <c r="AD164" s="702" t="n">
        <v>0</v>
      </c>
      <c r="AE164" s="702" t="n">
        <v>0</v>
      </c>
      <c r="AF164" s="702" t="n">
        <v>0</v>
      </c>
      <c r="AG164" s="703" t="n">
        <v>0</v>
      </c>
      <c r="AH164" s="704" t="n"/>
      <c r="AI164" s="23" t="n">
        <v>10</v>
      </c>
      <c r="AJ164" s="543" t="n">
        <v>0.09283597919840503</v>
      </c>
      <c r="AK164" s="1" t="n">
        <v>-0.00961103027555248</v>
      </c>
      <c r="AL164" s="1" t="n">
        <v>0.007046446053629141</v>
      </c>
      <c r="AM164" s="1" t="n">
        <v>-0.03380942837835009</v>
      </c>
      <c r="AN164" s="1" t="n">
        <v>-0.03869211728956251</v>
      </c>
      <c r="AO164" s="1" t="n">
        <v>0.04472297037303957</v>
      </c>
      <c r="AP164" s="1" t="n">
        <v>-0.0004885864956774388</v>
      </c>
      <c r="AQ164" s="1" t="n">
        <v>-0.03380938420508434</v>
      </c>
      <c r="AR164" s="1" t="n">
        <v>-0.02814962661415947</v>
      </c>
      <c r="AS164" s="1" t="n">
        <v>0.4677655875245783</v>
      </c>
      <c r="AT164" s="1" t="n">
        <v>0.241040002075003</v>
      </c>
      <c r="AU164" s="1" t="n">
        <v>0.09283584049648075</v>
      </c>
      <c r="AV164" s="1" t="n">
        <v>0.1174931957929712</v>
      </c>
      <c r="AW164" s="1" t="n">
        <v>0.3004534277452514</v>
      </c>
      <c r="AX164" s="1" t="n">
        <v>0.03602766232087036</v>
      </c>
      <c r="AY164" s="1" t="n">
        <v>-0.03665632226493636</v>
      </c>
      <c r="AZ164" s="1" t="n">
        <v>-0.02975849850209905</v>
      </c>
      <c r="BA164" s="1" t="n">
        <v>-0.03180404754121946</v>
      </c>
      <c r="BB164" s="1" t="n">
        <v>-0.02985310598476077</v>
      </c>
      <c r="BC164" s="1" t="n">
        <v>0.009419494735110365</v>
      </c>
      <c r="BD164" s="1" t="n">
        <v>0.1863606877085183</v>
      </c>
      <c r="BE164" s="1" t="n">
        <v>-0.08194612476359533</v>
      </c>
      <c r="BF164" s="1" t="n">
        <v>-0.006964539032938668</v>
      </c>
      <c r="BG164" s="1" t="n">
        <v>0.03687680048761059</v>
      </c>
      <c r="BH164" s="1" t="n">
        <v>-0.02327657823785611</v>
      </c>
      <c r="BI164" s="1" t="n">
        <v>-0.1110502461617387</v>
      </c>
      <c r="BJ164" s="1" t="n">
        <v>0.01550300383010841</v>
      </c>
      <c r="BK164" s="1" t="n">
        <v>-0.002650821463445349</v>
      </c>
      <c r="BL164" s="1" t="n">
        <v>-0.02457988166297409</v>
      </c>
      <c r="BM164" s="1" t="n">
        <v>0.01199121594826973</v>
      </c>
      <c r="BN164" s="1" t="n">
        <v>-0.0040805564456994</v>
      </c>
      <c r="BO164" s="544" t="n">
        <v>0.02387889373112679</v>
      </c>
      <c r="BP164" s="23" t="n"/>
      <c r="BQ164" s="705" t="n"/>
      <c r="BR164" s="487" t="n"/>
      <c r="BS164" s="487" t="n"/>
      <c r="BT164" s="487" t="n"/>
    </row>
    <row r="165">
      <c r="A165" t="n">
        <v>11</v>
      </c>
      <c r="B165" s="701" t="n">
        <v>0</v>
      </c>
      <c r="C165" s="702" t="n">
        <v>0</v>
      </c>
      <c r="D165" s="702" t="n">
        <v>0</v>
      </c>
      <c r="E165" s="702" t="n">
        <v>0</v>
      </c>
      <c r="F165" s="702" t="n">
        <v>0</v>
      </c>
      <c r="G165" s="702" t="n">
        <v>0</v>
      </c>
      <c r="H165" s="702" t="n">
        <v>0</v>
      </c>
      <c r="I165" s="702" t="n">
        <v>0</v>
      </c>
      <c r="J165" s="702" t="n">
        <v>0</v>
      </c>
      <c r="K165" s="702" t="n">
        <v>0</v>
      </c>
      <c r="L165" s="702" t="n">
        <v>1</v>
      </c>
      <c r="M165" s="702" t="n">
        <v>0</v>
      </c>
      <c r="N165" s="702" t="n">
        <v>0</v>
      </c>
      <c r="O165" s="702" t="n">
        <v>0</v>
      </c>
      <c r="P165" s="702" t="n">
        <v>0</v>
      </c>
      <c r="Q165" s="702" t="n">
        <v>0</v>
      </c>
      <c r="R165" s="702" t="n">
        <v>0</v>
      </c>
      <c r="S165" s="702" t="n">
        <v>0</v>
      </c>
      <c r="T165" s="702" t="n">
        <v>0</v>
      </c>
      <c r="U165" s="702" t="n">
        <v>0</v>
      </c>
      <c r="V165" s="702" t="n">
        <v>0</v>
      </c>
      <c r="W165" s="702" t="n">
        <v>0</v>
      </c>
      <c r="X165" s="702" t="n">
        <v>0</v>
      </c>
      <c r="Y165" s="702" t="n">
        <v>0</v>
      </c>
      <c r="Z165" s="702" t="n">
        <v>0</v>
      </c>
      <c r="AA165" s="702" t="n">
        <v>0</v>
      </c>
      <c r="AB165" s="702" t="n">
        <v>0</v>
      </c>
      <c r="AC165" s="702" t="n">
        <v>0</v>
      </c>
      <c r="AD165" s="702" t="n">
        <v>0</v>
      </c>
      <c r="AE165" s="702" t="n">
        <v>0</v>
      </c>
      <c r="AF165" s="702" t="n">
        <v>0</v>
      </c>
      <c r="AG165" s="703" t="n">
        <v>0</v>
      </c>
      <c r="AH165" s="704" t="n"/>
      <c r="AI165" s="23" t="n">
        <v>11</v>
      </c>
      <c r="AJ165" s="543" t="n">
        <v>0.2083672033197032</v>
      </c>
      <c r="AK165" s="1" t="n">
        <v>0.005695137928985246</v>
      </c>
      <c r="AL165" s="1" t="n">
        <v>0.02416890235081338</v>
      </c>
      <c r="AM165" s="1" t="n">
        <v>-0.05442035435893671</v>
      </c>
      <c r="AN165" s="1" t="n">
        <v>-0.07589856666094189</v>
      </c>
      <c r="AO165" s="1" t="n">
        <v>0.1074210841042071</v>
      </c>
      <c r="AP165" s="1" t="n">
        <v>-0.01529333682792098</v>
      </c>
      <c r="AQ165" s="1" t="n">
        <v>-0.05442028325673559</v>
      </c>
      <c r="AR165" s="1" t="n">
        <v>-0.03351878545938357</v>
      </c>
      <c r="AS165" s="1" t="n">
        <v>0.2410400020750031</v>
      </c>
      <c r="AT165" s="1" t="n">
        <v>0.4703536874493539</v>
      </c>
      <c r="AU165" s="1" t="n">
        <v>0.2083668920079435</v>
      </c>
      <c r="AV165" s="1" t="n">
        <v>-0.06381591362357616</v>
      </c>
      <c r="AW165" s="1" t="n">
        <v>-0.1307950111959128</v>
      </c>
      <c r="AX165" s="1" t="n">
        <v>-0.0120653317894323</v>
      </c>
      <c r="AY165" s="1" t="n">
        <v>0.01990799016749881</v>
      </c>
      <c r="AZ165" s="1" t="n">
        <v>0.006969318240715448</v>
      </c>
      <c r="BA165" s="1" t="n">
        <v>-0.02803309435398209</v>
      </c>
      <c r="BB165" s="1" t="n">
        <v>-0.04737364913042347</v>
      </c>
      <c r="BC165" s="1" t="n">
        <v>0.01220056068787051</v>
      </c>
      <c r="BD165" s="1" t="n">
        <v>-0.03551891782925912</v>
      </c>
      <c r="BE165" s="1" t="n">
        <v>0.08781747638300623</v>
      </c>
      <c r="BF165" s="1" t="n">
        <v>0.06657484502976665</v>
      </c>
      <c r="BG165" s="1" t="n">
        <v>0.07239511269040066</v>
      </c>
      <c r="BH165" s="1" t="n">
        <v>-0.01775173496004676</v>
      </c>
      <c r="BI165" s="1" t="n">
        <v>-0.1735167813138677</v>
      </c>
      <c r="BJ165" s="1" t="n">
        <v>0.02106812475410563</v>
      </c>
      <c r="BK165" s="1" t="n">
        <v>-0.01383752386985255</v>
      </c>
      <c r="BL165" s="1" t="n">
        <v>-0.005026457001440304</v>
      </c>
      <c r="BM165" s="1" t="n">
        <v>0.02650976691887383</v>
      </c>
      <c r="BN165" s="1" t="n">
        <v>-0.05799264526074618</v>
      </c>
      <c r="BO165" s="544" t="n">
        <v>0.01563449402355423</v>
      </c>
      <c r="BP165" s="23" t="n"/>
      <c r="BQ165" s="705" t="n"/>
      <c r="BR165" s="487" t="n"/>
      <c r="BS165" s="487" t="n"/>
      <c r="BT165" s="487" t="n"/>
    </row>
    <row r="166">
      <c r="A166" t="n">
        <v>12</v>
      </c>
      <c r="B166" s="701" t="n">
        <v>0</v>
      </c>
      <c r="C166" s="702" t="n">
        <v>0</v>
      </c>
      <c r="D166" s="702" t="n">
        <v>0</v>
      </c>
      <c r="E166" s="702" t="n">
        <v>0</v>
      </c>
      <c r="F166" s="702" t="n">
        <v>0</v>
      </c>
      <c r="G166" s="702" t="n">
        <v>0</v>
      </c>
      <c r="H166" s="702" t="n">
        <v>0</v>
      </c>
      <c r="I166" s="702" t="n">
        <v>0</v>
      </c>
      <c r="J166" s="702" t="n">
        <v>0</v>
      </c>
      <c r="K166" s="702" t="n">
        <v>0</v>
      </c>
      <c r="L166" s="702" t="n">
        <v>0</v>
      </c>
      <c r="M166" s="702" t="n">
        <v>1</v>
      </c>
      <c r="N166" s="702" t="n">
        <v>0</v>
      </c>
      <c r="O166" s="702" t="n">
        <v>0</v>
      </c>
      <c r="P166" s="702" t="n">
        <v>0</v>
      </c>
      <c r="Q166" s="702" t="n">
        <v>0</v>
      </c>
      <c r="R166" s="702" t="n">
        <v>0</v>
      </c>
      <c r="S166" s="702" t="n">
        <v>0</v>
      </c>
      <c r="T166" s="702" t="n">
        <v>0</v>
      </c>
      <c r="U166" s="702" t="n">
        <v>0</v>
      </c>
      <c r="V166" s="702" t="n">
        <v>0</v>
      </c>
      <c r="W166" s="702" t="n">
        <v>0</v>
      </c>
      <c r="X166" s="702" t="n">
        <v>0</v>
      </c>
      <c r="Y166" s="702" t="n">
        <v>0</v>
      </c>
      <c r="Z166" s="702" t="n">
        <v>0</v>
      </c>
      <c r="AA166" s="702" t="n">
        <v>0</v>
      </c>
      <c r="AB166" s="702" t="n">
        <v>0</v>
      </c>
      <c r="AC166" s="702" t="n">
        <v>0</v>
      </c>
      <c r="AD166" s="702" t="n">
        <v>0</v>
      </c>
      <c r="AE166" s="702" t="n">
        <v>0</v>
      </c>
      <c r="AF166" s="702" t="n">
        <v>0</v>
      </c>
      <c r="AG166" s="703" t="n">
        <v>0</v>
      </c>
      <c r="AH166" s="704" t="n"/>
      <c r="AI166" s="23" t="n">
        <v>12</v>
      </c>
      <c r="AJ166" s="543" t="n">
        <v>0.2655149284812723</v>
      </c>
      <c r="AK166" s="1" t="n">
        <v>-0.004586649376136148</v>
      </c>
      <c r="AL166" s="1" t="n">
        <v>-0.02514518639308355</v>
      </c>
      <c r="AM166" s="1" t="n">
        <v>0.05571094585628214</v>
      </c>
      <c r="AN166" s="1" t="n">
        <v>0.07259884612015283</v>
      </c>
      <c r="AO166" s="1" t="n">
        <v>0.1286046937846973</v>
      </c>
      <c r="AP166" s="1" t="n">
        <v>-0.05720910419985542</v>
      </c>
      <c r="AQ166" s="1" t="n">
        <v>0.05571087306787557</v>
      </c>
      <c r="AR166" s="1" t="n">
        <v>0.04537552445536258</v>
      </c>
      <c r="AS166" s="1" t="n">
        <v>0.0928358404964808</v>
      </c>
      <c r="AT166" s="1" t="n">
        <v>0.2083668920079434</v>
      </c>
      <c r="AU166" s="1" t="n">
        <v>0.2655145317877512</v>
      </c>
      <c r="AV166" s="1" t="n">
        <v>-0.007816098064625777</v>
      </c>
      <c r="AW166" s="1" t="n">
        <v>-0.06153288093843567</v>
      </c>
      <c r="AX166" s="1" t="n">
        <v>-0.003422553211566849</v>
      </c>
      <c r="AY166" s="1" t="n">
        <v>0.01111420068252535</v>
      </c>
      <c r="AZ166" s="1" t="n">
        <v>0.01140147776028272</v>
      </c>
      <c r="BA166" s="1" t="n">
        <v>0.03346613823562989</v>
      </c>
      <c r="BB166" s="1" t="n">
        <v>0.04948647839610242</v>
      </c>
      <c r="BC166" s="1" t="n">
        <v>-0.003678989670068623</v>
      </c>
      <c r="BD166" s="1" t="n">
        <v>-0.04618923594822778</v>
      </c>
      <c r="BE166" s="1" t="n">
        <v>-0.006365561602356157</v>
      </c>
      <c r="BF166" s="1" t="n">
        <v>-0.03246762315016996</v>
      </c>
      <c r="BG166" s="1" t="n">
        <v>-0.0743050072427769</v>
      </c>
      <c r="BH166" s="1" t="n">
        <v>0.06777490799358632</v>
      </c>
      <c r="BI166" s="1" t="n">
        <v>0.09155251994994448</v>
      </c>
      <c r="BJ166" s="1" t="n">
        <v>-0.0662688289664788</v>
      </c>
      <c r="BK166" s="1" t="n">
        <v>-0.0004156634573492038</v>
      </c>
      <c r="BL166" s="1" t="n">
        <v>0.01658683156848973</v>
      </c>
      <c r="BM166" s="1" t="n">
        <v>-0.03875551745833952</v>
      </c>
      <c r="BN166" s="1" t="n">
        <v>0.04715045581876781</v>
      </c>
      <c r="BO166" s="544" t="n">
        <v>-0.02586732265360822</v>
      </c>
      <c r="BP166" s="23" t="n"/>
      <c r="BQ166" s="705" t="n"/>
      <c r="BR166" s="487" t="n"/>
      <c r="BS166" s="487" t="n"/>
      <c r="BT166" s="487" t="n"/>
    </row>
    <row r="167">
      <c r="A167" t="n">
        <v>13</v>
      </c>
      <c r="B167" s="701" t="n">
        <v>0</v>
      </c>
      <c r="C167" s="702" t="n">
        <v>0</v>
      </c>
      <c r="D167" s="702" t="n">
        <v>0</v>
      </c>
      <c r="E167" s="702" t="n">
        <v>0</v>
      </c>
      <c r="F167" s="702" t="n">
        <v>0</v>
      </c>
      <c r="G167" s="702" t="n">
        <v>0</v>
      </c>
      <c r="H167" s="702" t="n">
        <v>0</v>
      </c>
      <c r="I167" s="702" t="n">
        <v>0</v>
      </c>
      <c r="J167" s="702" t="n">
        <v>0</v>
      </c>
      <c r="K167" s="702" t="n">
        <v>0</v>
      </c>
      <c r="L167" s="702" t="n">
        <v>0</v>
      </c>
      <c r="M167" s="702" t="n">
        <v>0</v>
      </c>
      <c r="N167" s="702" t="n">
        <v>1</v>
      </c>
      <c r="O167" s="702" t="n">
        <v>0</v>
      </c>
      <c r="P167" s="702" t="n">
        <v>0</v>
      </c>
      <c r="Q167" s="702" t="n">
        <v>0</v>
      </c>
      <c r="R167" s="702" t="n">
        <v>0</v>
      </c>
      <c r="S167" s="702" t="n">
        <v>0</v>
      </c>
      <c r="T167" s="702" t="n">
        <v>0</v>
      </c>
      <c r="U167" s="702" t="n">
        <v>0</v>
      </c>
      <c r="V167" s="702" t="n">
        <v>0</v>
      </c>
      <c r="W167" s="702" t="n">
        <v>0</v>
      </c>
      <c r="X167" s="702" t="n">
        <v>0</v>
      </c>
      <c r="Y167" s="702" t="n">
        <v>0</v>
      </c>
      <c r="Z167" s="702" t="n">
        <v>0</v>
      </c>
      <c r="AA167" s="702" t="n">
        <v>0</v>
      </c>
      <c r="AB167" s="702" t="n">
        <v>0</v>
      </c>
      <c r="AC167" s="702" t="n">
        <v>0</v>
      </c>
      <c r="AD167" s="702" t="n">
        <v>0</v>
      </c>
      <c r="AE167" s="702" t="n">
        <v>0</v>
      </c>
      <c r="AF167" s="702" t="n">
        <v>0</v>
      </c>
      <c r="AG167" s="703" t="n">
        <v>0</v>
      </c>
      <c r="AH167" s="704" t="n"/>
      <c r="AI167" s="23" t="n">
        <v>13</v>
      </c>
      <c r="AJ167" s="543" t="n">
        <v>-0.007816109742312324</v>
      </c>
      <c r="AK167" s="1" t="n">
        <v>0.03258754239121289</v>
      </c>
      <c r="AL167" s="1" t="n">
        <v>0.003913498334988025</v>
      </c>
      <c r="AM167" s="1" t="n">
        <v>0.01223279021728471</v>
      </c>
      <c r="AN167" s="1" t="n">
        <v>0.07097970637445622</v>
      </c>
      <c r="AO167" s="1" t="n">
        <v>-0.02619398089257947</v>
      </c>
      <c r="AP167" s="1" t="n">
        <v>0.005168871660555569</v>
      </c>
      <c r="AQ167" s="1" t="n">
        <v>0.01223277423469288</v>
      </c>
      <c r="AR167" s="1" t="n">
        <v>0.01613331073098663</v>
      </c>
      <c r="AS167" s="1" t="n">
        <v>0.1174931957929712</v>
      </c>
      <c r="AT167" s="1" t="n">
        <v>-0.06381591362357616</v>
      </c>
      <c r="AU167" s="1" t="n">
        <v>-0.00781609806462584</v>
      </c>
      <c r="AV167" s="1" t="n">
        <v>0.3514132404643113</v>
      </c>
      <c r="AW167" s="1" t="n">
        <v>0.2583520025551017</v>
      </c>
      <c r="AX167" s="1" t="n">
        <v>0.1994885778385146</v>
      </c>
      <c r="AY167" s="1" t="n">
        <v>0.1253872581092394</v>
      </c>
      <c r="AZ167" s="1" t="n">
        <v>0.05921722539199698</v>
      </c>
      <c r="BA167" s="1" t="n">
        <v>0.04556895124779125</v>
      </c>
      <c r="BB167" s="1" t="n">
        <v>0.07448208919018323</v>
      </c>
      <c r="BC167" s="1" t="n">
        <v>-0.03295303453910082</v>
      </c>
      <c r="BD167" s="1" t="n">
        <v>-0.0634535051697338</v>
      </c>
      <c r="BE167" s="1" t="n">
        <v>0.1283477221895417</v>
      </c>
      <c r="BF167" s="1" t="n">
        <v>0.06183677241421379</v>
      </c>
      <c r="BG167" s="1" t="n">
        <v>-0.08990763032377168</v>
      </c>
      <c r="BH167" s="1" t="n">
        <v>-0.03918665275137187</v>
      </c>
      <c r="BI167" s="1" t="n">
        <v>0.002363293641121852</v>
      </c>
      <c r="BJ167" s="1" t="n">
        <v>-0.007594618201771867</v>
      </c>
      <c r="BK167" s="1" t="n">
        <v>-0.01283784643323212</v>
      </c>
      <c r="BL167" s="1" t="n">
        <v>0.08230582581544675</v>
      </c>
      <c r="BM167" s="1" t="n">
        <v>0.01259869202729628</v>
      </c>
      <c r="BN167" s="1" t="n">
        <v>-0.05191075862749175</v>
      </c>
      <c r="BO167" s="544" t="n">
        <v>-0.1557457832470089</v>
      </c>
      <c r="BP167" s="23" t="n"/>
      <c r="BQ167" s="705" t="n"/>
      <c r="BR167" s="487" t="n"/>
      <c r="BS167" s="487" t="n"/>
      <c r="BT167" s="487" t="n"/>
    </row>
    <row r="168">
      <c r="A168" t="n">
        <v>14</v>
      </c>
      <c r="B168" s="701" t="n">
        <v>0</v>
      </c>
      <c r="C168" s="702" t="n">
        <v>0</v>
      </c>
      <c r="D168" s="702" t="n">
        <v>0</v>
      </c>
      <c r="E168" s="702" t="n">
        <v>0</v>
      </c>
      <c r="F168" s="702" t="n">
        <v>0</v>
      </c>
      <c r="G168" s="702" t="n">
        <v>0</v>
      </c>
      <c r="H168" s="702" t="n">
        <v>0</v>
      </c>
      <c r="I168" s="702" t="n">
        <v>0</v>
      </c>
      <c r="J168" s="702" t="n">
        <v>0</v>
      </c>
      <c r="K168" s="702" t="n">
        <v>0</v>
      </c>
      <c r="L168" s="702" t="n">
        <v>0</v>
      </c>
      <c r="M168" s="702" t="n">
        <v>0</v>
      </c>
      <c r="N168" s="702" t="n">
        <v>0</v>
      </c>
      <c r="O168" s="702" t="n">
        <v>1</v>
      </c>
      <c r="P168" s="702" t="n">
        <v>0</v>
      </c>
      <c r="Q168" s="702" t="n">
        <v>0</v>
      </c>
      <c r="R168" s="702" t="n">
        <v>0</v>
      </c>
      <c r="S168" s="702" t="n">
        <v>0</v>
      </c>
      <c r="T168" s="702" t="n">
        <v>0</v>
      </c>
      <c r="U168" s="702" t="n">
        <v>0</v>
      </c>
      <c r="V168" s="702" t="n">
        <v>0</v>
      </c>
      <c r="W168" s="702" t="n">
        <v>0</v>
      </c>
      <c r="X168" s="702" t="n">
        <v>0</v>
      </c>
      <c r="Y168" s="702" t="n">
        <v>0</v>
      </c>
      <c r="Z168" s="702" t="n">
        <v>0</v>
      </c>
      <c r="AA168" s="702" t="n">
        <v>0</v>
      </c>
      <c r="AB168" s="702" t="n">
        <v>0</v>
      </c>
      <c r="AC168" s="702" t="n">
        <v>0</v>
      </c>
      <c r="AD168" s="702" t="n">
        <v>0</v>
      </c>
      <c r="AE168" s="702" t="n">
        <v>0</v>
      </c>
      <c r="AF168" s="702" t="n">
        <v>0</v>
      </c>
      <c r="AG168" s="703" t="n">
        <v>0</v>
      </c>
      <c r="AH168" s="704" t="n"/>
      <c r="AI168" s="23" t="n">
        <v>14</v>
      </c>
      <c r="AJ168" s="543" t="n">
        <v>-0.06153297287199224</v>
      </c>
      <c r="AK168" s="1" t="n">
        <v>-0.01653066811839088</v>
      </c>
      <c r="AL168" s="1" t="n">
        <v>-0.007004161082915586</v>
      </c>
      <c r="AM168" s="1" t="n">
        <v>0.01709493745837203</v>
      </c>
      <c r="AN168" s="1" t="n">
        <v>-0.03263177808440804</v>
      </c>
      <c r="AO168" s="1" t="n">
        <v>-0.008467851828202248</v>
      </c>
      <c r="AP168" s="1" t="n">
        <v>-0.005421778186445712</v>
      </c>
      <c r="AQ168" s="1" t="n">
        <v>0.01709491512320542</v>
      </c>
      <c r="AR168" s="1" t="n">
        <v>0.0113751026800912</v>
      </c>
      <c r="AS168" s="1" t="n">
        <v>0.3004534277452514</v>
      </c>
      <c r="AT168" s="1" t="n">
        <v>-0.1307950111959128</v>
      </c>
      <c r="AU168" s="1" t="n">
        <v>-0.0615328809384357</v>
      </c>
      <c r="AV168" s="1" t="n">
        <v>0.2583520025551017</v>
      </c>
      <c r="AW168" s="1" t="n">
        <v>0.58296837635147</v>
      </c>
      <c r="AX168" s="1" t="n">
        <v>0.09157367074533465</v>
      </c>
      <c r="AY168" s="1" t="n">
        <v>-0.05385572838046872</v>
      </c>
      <c r="AZ168" s="1" t="n">
        <v>-0.03414001111333381</v>
      </c>
      <c r="BA168" s="1" t="n">
        <v>-0.05991131054364237</v>
      </c>
      <c r="BB168" s="1" t="n">
        <v>-0.04149602164619863</v>
      </c>
      <c r="BC168" s="1" t="n">
        <v>0.02219952352797652</v>
      </c>
      <c r="BD168" s="1" t="n">
        <v>-0.07457033706959286</v>
      </c>
      <c r="BE168" s="1" t="n">
        <v>-0.1250819568265713</v>
      </c>
      <c r="BF168" s="1" t="n">
        <v>-0.000715312468328233</v>
      </c>
      <c r="BG168" s="1" t="n">
        <v>0.05417976808380476</v>
      </c>
      <c r="BH168" s="1" t="n">
        <v>0.05606611936833772</v>
      </c>
      <c r="BI168" s="1" t="n">
        <v>0.09012171891234994</v>
      </c>
      <c r="BJ168" s="1" t="n">
        <v>-0.007993687502164521</v>
      </c>
      <c r="BK168" s="1" t="n">
        <v>0.01416924235416478</v>
      </c>
      <c r="BL168" s="1" t="n">
        <v>-0.04857595097119308</v>
      </c>
      <c r="BM168" s="1" t="n">
        <v>-0.02182712898411358</v>
      </c>
      <c r="BN168" s="1" t="n">
        <v>0.04370085478721304</v>
      </c>
      <c r="BO168" s="544" t="n">
        <v>0.02328838774057604</v>
      </c>
      <c r="BP168" s="23" t="n"/>
      <c r="BQ168" s="705" t="n"/>
      <c r="BR168" s="487" t="n"/>
      <c r="BS168" s="487" t="n"/>
      <c r="BT168" s="487" t="n"/>
    </row>
    <row r="169">
      <c r="A169" t="n">
        <v>15</v>
      </c>
      <c r="B169" s="701" t="n">
        <v>0</v>
      </c>
      <c r="C169" s="702" t="n">
        <v>0</v>
      </c>
      <c r="D169" s="702" t="n">
        <v>0</v>
      </c>
      <c r="E169" s="702" t="n">
        <v>0</v>
      </c>
      <c r="F169" s="702" t="n">
        <v>0</v>
      </c>
      <c r="G169" s="702" t="n">
        <v>0</v>
      </c>
      <c r="H169" s="702" t="n">
        <v>0</v>
      </c>
      <c r="I169" s="702" t="n">
        <v>0</v>
      </c>
      <c r="J169" s="702" t="n">
        <v>0</v>
      </c>
      <c r="K169" s="702" t="n">
        <v>0</v>
      </c>
      <c r="L169" s="702" t="n">
        <v>0</v>
      </c>
      <c r="M169" s="702" t="n">
        <v>0</v>
      </c>
      <c r="N169" s="702" t="n">
        <v>0</v>
      </c>
      <c r="O169" s="702" t="n">
        <v>0</v>
      </c>
      <c r="P169" s="702" t="n">
        <v>1</v>
      </c>
      <c r="Q169" s="702" t="n">
        <v>0</v>
      </c>
      <c r="R169" s="702" t="n">
        <v>0</v>
      </c>
      <c r="S169" s="702" t="n">
        <v>0</v>
      </c>
      <c r="T169" s="702" t="n">
        <v>0</v>
      </c>
      <c r="U169" s="702" t="n">
        <v>0</v>
      </c>
      <c r="V169" s="702" t="n">
        <v>0</v>
      </c>
      <c r="W169" s="702" t="n">
        <v>0</v>
      </c>
      <c r="X169" s="702" t="n">
        <v>0</v>
      </c>
      <c r="Y169" s="702" t="n">
        <v>0</v>
      </c>
      <c r="Z169" s="702" t="n">
        <v>0</v>
      </c>
      <c r="AA169" s="702" t="n">
        <v>0</v>
      </c>
      <c r="AB169" s="702" t="n">
        <v>0</v>
      </c>
      <c r="AC169" s="702" t="n">
        <v>0</v>
      </c>
      <c r="AD169" s="702" t="n">
        <v>0</v>
      </c>
      <c r="AE169" s="702" t="n">
        <v>0</v>
      </c>
      <c r="AF169" s="702" t="n">
        <v>0</v>
      </c>
      <c r="AG169" s="703" t="n">
        <v>0</v>
      </c>
      <c r="AH169" s="704" t="n"/>
      <c r="AI169" s="23" t="n">
        <v>15</v>
      </c>
      <c r="AJ169" s="543" t="n">
        <v>-0.003422558325052283</v>
      </c>
      <c r="AK169" s="1" t="n">
        <v>0.007601043431728169</v>
      </c>
      <c r="AL169" s="1" t="n">
        <v>-0.001807323661064293</v>
      </c>
      <c r="AM169" s="1" t="n">
        <v>-0.0006975147267583789</v>
      </c>
      <c r="AN169" s="1" t="n">
        <v>0.04355955306684373</v>
      </c>
      <c r="AO169" s="1" t="n">
        <v>-0.02088352800120589</v>
      </c>
      <c r="AP169" s="1" t="n">
        <v>0.006963641220783664</v>
      </c>
      <c r="AQ169" s="1" t="n">
        <v>-0.0006975138154296512</v>
      </c>
      <c r="AR169" s="1" t="n">
        <v>-0.003248901266539282</v>
      </c>
      <c r="AS169" s="1" t="n">
        <v>0.03602766232087037</v>
      </c>
      <c r="AT169" s="1" t="n">
        <v>-0.01206533178943232</v>
      </c>
      <c r="AU169" s="1" t="n">
        <v>-0.003422553211566884</v>
      </c>
      <c r="AV169" s="1" t="n">
        <v>0.1994885778385146</v>
      </c>
      <c r="AW169" s="1" t="n">
        <v>0.09157367074533468</v>
      </c>
      <c r="AX169" s="1" t="n">
        <v>0.30842411295149</v>
      </c>
      <c r="AY169" s="1" t="n">
        <v>0.001113707274312987</v>
      </c>
      <c r="AZ169" s="1" t="n">
        <v>0.05064030198678697</v>
      </c>
      <c r="BA169" s="1" t="n">
        <v>0.1520470986176837</v>
      </c>
      <c r="BB169" s="1" t="n">
        <v>0.04404810914419161</v>
      </c>
      <c r="BC169" s="1" t="n">
        <v>-0.02251917707373205</v>
      </c>
      <c r="BD169" s="1" t="n">
        <v>-0.05870167242473662</v>
      </c>
      <c r="BE169" s="1" t="n">
        <v>0.2895526943706747</v>
      </c>
      <c r="BF169" s="1" t="n">
        <v>-0.095108971377246</v>
      </c>
      <c r="BG169" s="1" t="n">
        <v>-0.06642153965916112</v>
      </c>
      <c r="BH169" s="1" t="n">
        <v>-0.03947538424309631</v>
      </c>
      <c r="BI169" s="1" t="n">
        <v>-0.0298451266664346</v>
      </c>
      <c r="BJ169" s="1" t="n">
        <v>0.004334476048433266</v>
      </c>
      <c r="BK169" s="1" t="n">
        <v>-0.01133203471735218</v>
      </c>
      <c r="BL169" s="1" t="n">
        <v>0.03905277602905043</v>
      </c>
      <c r="BM169" s="1" t="n">
        <v>0.01413420150545487</v>
      </c>
      <c r="BN169" s="1" t="n">
        <v>-0.02117319300473115</v>
      </c>
      <c r="BO169" s="544" t="n">
        <v>0.165983920792714</v>
      </c>
      <c r="BP169" s="23" t="n"/>
      <c r="BQ169" s="705" t="n"/>
      <c r="BR169" s="487" t="n"/>
      <c r="BS169" s="487" t="n"/>
      <c r="BT169" s="487" t="n"/>
    </row>
    <row r="170">
      <c r="A170" t="n">
        <v>16</v>
      </c>
      <c r="B170" s="701" t="n">
        <v>0</v>
      </c>
      <c r="C170" s="702" t="n">
        <v>0</v>
      </c>
      <c r="D170" s="702" t="n">
        <v>0</v>
      </c>
      <c r="E170" s="702" t="n">
        <v>0</v>
      </c>
      <c r="F170" s="702" t="n">
        <v>0</v>
      </c>
      <c r="G170" s="702" t="n">
        <v>0</v>
      </c>
      <c r="H170" s="702" t="n">
        <v>0</v>
      </c>
      <c r="I170" s="702" t="n">
        <v>0</v>
      </c>
      <c r="J170" s="702" t="n">
        <v>0</v>
      </c>
      <c r="K170" s="702" t="n">
        <v>0</v>
      </c>
      <c r="L170" s="702" t="n">
        <v>0</v>
      </c>
      <c r="M170" s="702" t="n">
        <v>0</v>
      </c>
      <c r="N170" s="702" t="n">
        <v>0</v>
      </c>
      <c r="O170" s="702" t="n">
        <v>0</v>
      </c>
      <c r="P170" s="702" t="n">
        <v>0</v>
      </c>
      <c r="Q170" s="702" t="n">
        <v>1</v>
      </c>
      <c r="R170" s="702" t="n">
        <v>0</v>
      </c>
      <c r="S170" s="702" t="n">
        <v>0</v>
      </c>
      <c r="T170" s="702" t="n">
        <v>0</v>
      </c>
      <c r="U170" s="702" t="n">
        <v>0</v>
      </c>
      <c r="V170" s="702" t="n">
        <v>0</v>
      </c>
      <c r="W170" s="702" t="n">
        <v>0</v>
      </c>
      <c r="X170" s="702" t="n">
        <v>0</v>
      </c>
      <c r="Y170" s="702" t="n">
        <v>0</v>
      </c>
      <c r="Z170" s="702" t="n">
        <v>0</v>
      </c>
      <c r="AA170" s="702" t="n">
        <v>0</v>
      </c>
      <c r="AB170" s="702" t="n">
        <v>0</v>
      </c>
      <c r="AC170" s="702" t="n">
        <v>0</v>
      </c>
      <c r="AD170" s="702" t="n">
        <v>0</v>
      </c>
      <c r="AE170" s="702" t="n">
        <v>0</v>
      </c>
      <c r="AF170" s="702" t="n">
        <v>0</v>
      </c>
      <c r="AG170" s="703" t="n">
        <v>0</v>
      </c>
      <c r="AH170" s="704" t="n"/>
      <c r="AI170" s="23" t="n">
        <v>16</v>
      </c>
      <c r="AJ170" s="543" t="n">
        <v>0.01111421728776116</v>
      </c>
      <c r="AK170" s="1" t="n">
        <v>-0.009675547400277068</v>
      </c>
      <c r="AL170" s="1" t="n">
        <v>-0.00632538680988335</v>
      </c>
      <c r="AM170" s="1" t="n">
        <v>-0.005437583779363014</v>
      </c>
      <c r="AN170" s="1" t="n">
        <v>0.0378504213937672</v>
      </c>
      <c r="AO170" s="1" t="n">
        <v>-0.01847167442388977</v>
      </c>
      <c r="AP170" s="1" t="n">
        <v>-0.00240992527788662</v>
      </c>
      <c r="AQ170" s="1" t="n">
        <v>-0.005437576674959151</v>
      </c>
      <c r="AR170" s="1" t="n">
        <v>-0.01598158917279591</v>
      </c>
      <c r="AS170" s="1" t="n">
        <v>-0.03665632226493633</v>
      </c>
      <c r="AT170" s="1" t="n">
        <v>0.0199079901674988</v>
      </c>
      <c r="AU170" s="1" t="n">
        <v>0.01111420068252535</v>
      </c>
      <c r="AV170" s="1" t="n">
        <v>0.1253872581092395</v>
      </c>
      <c r="AW170" s="1" t="n">
        <v>-0.05385572838046873</v>
      </c>
      <c r="AX170" s="1" t="n">
        <v>0.00111370727431305</v>
      </c>
      <c r="AY170" s="1" t="n">
        <v>0.3272401493431888</v>
      </c>
      <c r="AZ170" s="1" t="n">
        <v>0.2153580034902632</v>
      </c>
      <c r="BA170" s="1" t="n">
        <v>0.1201631261101894</v>
      </c>
      <c r="BB170" s="1" t="n">
        <v>0.04543820376855385</v>
      </c>
      <c r="BC170" s="1" t="n">
        <v>-0.03668327546413586</v>
      </c>
      <c r="BD170" s="1" t="n">
        <v>-0.0326892848541913</v>
      </c>
      <c r="BE170" s="1" t="n">
        <v>-0.0989048896234512</v>
      </c>
      <c r="BF170" s="1" t="n">
        <v>0.3137786900277659</v>
      </c>
      <c r="BG170" s="1" t="n">
        <v>-0.1018678600586363</v>
      </c>
      <c r="BH170" s="1" t="n">
        <v>-0.03669071898313035</v>
      </c>
      <c r="BI170" s="1" t="n">
        <v>-0.04362593650835674</v>
      </c>
      <c r="BJ170" s="1" t="n">
        <v>0.0227790289654613</v>
      </c>
      <c r="BK170" s="1" t="n">
        <v>-0.03554301492559187</v>
      </c>
      <c r="BL170" s="1" t="n">
        <v>0.04816081969468813</v>
      </c>
      <c r="BM170" s="1" t="n">
        <v>0.03762901456087535</v>
      </c>
      <c r="BN170" s="1" t="n">
        <v>-0.04251325230208894</v>
      </c>
      <c r="BO170" s="544" t="n">
        <v>-0.05317563762107445</v>
      </c>
      <c r="BP170" s="23" t="n"/>
      <c r="BQ170" s="705" t="n"/>
      <c r="BR170" s="487" t="n"/>
      <c r="BS170" s="487" t="n"/>
      <c r="BT170" s="487" t="n"/>
    </row>
    <row r="171">
      <c r="A171" t="n">
        <v>17</v>
      </c>
      <c r="B171" s="701" t="n">
        <v>0</v>
      </c>
      <c r="C171" s="702" t="n">
        <v>0</v>
      </c>
      <c r="D171" s="702" t="n">
        <v>0</v>
      </c>
      <c r="E171" s="702" t="n">
        <v>0</v>
      </c>
      <c r="F171" s="702" t="n">
        <v>0</v>
      </c>
      <c r="G171" s="702" t="n">
        <v>0</v>
      </c>
      <c r="H171" s="702" t="n">
        <v>0</v>
      </c>
      <c r="I171" s="702" t="n">
        <v>0</v>
      </c>
      <c r="J171" s="702" t="n">
        <v>0</v>
      </c>
      <c r="K171" s="702" t="n">
        <v>0</v>
      </c>
      <c r="L171" s="702" t="n">
        <v>0</v>
      </c>
      <c r="M171" s="702" t="n">
        <v>0</v>
      </c>
      <c r="N171" s="702" t="n">
        <v>0</v>
      </c>
      <c r="O171" s="702" t="n">
        <v>0</v>
      </c>
      <c r="P171" s="702" t="n">
        <v>0</v>
      </c>
      <c r="Q171" s="702" t="n">
        <v>0</v>
      </c>
      <c r="R171" s="702" t="n">
        <v>1</v>
      </c>
      <c r="S171" s="702" t="n">
        <v>0</v>
      </c>
      <c r="T171" s="702" t="n">
        <v>0</v>
      </c>
      <c r="U171" s="702" t="n">
        <v>0</v>
      </c>
      <c r="V171" s="702" t="n">
        <v>0</v>
      </c>
      <c r="W171" s="702" t="n">
        <v>0</v>
      </c>
      <c r="X171" s="702" t="n">
        <v>0</v>
      </c>
      <c r="Y171" s="702" t="n">
        <v>0</v>
      </c>
      <c r="Z171" s="702" t="n">
        <v>0</v>
      </c>
      <c r="AA171" s="702" t="n">
        <v>0</v>
      </c>
      <c r="AB171" s="702" t="n">
        <v>0</v>
      </c>
      <c r="AC171" s="702" t="n">
        <v>0</v>
      </c>
      <c r="AD171" s="702" t="n">
        <v>0</v>
      </c>
      <c r="AE171" s="702" t="n">
        <v>0</v>
      </c>
      <c r="AF171" s="702" t="n">
        <v>0</v>
      </c>
      <c r="AG171" s="703" t="n">
        <v>0</v>
      </c>
      <c r="AH171" s="704" t="n"/>
      <c r="AI171" s="23" t="n">
        <v>17</v>
      </c>
      <c r="AJ171" s="543" t="n">
        <v>0.01140149479472647</v>
      </c>
      <c r="AK171" s="1" t="n">
        <v>0.1072162623763003</v>
      </c>
      <c r="AL171" s="1" t="n">
        <v>0.03104727735210993</v>
      </c>
      <c r="AM171" s="1" t="n">
        <v>0.003286706841081328</v>
      </c>
      <c r="AN171" s="1" t="n">
        <v>0.07785093727603098</v>
      </c>
      <c r="AO171" s="1" t="n">
        <v>-0.002696044899369396</v>
      </c>
      <c r="AP171" s="1" t="n">
        <v>0.04937570180935101</v>
      </c>
      <c r="AQ171" s="1" t="n">
        <v>0.003286702546877535</v>
      </c>
      <c r="AR171" s="1" t="n">
        <v>0.04864292500816361</v>
      </c>
      <c r="AS171" s="1" t="n">
        <v>-0.02975849850209907</v>
      </c>
      <c r="AT171" s="1" t="n">
        <v>0.006969318240715429</v>
      </c>
      <c r="AU171" s="1" t="n">
        <v>0.01140147776028272</v>
      </c>
      <c r="AV171" s="1" t="n">
        <v>0.05921722539199703</v>
      </c>
      <c r="AW171" s="1" t="n">
        <v>-0.03414001111333381</v>
      </c>
      <c r="AX171" s="1" t="n">
        <v>0.050640301986787</v>
      </c>
      <c r="AY171" s="1" t="n">
        <v>0.2153580034902633</v>
      </c>
      <c r="AZ171" s="1" t="n">
        <v>0.3005427669966976</v>
      </c>
      <c r="BA171" s="1" t="n">
        <v>0.1788412043141768</v>
      </c>
      <c r="BB171" s="1" t="n">
        <v>0.05785075581306319</v>
      </c>
      <c r="BC171" s="1" t="n">
        <v>0.03174481940607909</v>
      </c>
      <c r="BD171" s="1" t="n">
        <v>-0.02696207302751912</v>
      </c>
      <c r="BE171" s="1" t="n">
        <v>-0.09311240140686428</v>
      </c>
      <c r="BF171" s="1" t="n">
        <v>0.170323156896754</v>
      </c>
      <c r="BG171" s="1" t="n">
        <v>0.08144026721284307</v>
      </c>
      <c r="BH171" s="1" t="n">
        <v>-0.08646139446019074</v>
      </c>
      <c r="BI171" s="1" t="n">
        <v>-0.04522755521502293</v>
      </c>
      <c r="BJ171" s="1" t="n">
        <v>-0.07673547688908988</v>
      </c>
      <c r="BK171" s="1" t="n">
        <v>0.09080955442687551</v>
      </c>
      <c r="BL171" s="1" t="n">
        <v>0.03527790109846728</v>
      </c>
      <c r="BM171" s="1" t="n">
        <v>-0.07846698971604693</v>
      </c>
      <c r="BN171" s="1" t="n">
        <v>0.03104007110158984</v>
      </c>
      <c r="BO171" s="544" t="n">
        <v>0.1365835755461867</v>
      </c>
      <c r="BP171" s="23" t="n"/>
      <c r="BQ171" s="705" t="n"/>
      <c r="BR171" s="487" t="n"/>
      <c r="BS171" s="487" t="n"/>
      <c r="BT171" s="487" t="n"/>
    </row>
    <row r="172">
      <c r="A172" t="n">
        <v>18</v>
      </c>
      <c r="B172" s="701" t="n">
        <v>0</v>
      </c>
      <c r="C172" s="702" t="n">
        <v>0</v>
      </c>
      <c r="D172" s="702" t="n">
        <v>0</v>
      </c>
      <c r="E172" s="702" t="n">
        <v>0</v>
      </c>
      <c r="F172" s="702" t="n">
        <v>0</v>
      </c>
      <c r="G172" s="702" t="n">
        <v>0</v>
      </c>
      <c r="H172" s="702" t="n">
        <v>0</v>
      </c>
      <c r="I172" s="702" t="n">
        <v>0</v>
      </c>
      <c r="J172" s="702" t="n">
        <v>0</v>
      </c>
      <c r="K172" s="702" t="n">
        <v>0</v>
      </c>
      <c r="L172" s="702" t="n">
        <v>0</v>
      </c>
      <c r="M172" s="702" t="n">
        <v>0</v>
      </c>
      <c r="N172" s="702" t="n">
        <v>0</v>
      </c>
      <c r="O172" s="702" t="n">
        <v>0</v>
      </c>
      <c r="P172" s="702" t="n">
        <v>0</v>
      </c>
      <c r="Q172" s="702" t="n">
        <v>0</v>
      </c>
      <c r="R172" s="702" t="n">
        <v>0</v>
      </c>
      <c r="S172" s="702" t="n">
        <v>1</v>
      </c>
      <c r="T172" s="702" t="n">
        <v>0</v>
      </c>
      <c r="U172" s="702" t="n">
        <v>0</v>
      </c>
      <c r="V172" s="702" t="n">
        <v>0</v>
      </c>
      <c r="W172" s="702" t="n">
        <v>0</v>
      </c>
      <c r="X172" s="702" t="n">
        <v>0</v>
      </c>
      <c r="Y172" s="702" t="n">
        <v>0</v>
      </c>
      <c r="Z172" s="702" t="n">
        <v>0</v>
      </c>
      <c r="AA172" s="702" t="n">
        <v>0</v>
      </c>
      <c r="AB172" s="702" t="n">
        <v>0</v>
      </c>
      <c r="AC172" s="702" t="n">
        <v>0</v>
      </c>
      <c r="AD172" s="702" t="n">
        <v>0</v>
      </c>
      <c r="AE172" s="702" t="n">
        <v>0</v>
      </c>
      <c r="AF172" s="702" t="n">
        <v>0</v>
      </c>
      <c r="AG172" s="703" t="n">
        <v>0</v>
      </c>
      <c r="AH172" s="704" t="n"/>
      <c r="AI172" s="23" t="n">
        <v>18</v>
      </c>
      <c r="AJ172" s="543" t="n">
        <v>0.03346618823590722</v>
      </c>
      <c r="AK172" s="1" t="n">
        <v>0.0442458052230739</v>
      </c>
      <c r="AL172" s="1" t="n">
        <v>0.0133041566363398</v>
      </c>
      <c r="AM172" s="1" t="n">
        <v>0.01966480534370845</v>
      </c>
      <c r="AN172" s="1" t="n">
        <v>0.04508624021858285</v>
      </c>
      <c r="AO172" s="1" t="n">
        <v>0.007429510648082321</v>
      </c>
      <c r="AP172" s="1" t="n">
        <v>-0.01692665638065235</v>
      </c>
      <c r="AQ172" s="1" t="n">
        <v>0.01966477965091462</v>
      </c>
      <c r="AR172" s="1" t="n">
        <v>0.03096357602493108</v>
      </c>
      <c r="AS172" s="1" t="n">
        <v>-0.03180404754121952</v>
      </c>
      <c r="AT172" s="1" t="n">
        <v>-0.02803309435398214</v>
      </c>
      <c r="AU172" s="1" t="n">
        <v>0.03346613823562992</v>
      </c>
      <c r="AV172" s="1" t="n">
        <v>0.0455689512477913</v>
      </c>
      <c r="AW172" s="1" t="n">
        <v>-0.05991131054364238</v>
      </c>
      <c r="AX172" s="1" t="n">
        <v>0.1520470986176838</v>
      </c>
      <c r="AY172" s="1" t="n">
        <v>0.1201631261101893</v>
      </c>
      <c r="AZ172" s="1" t="n">
        <v>0.1788412043141768</v>
      </c>
      <c r="BA172" s="1" t="n">
        <v>0.2917425975819045</v>
      </c>
      <c r="BB172" s="1" t="n">
        <v>0.06354892916736758</v>
      </c>
      <c r="BC172" s="1" t="n">
        <v>-0.03491106352929272</v>
      </c>
      <c r="BD172" s="1" t="n">
        <v>0.0880945201991253</v>
      </c>
      <c r="BE172" s="1" t="n">
        <v>-0.03437698075048212</v>
      </c>
      <c r="BF172" s="1" t="n">
        <v>-0.03260459656905967</v>
      </c>
      <c r="BG172" s="1" t="n">
        <v>-0.07352833247441164</v>
      </c>
      <c r="BH172" s="1" t="n">
        <v>0.006685514975389661</v>
      </c>
      <c r="BI172" s="1" t="n">
        <v>0.04572987461943849</v>
      </c>
      <c r="BJ172" s="1" t="n">
        <v>-0.008771981749374238</v>
      </c>
      <c r="BK172" s="1" t="n">
        <v>-0.02813626685743259</v>
      </c>
      <c r="BL172" s="1" t="n">
        <v>0.1095951633761858</v>
      </c>
      <c r="BM172" s="1" t="n">
        <v>0.02128905914088081</v>
      </c>
      <c r="BN172" s="1" t="n">
        <v>-0.102308034136753</v>
      </c>
      <c r="BO172" s="544" t="n">
        <v>0.2730159833621024</v>
      </c>
      <c r="BP172" s="23" t="n"/>
      <c r="BQ172" s="705" t="n"/>
      <c r="BR172" s="487" t="n"/>
      <c r="BS172" s="487" t="n"/>
      <c r="BT172" s="487" t="n"/>
    </row>
    <row r="173">
      <c r="A173" t="n">
        <v>19</v>
      </c>
      <c r="B173" s="701" t="n">
        <v>0</v>
      </c>
      <c r="C173" s="702" t="n">
        <v>0</v>
      </c>
      <c r="D173" s="702" t="n">
        <v>0</v>
      </c>
      <c r="E173" s="702" t="n">
        <v>0</v>
      </c>
      <c r="F173" s="702" t="n">
        <v>0</v>
      </c>
      <c r="G173" s="702" t="n">
        <v>0</v>
      </c>
      <c r="H173" s="702" t="n">
        <v>0</v>
      </c>
      <c r="I173" s="702" t="n">
        <v>0</v>
      </c>
      <c r="J173" s="702" t="n">
        <v>0</v>
      </c>
      <c r="K173" s="702" t="n">
        <v>0</v>
      </c>
      <c r="L173" s="702" t="n">
        <v>0</v>
      </c>
      <c r="M173" s="702" t="n">
        <v>0</v>
      </c>
      <c r="N173" s="702" t="n">
        <v>0</v>
      </c>
      <c r="O173" s="702" t="n">
        <v>0</v>
      </c>
      <c r="P173" s="702" t="n">
        <v>0</v>
      </c>
      <c r="Q173" s="702" t="n">
        <v>0</v>
      </c>
      <c r="R173" s="702" t="n">
        <v>0</v>
      </c>
      <c r="S173" s="702" t="n">
        <v>0</v>
      </c>
      <c r="T173" s="702" t="n">
        <v>1</v>
      </c>
      <c r="U173" s="702" t="n">
        <v>0</v>
      </c>
      <c r="V173" s="702" t="n">
        <v>0</v>
      </c>
      <c r="W173" s="702" t="n">
        <v>0</v>
      </c>
      <c r="X173" s="702" t="n">
        <v>0</v>
      </c>
      <c r="Y173" s="702" t="n">
        <v>0</v>
      </c>
      <c r="Z173" s="702" t="n">
        <v>0</v>
      </c>
      <c r="AA173" s="702" t="n">
        <v>0</v>
      </c>
      <c r="AB173" s="702" t="n">
        <v>0</v>
      </c>
      <c r="AC173" s="702" t="n">
        <v>0</v>
      </c>
      <c r="AD173" s="702" t="n">
        <v>0</v>
      </c>
      <c r="AE173" s="702" t="n">
        <v>0</v>
      </c>
      <c r="AF173" s="702" t="n">
        <v>0</v>
      </c>
      <c r="AG173" s="703" t="n">
        <v>0</v>
      </c>
      <c r="AH173" s="704" t="n"/>
      <c r="AI173" s="23" t="n">
        <v>19</v>
      </c>
      <c r="AJ173" s="543" t="n">
        <v>0.04948655233166155</v>
      </c>
      <c r="AK173" s="1" t="n">
        <v>0.05562179797405704</v>
      </c>
      <c r="AL173" s="1" t="n">
        <v>0.1758855451078051</v>
      </c>
      <c r="AM173" s="1" t="n">
        <v>0.01050748804631615</v>
      </c>
      <c r="AN173" s="1" t="n">
        <v>0.1195778297030721</v>
      </c>
      <c r="AO173" s="1" t="n">
        <v>-0.003620916405079833</v>
      </c>
      <c r="AP173" s="1" t="n">
        <v>-0.02537039698778683</v>
      </c>
      <c r="AQ173" s="1" t="n">
        <v>0.01050747431789525</v>
      </c>
      <c r="AR173" s="1" t="n">
        <v>0.1595715360825058</v>
      </c>
      <c r="AS173" s="1" t="n">
        <v>-0.02985310598476083</v>
      </c>
      <c r="AT173" s="1" t="n">
        <v>-0.04737364913042352</v>
      </c>
      <c r="AU173" s="1" t="n">
        <v>0.04948647839610242</v>
      </c>
      <c r="AV173" s="1" t="n">
        <v>0.0744820891901833</v>
      </c>
      <c r="AW173" s="1" t="n">
        <v>-0.04149602164619862</v>
      </c>
      <c r="AX173" s="1" t="n">
        <v>0.04404810914419165</v>
      </c>
      <c r="AY173" s="1" t="n">
        <v>0.04543820376855383</v>
      </c>
      <c r="AZ173" s="1" t="n">
        <v>0.05785075581306316</v>
      </c>
      <c r="BA173" s="1" t="n">
        <v>0.06354892916736754</v>
      </c>
      <c r="BB173" s="1" t="n">
        <v>0.2918674994107393</v>
      </c>
      <c r="BC173" s="1" t="n">
        <v>0.2290225769444584</v>
      </c>
      <c r="BD173" s="1" t="n">
        <v>0.09587026389028774</v>
      </c>
      <c r="BE173" s="1" t="n">
        <v>0.02734402568393159</v>
      </c>
      <c r="BF173" s="1" t="n">
        <v>-0.04422360979248464</v>
      </c>
      <c r="BG173" s="1" t="n">
        <v>-0.06680749727941569</v>
      </c>
      <c r="BH173" s="1" t="n">
        <v>-0.06074999179841675</v>
      </c>
      <c r="BI173" s="1" t="n">
        <v>0.04856680929609776</v>
      </c>
      <c r="BJ173" s="1" t="n">
        <v>-0.008272791714942856</v>
      </c>
      <c r="BK173" s="1" t="n">
        <v>-0.1228320024587244</v>
      </c>
      <c r="BL173" s="1" t="n">
        <v>-0.07885982578756551</v>
      </c>
      <c r="BM173" s="1" t="n">
        <v>0.02538744358524181</v>
      </c>
      <c r="BN173" s="1" t="n">
        <v>0.02097463043649259</v>
      </c>
      <c r="BO173" s="544" t="n">
        <v>-0.08944894431948354</v>
      </c>
      <c r="BP173" s="23" t="n"/>
      <c r="BQ173" s="705" t="n"/>
      <c r="BR173" s="487" t="n"/>
      <c r="BS173" s="487" t="n"/>
      <c r="BT173" s="487" t="n"/>
    </row>
    <row r="174">
      <c r="A174" t="n">
        <v>20</v>
      </c>
      <c r="B174" s="701" t="n">
        <v>0</v>
      </c>
      <c r="C174" s="702" t="n">
        <v>0</v>
      </c>
      <c r="D174" s="702" t="n">
        <v>0</v>
      </c>
      <c r="E174" s="702" t="n">
        <v>0</v>
      </c>
      <c r="F174" s="702" t="n">
        <v>0</v>
      </c>
      <c r="G174" s="702" t="n">
        <v>0</v>
      </c>
      <c r="H174" s="702" t="n">
        <v>0</v>
      </c>
      <c r="I174" s="702" t="n">
        <v>0</v>
      </c>
      <c r="J174" s="702" t="n">
        <v>0</v>
      </c>
      <c r="K174" s="702" t="n">
        <v>0</v>
      </c>
      <c r="L174" s="702" t="n">
        <v>0</v>
      </c>
      <c r="M174" s="702" t="n">
        <v>0</v>
      </c>
      <c r="N174" s="702" t="n">
        <v>0</v>
      </c>
      <c r="O174" s="702" t="n">
        <v>0</v>
      </c>
      <c r="P174" s="702" t="n">
        <v>0</v>
      </c>
      <c r="Q174" s="702" t="n">
        <v>0</v>
      </c>
      <c r="R174" s="702" t="n">
        <v>0</v>
      </c>
      <c r="S174" s="702" t="n">
        <v>0</v>
      </c>
      <c r="T174" s="702" t="n">
        <v>0</v>
      </c>
      <c r="U174" s="702" t="n">
        <v>1</v>
      </c>
      <c r="V174" s="702" t="n">
        <v>0</v>
      </c>
      <c r="W174" s="702" t="n">
        <v>0</v>
      </c>
      <c r="X174" s="702" t="n">
        <v>0</v>
      </c>
      <c r="Y174" s="702" t="n">
        <v>0</v>
      </c>
      <c r="Z174" s="702" t="n">
        <v>0</v>
      </c>
      <c r="AA174" s="702" t="n">
        <v>0</v>
      </c>
      <c r="AB174" s="702" t="n">
        <v>0</v>
      </c>
      <c r="AC174" s="702" t="n">
        <v>0</v>
      </c>
      <c r="AD174" s="702" t="n">
        <v>0</v>
      </c>
      <c r="AE174" s="702" t="n">
        <v>0</v>
      </c>
      <c r="AF174" s="702" t="n">
        <v>0</v>
      </c>
      <c r="AG174" s="703" t="n">
        <v>0</v>
      </c>
      <c r="AH174" s="704" t="n"/>
      <c r="AI174" s="23" t="n">
        <v>20</v>
      </c>
      <c r="AJ174" s="543" t="n">
        <v>-0.003678995166684337</v>
      </c>
      <c r="AK174" s="1" t="n">
        <v>0.04271701676241851</v>
      </c>
      <c r="AL174" s="1" t="n">
        <v>0.1696800932772771</v>
      </c>
      <c r="AM174" s="1" t="n">
        <v>-0.03607725099688394</v>
      </c>
      <c r="AN174" s="1" t="n">
        <v>0.007906112256961896</v>
      </c>
      <c r="AO174" s="1" t="n">
        <v>-0.02965808645611059</v>
      </c>
      <c r="AP174" s="1" t="n">
        <v>-0.05511244729893827</v>
      </c>
      <c r="AQ174" s="1" t="n">
        <v>-0.03607720386062423</v>
      </c>
      <c r="AR174" s="1" t="n">
        <v>0.08269274562676246</v>
      </c>
      <c r="AS174" s="1" t="n">
        <v>0.009419494735110265</v>
      </c>
      <c r="AT174" s="1" t="n">
        <v>0.01220056068787047</v>
      </c>
      <c r="AU174" s="1" t="n">
        <v>-0.003678989670068605</v>
      </c>
      <c r="AV174" s="1" t="n">
        <v>-0.03295303453910083</v>
      </c>
      <c r="AW174" s="1" t="n">
        <v>0.02219952352797653</v>
      </c>
      <c r="AX174" s="1" t="n">
        <v>-0.02251917707373205</v>
      </c>
      <c r="AY174" s="1" t="n">
        <v>-0.03668327546413585</v>
      </c>
      <c r="AZ174" s="1" t="n">
        <v>0.03174481940607911</v>
      </c>
      <c r="BA174" s="1" t="n">
        <v>-0.03491106352929277</v>
      </c>
      <c r="BB174" s="1" t="n">
        <v>0.2290225769444584</v>
      </c>
      <c r="BC174" s="1" t="n">
        <v>0.4457262820437831</v>
      </c>
      <c r="BD174" s="1" t="n">
        <v>-0.04262813097134696</v>
      </c>
      <c r="BE174" s="1" t="n">
        <v>-0.01188929758152088</v>
      </c>
      <c r="BF174" s="1" t="n">
        <v>-0.003960769164166378</v>
      </c>
      <c r="BG174" s="1" t="n">
        <v>0.1056285050798346</v>
      </c>
      <c r="BH174" s="1" t="n">
        <v>-0.02906235103127444</v>
      </c>
      <c r="BI174" s="1" t="n">
        <v>-0.01808795633152591</v>
      </c>
      <c r="BJ174" s="1" t="n">
        <v>0.1098995379002177</v>
      </c>
      <c r="BK174" s="1" t="n">
        <v>-0.2337293776340936</v>
      </c>
      <c r="BL174" s="1" t="n">
        <v>-0.1181164011853632</v>
      </c>
      <c r="BM174" s="1" t="n">
        <v>-0.2120809696439619</v>
      </c>
      <c r="BN174" s="1" t="n">
        <v>0.0646292073297115</v>
      </c>
      <c r="BO174" s="544" t="n">
        <v>0.02293698108650909</v>
      </c>
      <c r="BP174" s="23" t="n"/>
      <c r="BQ174" s="705" t="n"/>
      <c r="BR174" s="487" t="n"/>
      <c r="BS174" s="487" t="n"/>
      <c r="BT174" s="487" t="n"/>
    </row>
    <row r="175">
      <c r="A175" t="n">
        <v>21</v>
      </c>
      <c r="B175" s="701" t="n">
        <v>0</v>
      </c>
      <c r="C175" s="702" t="n">
        <v>0</v>
      </c>
      <c r="D175" s="702" t="n">
        <v>0</v>
      </c>
      <c r="E175" s="702" t="n">
        <v>0</v>
      </c>
      <c r="F175" s="702" t="n">
        <v>0</v>
      </c>
      <c r="G175" s="702" t="n">
        <v>0</v>
      </c>
      <c r="H175" s="702" t="n">
        <v>0</v>
      </c>
      <c r="I175" s="702" t="n">
        <v>0</v>
      </c>
      <c r="J175" s="702" t="n">
        <v>0</v>
      </c>
      <c r="K175" s="702" t="n">
        <v>0</v>
      </c>
      <c r="L175" s="702" t="n">
        <v>0</v>
      </c>
      <c r="M175" s="702" t="n">
        <v>0</v>
      </c>
      <c r="N175" s="702" t="n">
        <v>0</v>
      </c>
      <c r="O175" s="702" t="n">
        <v>0</v>
      </c>
      <c r="P175" s="702" t="n">
        <v>0</v>
      </c>
      <c r="Q175" s="702" t="n">
        <v>0</v>
      </c>
      <c r="R175" s="702" t="n">
        <v>0</v>
      </c>
      <c r="S175" s="702" t="n">
        <v>0</v>
      </c>
      <c r="T175" s="702" t="n">
        <v>0</v>
      </c>
      <c r="U175" s="702" t="n">
        <v>0</v>
      </c>
      <c r="V175" s="702" t="n">
        <v>1</v>
      </c>
      <c r="W175" s="702" t="n">
        <v>0</v>
      </c>
      <c r="X175" s="702" t="n">
        <v>0</v>
      </c>
      <c r="Y175" s="702" t="n">
        <v>0</v>
      </c>
      <c r="Z175" s="702" t="n">
        <v>0</v>
      </c>
      <c r="AA175" s="702" t="n">
        <v>0</v>
      </c>
      <c r="AB175" s="702" t="n">
        <v>0</v>
      </c>
      <c r="AC175" s="702" t="n">
        <v>0</v>
      </c>
      <c r="AD175" s="702" t="n">
        <v>0</v>
      </c>
      <c r="AE175" s="702" t="n">
        <v>0</v>
      </c>
      <c r="AF175" s="702" t="n">
        <v>0</v>
      </c>
      <c r="AG175" s="703" t="n">
        <v>0</v>
      </c>
      <c r="AH175" s="704" t="n"/>
      <c r="AI175" s="23" t="n">
        <v>21</v>
      </c>
      <c r="AJ175" s="543" t="n">
        <v>-0.04618930495752267</v>
      </c>
      <c r="AK175" s="1" t="n">
        <v>-0.004791714670850641</v>
      </c>
      <c r="AL175" s="1" t="n">
        <v>-0.01562749707860341</v>
      </c>
      <c r="AM175" s="1" t="n">
        <v>-0.01566287115855243</v>
      </c>
      <c r="AN175" s="1" t="n">
        <v>0.1117360709895802</v>
      </c>
      <c r="AO175" s="1" t="n">
        <v>-0.07788604210536973</v>
      </c>
      <c r="AP175" s="1" t="n">
        <v>0.03990293944046666</v>
      </c>
      <c r="AQ175" s="1" t="n">
        <v>-0.01566285069443329</v>
      </c>
      <c r="AR175" s="1" t="n">
        <v>-0.03100721610365363</v>
      </c>
      <c r="AS175" s="1" t="n">
        <v>0.1863606877085181</v>
      </c>
      <c r="AT175" s="1" t="n">
        <v>-0.03551891782925916</v>
      </c>
      <c r="AU175" s="1" t="n">
        <v>-0.04618923594822773</v>
      </c>
      <c r="AV175" s="1" t="n">
        <v>-0.06345350516973378</v>
      </c>
      <c r="AW175" s="1" t="n">
        <v>-0.07457033706959285</v>
      </c>
      <c r="AX175" s="1" t="n">
        <v>-0.05870167242473659</v>
      </c>
      <c r="AY175" s="1" t="n">
        <v>-0.03268928485419136</v>
      </c>
      <c r="AZ175" s="1" t="n">
        <v>-0.02696207302751902</v>
      </c>
      <c r="BA175" s="1" t="n">
        <v>0.08809452019912541</v>
      </c>
      <c r="BB175" s="1" t="n">
        <v>0.09587026389028783</v>
      </c>
      <c r="BC175" s="1" t="n">
        <v>-0.04262813097134685</v>
      </c>
      <c r="BD175" s="1" t="n">
        <v>0.7185172668708368</v>
      </c>
      <c r="BE175" s="1" t="n">
        <v>-0.1504787194025884</v>
      </c>
      <c r="BF175" s="1" t="n">
        <v>-0.1504319527584962</v>
      </c>
      <c r="BG175" s="1" t="n">
        <v>-0.1519003309274855</v>
      </c>
      <c r="BH175" s="1" t="n">
        <v>-0.1371310684829286</v>
      </c>
      <c r="BI175" s="1" t="n">
        <v>-0.1285751952993381</v>
      </c>
      <c r="BJ175" s="1" t="n">
        <v>0.01525532251474493</v>
      </c>
      <c r="BK175" s="1" t="n">
        <v>-0.00726910129951901</v>
      </c>
      <c r="BL175" s="1" t="n">
        <v>0.03927807286410887</v>
      </c>
      <c r="BM175" s="1" t="n">
        <v>0.02207929385206006</v>
      </c>
      <c r="BN175" s="1" t="n">
        <v>0.01921305850106633</v>
      </c>
      <c r="BO175" s="544" t="n">
        <v>-0.01274645415589956</v>
      </c>
      <c r="BP175" s="23" t="n"/>
      <c r="BQ175" s="705" t="n"/>
      <c r="BR175" s="487" t="n"/>
      <c r="BS175" s="487" t="n"/>
      <c r="BT175" s="487" t="n"/>
    </row>
    <row r="176">
      <c r="A176" t="n">
        <v>22</v>
      </c>
      <c r="B176" s="701" t="n">
        <v>0</v>
      </c>
      <c r="C176" s="702" t="n">
        <v>0</v>
      </c>
      <c r="D176" s="702" t="n">
        <v>0</v>
      </c>
      <c r="E176" s="702" t="n">
        <v>0</v>
      </c>
      <c r="F176" s="702" t="n">
        <v>0</v>
      </c>
      <c r="G176" s="702" t="n">
        <v>0</v>
      </c>
      <c r="H176" s="702" t="n">
        <v>0</v>
      </c>
      <c r="I176" s="702" t="n">
        <v>0</v>
      </c>
      <c r="J176" s="702" t="n">
        <v>0</v>
      </c>
      <c r="K176" s="702" t="n">
        <v>0</v>
      </c>
      <c r="L176" s="702" t="n">
        <v>0</v>
      </c>
      <c r="M176" s="702" t="n">
        <v>0</v>
      </c>
      <c r="N176" s="702" t="n">
        <v>0</v>
      </c>
      <c r="O176" s="702" t="n">
        <v>0</v>
      </c>
      <c r="P176" s="702" t="n">
        <v>0</v>
      </c>
      <c r="Q176" s="702" t="n">
        <v>0</v>
      </c>
      <c r="R176" s="702" t="n">
        <v>0</v>
      </c>
      <c r="S176" s="702" t="n">
        <v>0</v>
      </c>
      <c r="T176" s="702" t="n">
        <v>0</v>
      </c>
      <c r="U176" s="702" t="n">
        <v>0</v>
      </c>
      <c r="V176" s="702" t="n">
        <v>0</v>
      </c>
      <c r="W176" s="702" t="n">
        <v>1</v>
      </c>
      <c r="X176" s="702" t="n">
        <v>0</v>
      </c>
      <c r="Y176" s="702" t="n">
        <v>0</v>
      </c>
      <c r="Z176" s="702" t="n">
        <v>0</v>
      </c>
      <c r="AA176" s="702" t="n">
        <v>0</v>
      </c>
      <c r="AB176" s="702" t="n">
        <v>0</v>
      </c>
      <c r="AC176" s="702" t="n">
        <v>0</v>
      </c>
      <c r="AD176" s="702" t="n">
        <v>0</v>
      </c>
      <c r="AE176" s="702" t="n">
        <v>0</v>
      </c>
      <c r="AF176" s="702" t="n">
        <v>0</v>
      </c>
      <c r="AG176" s="703" t="n">
        <v>0</v>
      </c>
      <c r="AH176" s="704" t="n"/>
      <c r="AI176" s="23" t="n">
        <v>22</v>
      </c>
      <c r="AJ176" s="543" t="n">
        <v>-0.006365571112860284</v>
      </c>
      <c r="AK176" s="1" t="n">
        <v>-0.02644557448560205</v>
      </c>
      <c r="AL176" s="1" t="n">
        <v>-0.01353653600865347</v>
      </c>
      <c r="AM176" s="1" t="n">
        <v>-0.03287872522799241</v>
      </c>
      <c r="AN176" s="1" t="n">
        <v>0.04166792116478209</v>
      </c>
      <c r="AO176" s="1" t="n">
        <v>-0.03780499477134409</v>
      </c>
      <c r="AP176" s="1" t="n">
        <v>0.03337786592893571</v>
      </c>
      <c r="AQ176" s="1" t="n">
        <v>-0.03287868227072464</v>
      </c>
      <c r="AR176" s="1" t="n">
        <v>-0.04619324006139337</v>
      </c>
      <c r="AS176" s="1" t="n">
        <v>-0.08194612476359521</v>
      </c>
      <c r="AT176" s="1" t="n">
        <v>0.0878174763830063</v>
      </c>
      <c r="AU176" s="1" t="n">
        <v>-0.006365561602356233</v>
      </c>
      <c r="AV176" s="1" t="n">
        <v>0.1283477221895416</v>
      </c>
      <c r="AW176" s="1" t="n">
        <v>-0.1250819568265713</v>
      </c>
      <c r="AX176" s="1" t="n">
        <v>0.2895526943706746</v>
      </c>
      <c r="AY176" s="1" t="n">
        <v>-0.09890488962345124</v>
      </c>
      <c r="AZ176" s="1" t="n">
        <v>-0.09311240140686429</v>
      </c>
      <c r="BA176" s="1" t="n">
        <v>-0.03437698075048222</v>
      </c>
      <c r="BB176" s="1" t="n">
        <v>0.0273440256839315</v>
      </c>
      <c r="BC176" s="1" t="n">
        <v>-0.01188929758152093</v>
      </c>
      <c r="BD176" s="1" t="n">
        <v>-0.1504787194025883</v>
      </c>
      <c r="BE176" s="1" t="n">
        <v>0.591131189008284</v>
      </c>
      <c r="BF176" s="1" t="n">
        <v>-0.1212135804756928</v>
      </c>
      <c r="BG176" s="1" t="n">
        <v>-0.06087080469370741</v>
      </c>
      <c r="BH176" s="1" t="n">
        <v>-0.1057346150533296</v>
      </c>
      <c r="BI176" s="1" t="n">
        <v>-0.152833469382966</v>
      </c>
      <c r="BJ176" s="1" t="n">
        <v>0.02154816308114074</v>
      </c>
      <c r="BK176" s="1" t="n">
        <v>0.003900488205720485</v>
      </c>
      <c r="BL176" s="1" t="n">
        <v>-0.02751114949087952</v>
      </c>
      <c r="BM176" s="1" t="n">
        <v>0.01279057688751156</v>
      </c>
      <c r="BN176" s="1" t="n">
        <v>0.05196813728580264</v>
      </c>
      <c r="BO176" s="544" t="n">
        <v>-0.03957671137127591</v>
      </c>
      <c r="BP176" s="23" t="n"/>
      <c r="BQ176" s="705" t="n"/>
      <c r="BR176" s="487" t="n"/>
      <c r="BS176" s="487" t="n"/>
      <c r="BT176" s="487" t="n"/>
    </row>
    <row r="177">
      <c r="A177" t="n">
        <v>23</v>
      </c>
      <c r="B177" s="701" t="n">
        <v>0</v>
      </c>
      <c r="C177" s="702" t="n">
        <v>0</v>
      </c>
      <c r="D177" s="702" t="n">
        <v>0</v>
      </c>
      <c r="E177" s="702" t="n">
        <v>0</v>
      </c>
      <c r="F177" s="702" t="n">
        <v>0</v>
      </c>
      <c r="G177" s="702" t="n">
        <v>0</v>
      </c>
      <c r="H177" s="702" t="n">
        <v>0</v>
      </c>
      <c r="I177" s="702" t="n">
        <v>0</v>
      </c>
      <c r="J177" s="702" t="n">
        <v>0</v>
      </c>
      <c r="K177" s="702" t="n">
        <v>0</v>
      </c>
      <c r="L177" s="702" t="n">
        <v>0</v>
      </c>
      <c r="M177" s="702" t="n">
        <v>0</v>
      </c>
      <c r="N177" s="702" t="n">
        <v>0</v>
      </c>
      <c r="O177" s="702" t="n">
        <v>0</v>
      </c>
      <c r="P177" s="702" t="n">
        <v>0</v>
      </c>
      <c r="Q177" s="702" t="n">
        <v>0</v>
      </c>
      <c r="R177" s="702" t="n">
        <v>0</v>
      </c>
      <c r="S177" s="702" t="n">
        <v>0</v>
      </c>
      <c r="T177" s="702" t="n">
        <v>0</v>
      </c>
      <c r="U177" s="702" t="n">
        <v>0</v>
      </c>
      <c r="V177" s="702" t="n">
        <v>0</v>
      </c>
      <c r="W177" s="702" t="n">
        <v>0</v>
      </c>
      <c r="X177" s="702" t="n">
        <v>1</v>
      </c>
      <c r="Y177" s="702" t="n">
        <v>0</v>
      </c>
      <c r="Z177" s="702" t="n">
        <v>0</v>
      </c>
      <c r="AA177" s="702" t="n">
        <v>0</v>
      </c>
      <c r="AB177" s="702" t="n">
        <v>0</v>
      </c>
      <c r="AC177" s="702" t="n">
        <v>0</v>
      </c>
      <c r="AD177" s="702" t="n">
        <v>0</v>
      </c>
      <c r="AE177" s="702" t="n">
        <v>0</v>
      </c>
      <c r="AF177" s="702" t="n">
        <v>0</v>
      </c>
      <c r="AG177" s="703" t="n">
        <v>0</v>
      </c>
      <c r="AH177" s="704" t="n"/>
      <c r="AI177" s="23" t="n">
        <v>23</v>
      </c>
      <c r="AJ177" s="543" t="n">
        <v>-0.03246767165860998</v>
      </c>
      <c r="AK177" s="1" t="n">
        <v>-0.09567225102247297</v>
      </c>
      <c r="AL177" s="1" t="n">
        <v>-0.0324785019241367</v>
      </c>
      <c r="AM177" s="1" t="n">
        <v>-0.03499108891714744</v>
      </c>
      <c r="AN177" s="1" t="n">
        <v>-0.03283210071394851</v>
      </c>
      <c r="AO177" s="1" t="n">
        <v>-0.03122375210513588</v>
      </c>
      <c r="AP177" s="1" t="n">
        <v>0.009485125717440139</v>
      </c>
      <c r="AQ177" s="1" t="n">
        <v>-0.03499104319999855</v>
      </c>
      <c r="AR177" s="1" t="n">
        <v>-0.07302695765798053</v>
      </c>
      <c r="AS177" s="1" t="n">
        <v>-0.006964539032938616</v>
      </c>
      <c r="AT177" s="1" t="n">
        <v>0.06657484502976667</v>
      </c>
      <c r="AU177" s="1" t="n">
        <v>-0.03246762315016997</v>
      </c>
      <c r="AV177" s="1" t="n">
        <v>0.06183677241421374</v>
      </c>
      <c r="AW177" s="1" t="n">
        <v>-0.0007153124683282885</v>
      </c>
      <c r="AX177" s="1" t="n">
        <v>-0.09510897137724605</v>
      </c>
      <c r="AY177" s="1" t="n">
        <v>0.3137786900277658</v>
      </c>
      <c r="AZ177" s="1" t="n">
        <v>0.1703231568967538</v>
      </c>
      <c r="BA177" s="1" t="n">
        <v>-0.03260459656905967</v>
      </c>
      <c r="BB177" s="1" t="n">
        <v>-0.0442236097924846</v>
      </c>
      <c r="BC177" s="1" t="n">
        <v>-0.003960769164166343</v>
      </c>
      <c r="BD177" s="1" t="n">
        <v>-0.1504319527584961</v>
      </c>
      <c r="BE177" s="1" t="n">
        <v>-0.1212135804756929</v>
      </c>
      <c r="BF177" s="1" t="n">
        <v>0.4575874222386948</v>
      </c>
      <c r="BG177" s="1" t="n">
        <v>-0.04129345205988336</v>
      </c>
      <c r="BH177" s="1" t="n">
        <v>-0.03597583007097774</v>
      </c>
      <c r="BI177" s="1" t="n">
        <v>-0.1086726068736448</v>
      </c>
      <c r="BJ177" s="1" t="n">
        <v>0.05684217220027907</v>
      </c>
      <c r="BK177" s="1" t="n">
        <v>-0.02484323566691861</v>
      </c>
      <c r="BL177" s="1" t="n">
        <v>-0.09877912440770659</v>
      </c>
      <c r="BM177" s="1" t="n">
        <v>0.03429563068177691</v>
      </c>
      <c r="BN177" s="1" t="n">
        <v>0.0807885758429733</v>
      </c>
      <c r="BO177" s="544" t="n">
        <v>-0.06832206522341794</v>
      </c>
      <c r="BP177" s="23" t="n"/>
      <c r="BQ177" s="705" t="n"/>
      <c r="BR177" s="487" t="n"/>
      <c r="BS177" s="487" t="n"/>
      <c r="BT177" s="487" t="n"/>
    </row>
    <row r="178">
      <c r="A178" t="n">
        <v>24</v>
      </c>
      <c r="B178" s="701" t="n">
        <v>0</v>
      </c>
      <c r="C178" s="702" t="n">
        <v>0</v>
      </c>
      <c r="D178" s="702" t="n">
        <v>0</v>
      </c>
      <c r="E178" s="702" t="n">
        <v>0</v>
      </c>
      <c r="F178" s="702" t="n">
        <v>0</v>
      </c>
      <c r="G178" s="702" t="n">
        <v>0</v>
      </c>
      <c r="H178" s="702" t="n">
        <v>0</v>
      </c>
      <c r="I178" s="702" t="n">
        <v>0</v>
      </c>
      <c r="J178" s="702" t="n">
        <v>0</v>
      </c>
      <c r="K178" s="702" t="n">
        <v>0</v>
      </c>
      <c r="L178" s="702" t="n">
        <v>0</v>
      </c>
      <c r="M178" s="702" t="n">
        <v>0</v>
      </c>
      <c r="N178" s="702" t="n">
        <v>0</v>
      </c>
      <c r="O178" s="702" t="n">
        <v>0</v>
      </c>
      <c r="P178" s="702" t="n">
        <v>0</v>
      </c>
      <c r="Q178" s="702" t="n">
        <v>0</v>
      </c>
      <c r="R178" s="702" t="n">
        <v>0</v>
      </c>
      <c r="S178" s="702" t="n">
        <v>0</v>
      </c>
      <c r="T178" s="702" t="n">
        <v>0</v>
      </c>
      <c r="U178" s="702" t="n">
        <v>0</v>
      </c>
      <c r="V178" s="702" t="n">
        <v>0</v>
      </c>
      <c r="W178" s="702" t="n">
        <v>0</v>
      </c>
      <c r="X178" s="702" t="n">
        <v>0</v>
      </c>
      <c r="Y178" s="702" t="n">
        <v>1</v>
      </c>
      <c r="Z178" s="702" t="n">
        <v>0</v>
      </c>
      <c r="AA178" s="702" t="n">
        <v>0</v>
      </c>
      <c r="AB178" s="702" t="n">
        <v>0</v>
      </c>
      <c r="AC178" s="702" t="n">
        <v>0</v>
      </c>
      <c r="AD178" s="702" t="n">
        <v>0</v>
      </c>
      <c r="AE178" s="702" t="n">
        <v>0</v>
      </c>
      <c r="AF178" s="702" t="n">
        <v>0</v>
      </c>
      <c r="AG178" s="703" t="n">
        <v>0</v>
      </c>
      <c r="AH178" s="704" t="n"/>
      <c r="AI178" s="23" t="n">
        <v>24</v>
      </c>
      <c r="AJ178" s="543" t="n">
        <v>-0.07430511825860253</v>
      </c>
      <c r="AK178" s="1" t="n">
        <v>0.2087087474256643</v>
      </c>
      <c r="AL178" s="1" t="n">
        <v>0.1109114935839731</v>
      </c>
      <c r="AM178" s="1" t="n">
        <v>-0.05139395023865054</v>
      </c>
      <c r="AN178" s="1" t="n">
        <v>-0.09102861953227662</v>
      </c>
      <c r="AO178" s="1" t="n">
        <v>0.01534767162686525</v>
      </c>
      <c r="AP178" s="1" t="n">
        <v>0.08285559949075194</v>
      </c>
      <c r="AQ178" s="1" t="n">
        <v>-0.05139388309055809</v>
      </c>
      <c r="AR178" s="1" t="n">
        <v>0.06761972736340237</v>
      </c>
      <c r="AS178" s="1" t="n">
        <v>0.03687680048761063</v>
      </c>
      <c r="AT178" s="1" t="n">
        <v>0.07239511269040072</v>
      </c>
      <c r="AU178" s="1" t="n">
        <v>-0.07430500724277687</v>
      </c>
      <c r="AV178" s="1" t="n">
        <v>-0.08990763032377172</v>
      </c>
      <c r="AW178" s="1" t="n">
        <v>0.05417976808380477</v>
      </c>
      <c r="AX178" s="1" t="n">
        <v>-0.0664215396591612</v>
      </c>
      <c r="AY178" s="1" t="n">
        <v>-0.1018678600586362</v>
      </c>
      <c r="AZ178" s="1" t="n">
        <v>0.08144026721284309</v>
      </c>
      <c r="BA178" s="1" t="n">
        <v>-0.07352833247441165</v>
      </c>
      <c r="BB178" s="1" t="n">
        <v>-0.06680749727941573</v>
      </c>
      <c r="BC178" s="1" t="n">
        <v>0.1056285050798345</v>
      </c>
      <c r="BD178" s="1" t="n">
        <v>-0.1519003309274856</v>
      </c>
      <c r="BE178" s="1" t="n">
        <v>-0.06087080469370747</v>
      </c>
      <c r="BF178" s="1" t="n">
        <v>-0.04129345205988327</v>
      </c>
      <c r="BG178" s="1" t="n">
        <v>0.406545516366924</v>
      </c>
      <c r="BH178" s="1" t="n">
        <v>-0.06257659285514766</v>
      </c>
      <c r="BI178" s="1" t="n">
        <v>-0.08990433583069997</v>
      </c>
      <c r="BJ178" s="1" t="n">
        <v>-0.07853046098665953</v>
      </c>
      <c r="BK178" s="1" t="n">
        <v>0.1526523574723338</v>
      </c>
      <c r="BL178" s="1" t="n">
        <v>0.02290237169988946</v>
      </c>
      <c r="BM178" s="1" t="n">
        <v>-0.106252708319374</v>
      </c>
      <c r="BN178" s="1" t="n">
        <v>-0.06620731978193883</v>
      </c>
      <c r="BO178" s="544" t="n">
        <v>0.05387831944011232</v>
      </c>
      <c r="BP178" s="23" t="n"/>
      <c r="BQ178" s="705" t="n"/>
      <c r="BR178" s="487" t="n"/>
      <c r="BS178" s="487" t="n"/>
      <c r="BT178" s="487" t="n"/>
    </row>
    <row r="179">
      <c r="A179" t="n">
        <v>25</v>
      </c>
      <c r="B179" s="701" t="n">
        <v>0</v>
      </c>
      <c r="C179" s="702" t="n">
        <v>0</v>
      </c>
      <c r="D179" s="702" t="n">
        <v>0</v>
      </c>
      <c r="E179" s="702" t="n">
        <v>0</v>
      </c>
      <c r="F179" s="702" t="n">
        <v>0</v>
      </c>
      <c r="G179" s="702" t="n">
        <v>0</v>
      </c>
      <c r="H179" s="702" t="n">
        <v>0</v>
      </c>
      <c r="I179" s="702" t="n">
        <v>0</v>
      </c>
      <c r="J179" s="702" t="n">
        <v>0</v>
      </c>
      <c r="K179" s="702" t="n">
        <v>0</v>
      </c>
      <c r="L179" s="702" t="n">
        <v>0</v>
      </c>
      <c r="M179" s="702" t="n">
        <v>0</v>
      </c>
      <c r="N179" s="702" t="n">
        <v>0</v>
      </c>
      <c r="O179" s="702" t="n">
        <v>0</v>
      </c>
      <c r="P179" s="702" t="n">
        <v>0</v>
      </c>
      <c r="Q179" s="702" t="n">
        <v>0</v>
      </c>
      <c r="R179" s="702" t="n">
        <v>0</v>
      </c>
      <c r="S179" s="702" t="n">
        <v>0</v>
      </c>
      <c r="T179" s="702" t="n">
        <v>0</v>
      </c>
      <c r="U179" s="702" t="n">
        <v>0</v>
      </c>
      <c r="V179" s="702" t="n">
        <v>0</v>
      </c>
      <c r="W179" s="702" t="n">
        <v>0</v>
      </c>
      <c r="X179" s="702" t="n">
        <v>0</v>
      </c>
      <c r="Y179" s="702" t="n">
        <v>0</v>
      </c>
      <c r="Z179" s="702" t="n">
        <v>1</v>
      </c>
      <c r="AA179" s="702" t="n">
        <v>0</v>
      </c>
      <c r="AB179" s="702" t="n">
        <v>0</v>
      </c>
      <c r="AC179" s="702" t="n">
        <v>0</v>
      </c>
      <c r="AD179" s="702" t="n">
        <v>0</v>
      </c>
      <c r="AE179" s="702" t="n">
        <v>0</v>
      </c>
      <c r="AF179" s="702" t="n">
        <v>0</v>
      </c>
      <c r="AG179" s="703" t="n">
        <v>0</v>
      </c>
      <c r="AH179" s="704" t="n"/>
      <c r="AI179" s="23" t="n">
        <v>25</v>
      </c>
      <c r="AJ179" s="543" t="n">
        <v>0.06777500925307943</v>
      </c>
      <c r="AK179" s="1" t="n">
        <v>-0.06646206398367063</v>
      </c>
      <c r="AL179" s="1" t="n">
        <v>-0.04688843886181539</v>
      </c>
      <c r="AM179" s="1" t="n">
        <v>0.2055359767863475</v>
      </c>
      <c r="AN179" s="1" t="n">
        <v>-0.07037518779677716</v>
      </c>
      <c r="AO179" s="1" t="n">
        <v>-0.1334009801392274</v>
      </c>
      <c r="AP179" s="1" t="n">
        <v>-0.121570843551103</v>
      </c>
      <c r="AQ179" s="1" t="n">
        <v>0.2055357082460095</v>
      </c>
      <c r="AR179" s="1" t="n">
        <v>0.1450629735432079</v>
      </c>
      <c r="AS179" s="1" t="n">
        <v>-0.02327657823785616</v>
      </c>
      <c r="AT179" s="1" t="n">
        <v>-0.01775173496004678</v>
      </c>
      <c r="AU179" s="1" t="n">
        <v>0.06777490799358638</v>
      </c>
      <c r="AV179" s="1" t="n">
        <v>-0.03918665275137186</v>
      </c>
      <c r="AW179" s="1" t="n">
        <v>0.05606611936833764</v>
      </c>
      <c r="AX179" s="1" t="n">
        <v>-0.03947538424309631</v>
      </c>
      <c r="AY179" s="1" t="n">
        <v>-0.03669071898313032</v>
      </c>
      <c r="AZ179" s="1" t="n">
        <v>-0.0864613944601907</v>
      </c>
      <c r="BA179" s="1" t="n">
        <v>0.006685514975389708</v>
      </c>
      <c r="BB179" s="1" t="n">
        <v>-0.06074999179841665</v>
      </c>
      <c r="BC179" s="1" t="n">
        <v>-0.02906235103127433</v>
      </c>
      <c r="BD179" s="1" t="n">
        <v>-0.1371310684829285</v>
      </c>
      <c r="BE179" s="1" t="n">
        <v>-0.1057346150533295</v>
      </c>
      <c r="BF179" s="1" t="n">
        <v>-0.03597583007097774</v>
      </c>
      <c r="BG179" s="1" t="n">
        <v>-0.06257659285514784</v>
      </c>
      <c r="BH179" s="1" t="n">
        <v>0.4580485651040136</v>
      </c>
      <c r="BI179" s="1" t="n">
        <v>-0.11663045864163</v>
      </c>
      <c r="BJ179" s="1" t="n">
        <v>-0.005425317575540885</v>
      </c>
      <c r="BK179" s="1" t="n">
        <v>-0.09505686460995764</v>
      </c>
      <c r="BL179" s="1" t="n">
        <v>0.04608406642576592</v>
      </c>
      <c r="BM179" s="1" t="n">
        <v>0.0071146535446936</v>
      </c>
      <c r="BN179" s="1" t="n">
        <v>-0.0758397392821604</v>
      </c>
      <c r="BO179" s="544" t="n">
        <v>0.05560227767270125</v>
      </c>
      <c r="BP179" s="23" t="n"/>
      <c r="BQ179" s="705" t="n"/>
      <c r="BR179" s="487" t="n"/>
      <c r="BS179" s="487" t="n"/>
      <c r="BT179" s="487" t="n"/>
    </row>
    <row r="180">
      <c r="A180" t="n">
        <v>26</v>
      </c>
      <c r="B180" s="701" t="n">
        <v>0</v>
      </c>
      <c r="C180" s="702" t="n">
        <v>0</v>
      </c>
      <c r="D180" s="702" t="n">
        <v>0</v>
      </c>
      <c r="E180" s="702" t="n">
        <v>0</v>
      </c>
      <c r="F180" s="702" t="n">
        <v>0</v>
      </c>
      <c r="G180" s="702" t="n">
        <v>0</v>
      </c>
      <c r="H180" s="702" t="n">
        <v>0</v>
      </c>
      <c r="I180" s="702" t="n">
        <v>0</v>
      </c>
      <c r="J180" s="702" t="n">
        <v>0</v>
      </c>
      <c r="K180" s="702" t="n">
        <v>0</v>
      </c>
      <c r="L180" s="702" t="n">
        <v>0</v>
      </c>
      <c r="M180" s="702" t="n">
        <v>0</v>
      </c>
      <c r="N180" s="702" t="n">
        <v>0</v>
      </c>
      <c r="O180" s="702" t="n">
        <v>0</v>
      </c>
      <c r="P180" s="702" t="n">
        <v>0</v>
      </c>
      <c r="Q180" s="702" t="n">
        <v>0</v>
      </c>
      <c r="R180" s="702" t="n">
        <v>0</v>
      </c>
      <c r="S180" s="702" t="n">
        <v>0</v>
      </c>
      <c r="T180" s="702" t="n">
        <v>0</v>
      </c>
      <c r="U180" s="702" t="n">
        <v>0</v>
      </c>
      <c r="V180" s="702" t="n">
        <v>0</v>
      </c>
      <c r="W180" s="702" t="n">
        <v>0</v>
      </c>
      <c r="X180" s="702" t="n">
        <v>0</v>
      </c>
      <c r="Y180" s="702" t="n">
        <v>0</v>
      </c>
      <c r="Z180" s="702" t="n">
        <v>0</v>
      </c>
      <c r="AA180" s="702" t="n">
        <v>1</v>
      </c>
      <c r="AB180" s="702" t="n">
        <v>0</v>
      </c>
      <c r="AC180" s="702" t="n">
        <v>0</v>
      </c>
      <c r="AD180" s="702" t="n">
        <v>0</v>
      </c>
      <c r="AE180" s="702" t="n">
        <v>0</v>
      </c>
      <c r="AF180" s="702" t="n">
        <v>0</v>
      </c>
      <c r="AG180" s="703" t="n">
        <v>0</v>
      </c>
      <c r="AH180" s="704" t="n"/>
      <c r="AI180" s="23" t="n">
        <v>26</v>
      </c>
      <c r="AJ180" s="543" t="n">
        <v>0.09155265673451607</v>
      </c>
      <c r="AK180" s="1" t="n">
        <v>-0.015337143263068</v>
      </c>
      <c r="AL180" s="1" t="n">
        <v>-0.002380519710764223</v>
      </c>
      <c r="AM180" s="1" t="n">
        <v>-0.07060934124400471</v>
      </c>
      <c r="AN180" s="1" t="n">
        <v>0.04083191588864</v>
      </c>
      <c r="AO180" s="1" t="n">
        <v>0.2649680974942119</v>
      </c>
      <c r="AP180" s="1" t="n">
        <v>-0.04405068702649145</v>
      </c>
      <c r="AQ180" s="1" t="n">
        <v>-0.07060924899029489</v>
      </c>
      <c r="AR180" s="1" t="n">
        <v>-0.06245528708358278</v>
      </c>
      <c r="AS180" s="1" t="n">
        <v>-0.1110502461617388</v>
      </c>
      <c r="AT180" s="1" t="n">
        <v>-0.1735167813138678</v>
      </c>
      <c r="AU180" s="1" t="n">
        <v>0.09155251994994448</v>
      </c>
      <c r="AV180" s="1" t="n">
        <v>0.002363293641121873</v>
      </c>
      <c r="AW180" s="1" t="n">
        <v>0.09012171891234998</v>
      </c>
      <c r="AX180" s="1" t="n">
        <v>-0.02984512666643455</v>
      </c>
      <c r="AY180" s="1" t="n">
        <v>-0.04362593650835675</v>
      </c>
      <c r="AZ180" s="1" t="n">
        <v>-0.04522755521502296</v>
      </c>
      <c r="BA180" s="1" t="n">
        <v>0.04572987461943841</v>
      </c>
      <c r="BB180" s="1" t="n">
        <v>0.04856680929609765</v>
      </c>
      <c r="BC180" s="1" t="n">
        <v>-0.01808795633152603</v>
      </c>
      <c r="BD180" s="1" t="n">
        <v>-0.1285751952993384</v>
      </c>
      <c r="BE180" s="1" t="n">
        <v>-0.1528334693829658</v>
      </c>
      <c r="BF180" s="1" t="n">
        <v>-0.1086726068736449</v>
      </c>
      <c r="BG180" s="1" t="n">
        <v>-0.08990433583069987</v>
      </c>
      <c r="BH180" s="1" t="n">
        <v>-0.1166304586416301</v>
      </c>
      <c r="BI180" s="1" t="n">
        <v>0.5966160660282791</v>
      </c>
      <c r="BJ180" s="1" t="n">
        <v>-0.0096898792339643</v>
      </c>
      <c r="BK180" s="1" t="n">
        <v>-0.02938364410165906</v>
      </c>
      <c r="BL180" s="1" t="n">
        <v>0.01802576290882186</v>
      </c>
      <c r="BM180" s="1" t="n">
        <v>0.02997255335333181</v>
      </c>
      <c r="BN180" s="1" t="n">
        <v>-0.00992271256574305</v>
      </c>
      <c r="BO180" s="544" t="n">
        <v>0.01116463363777984</v>
      </c>
      <c r="BP180" s="23" t="n"/>
      <c r="BQ180" s="705" t="n"/>
      <c r="BR180" s="487" t="n"/>
      <c r="BS180" s="487" t="n"/>
      <c r="BT180" s="487" t="n"/>
    </row>
    <row r="181">
      <c r="A181" t="n">
        <v>27</v>
      </c>
      <c r="B181" s="701" t="n">
        <v>0</v>
      </c>
      <c r="C181" s="702" t="n">
        <v>0</v>
      </c>
      <c r="D181" s="702" t="n">
        <v>0</v>
      </c>
      <c r="E181" s="702" t="n">
        <v>0</v>
      </c>
      <c r="F181" s="702" t="n">
        <v>0</v>
      </c>
      <c r="G181" s="702" t="n">
        <v>0</v>
      </c>
      <c r="H181" s="702" t="n">
        <v>0</v>
      </c>
      <c r="I181" s="702" t="n">
        <v>0</v>
      </c>
      <c r="J181" s="702" t="n">
        <v>0</v>
      </c>
      <c r="K181" s="702" t="n">
        <v>0</v>
      </c>
      <c r="L181" s="702" t="n">
        <v>0</v>
      </c>
      <c r="M181" s="702" t="n">
        <v>0</v>
      </c>
      <c r="N181" s="702" t="n">
        <v>0</v>
      </c>
      <c r="O181" s="702" t="n">
        <v>0</v>
      </c>
      <c r="P181" s="702" t="n">
        <v>0</v>
      </c>
      <c r="Q181" s="702" t="n">
        <v>0</v>
      </c>
      <c r="R181" s="702" t="n">
        <v>0</v>
      </c>
      <c r="S181" s="702" t="n">
        <v>0</v>
      </c>
      <c r="T181" s="702" t="n">
        <v>0</v>
      </c>
      <c r="U181" s="702" t="n">
        <v>0</v>
      </c>
      <c r="V181" s="702" t="n">
        <v>0</v>
      </c>
      <c r="W181" s="702" t="n">
        <v>0</v>
      </c>
      <c r="X181" s="702" t="n">
        <v>0</v>
      </c>
      <c r="Y181" s="702" t="n">
        <v>0</v>
      </c>
      <c r="Z181" s="702" t="n">
        <v>0</v>
      </c>
      <c r="AA181" s="702" t="n">
        <v>0</v>
      </c>
      <c r="AB181" s="702" t="n">
        <v>1</v>
      </c>
      <c r="AC181" s="702" t="n">
        <v>0</v>
      </c>
      <c r="AD181" s="702" t="n">
        <v>0</v>
      </c>
      <c r="AE181" s="702" t="n">
        <v>0</v>
      </c>
      <c r="AF181" s="702" t="n">
        <v>0</v>
      </c>
      <c r="AG181" s="703" t="n">
        <v>0</v>
      </c>
      <c r="AH181" s="704" t="n"/>
      <c r="AI181" s="23" t="n">
        <v>27</v>
      </c>
      <c r="AJ181" s="543" t="n">
        <v>-0.06626892797580576</v>
      </c>
      <c r="AK181" s="1" t="n">
        <v>-0.09684040367116298</v>
      </c>
      <c r="AL181" s="1" t="n">
        <v>-0.01637625994308683</v>
      </c>
      <c r="AM181" s="1" t="n">
        <v>0.06254774777559627</v>
      </c>
      <c r="AN181" s="1" t="n">
        <v>-0.1023080305955953</v>
      </c>
      <c r="AO181" s="1" t="n">
        <v>0.1340283371572584</v>
      </c>
      <c r="AP181" s="1" t="n">
        <v>0.2951647663323545</v>
      </c>
      <c r="AQ181" s="1" t="n">
        <v>0.06254766605465603</v>
      </c>
      <c r="AR181" s="1" t="n">
        <v>-0.08218801654488617</v>
      </c>
      <c r="AS181" s="1" t="n">
        <v>0.01550300383010841</v>
      </c>
      <c r="AT181" s="1" t="n">
        <v>0.0210681247541056</v>
      </c>
      <c r="AU181" s="1" t="n">
        <v>-0.06626882896647884</v>
      </c>
      <c r="AV181" s="1" t="n">
        <v>-0.007594618201771878</v>
      </c>
      <c r="AW181" s="1" t="n">
        <v>-0.007993687502164466</v>
      </c>
      <c r="AX181" s="1" t="n">
        <v>0.004334476048433275</v>
      </c>
      <c r="AY181" s="1" t="n">
        <v>0.02277902896546127</v>
      </c>
      <c r="AZ181" s="1" t="n">
        <v>-0.07673547688908991</v>
      </c>
      <c r="BA181" s="1" t="n">
        <v>-0.0087719817493742</v>
      </c>
      <c r="BB181" s="1" t="n">
        <v>-0.008272791714942784</v>
      </c>
      <c r="BC181" s="1" t="n">
        <v>0.1098995379002179</v>
      </c>
      <c r="BD181" s="1" t="n">
        <v>0.01525532251474496</v>
      </c>
      <c r="BE181" s="1" t="n">
        <v>0.02154816308114066</v>
      </c>
      <c r="BF181" s="1" t="n">
        <v>0.05684217220027899</v>
      </c>
      <c r="BG181" s="1" t="n">
        <v>-0.07853046098665953</v>
      </c>
      <c r="BH181" s="1" t="n">
        <v>-0.00542531757554085</v>
      </c>
      <c r="BI181" s="1" t="n">
        <v>-0.009689879233964208</v>
      </c>
      <c r="BJ181" s="1" t="n">
        <v>0.4867069670113753</v>
      </c>
      <c r="BK181" s="1" t="n">
        <v>-0.2394130917736971</v>
      </c>
      <c r="BL181" s="1" t="n">
        <v>0.02954371465829613</v>
      </c>
      <c r="BM181" s="1" t="n">
        <v>-0.05949470735118383</v>
      </c>
      <c r="BN181" s="1" t="n">
        <v>-0.09365151032446328</v>
      </c>
      <c r="BO181" s="544" t="n">
        <v>0.03296419912139553</v>
      </c>
      <c r="BP181" s="23" t="n"/>
      <c r="BQ181" s="705" t="n"/>
      <c r="BR181" s="487" t="n"/>
      <c r="BS181" s="487" t="n"/>
      <c r="BT181" s="487" t="n"/>
    </row>
    <row r="182">
      <c r="A182" t="n">
        <v>28</v>
      </c>
      <c r="B182" s="701" t="n">
        <v>0</v>
      </c>
      <c r="C182" s="702" t="n">
        <v>0</v>
      </c>
      <c r="D182" s="702" t="n">
        <v>0</v>
      </c>
      <c r="E182" s="702" t="n">
        <v>0</v>
      </c>
      <c r="F182" s="702" t="n">
        <v>0</v>
      </c>
      <c r="G182" s="702" t="n">
        <v>0</v>
      </c>
      <c r="H182" s="702" t="n">
        <v>0</v>
      </c>
      <c r="I182" s="702" t="n">
        <v>0</v>
      </c>
      <c r="J182" s="702" t="n">
        <v>0</v>
      </c>
      <c r="K182" s="702" t="n">
        <v>0</v>
      </c>
      <c r="L182" s="702" t="n">
        <v>0</v>
      </c>
      <c r="M182" s="702" t="n">
        <v>0</v>
      </c>
      <c r="N182" s="702" t="n">
        <v>0</v>
      </c>
      <c r="O182" s="702" t="n">
        <v>0</v>
      </c>
      <c r="P182" s="702" t="n">
        <v>0</v>
      </c>
      <c r="Q182" s="702" t="n">
        <v>0</v>
      </c>
      <c r="R182" s="702" t="n">
        <v>0</v>
      </c>
      <c r="S182" s="702" t="n">
        <v>0</v>
      </c>
      <c r="T182" s="702" t="n">
        <v>0</v>
      </c>
      <c r="U182" s="702" t="n">
        <v>0</v>
      </c>
      <c r="V182" s="702" t="n">
        <v>0</v>
      </c>
      <c r="W182" s="702" t="n">
        <v>0</v>
      </c>
      <c r="X182" s="702" t="n">
        <v>0</v>
      </c>
      <c r="Y182" s="702" t="n">
        <v>0</v>
      </c>
      <c r="Z182" s="702" t="n">
        <v>0</v>
      </c>
      <c r="AA182" s="702" t="n">
        <v>0</v>
      </c>
      <c r="AB182" s="702" t="n">
        <v>0</v>
      </c>
      <c r="AC182" s="702" t="n">
        <v>1</v>
      </c>
      <c r="AD182" s="702" t="n">
        <v>0</v>
      </c>
      <c r="AE182" s="702" t="n">
        <v>0</v>
      </c>
      <c r="AF182" s="702" t="n">
        <v>0</v>
      </c>
      <c r="AG182" s="703" t="n">
        <v>0</v>
      </c>
      <c r="AH182" s="704" t="n"/>
      <c r="AI182" s="23" t="n">
        <v>28</v>
      </c>
      <c r="AJ182" s="543" t="n">
        <v>-0.0004156640783737203</v>
      </c>
      <c r="AK182" s="1" t="n">
        <v>0.1070939128231064</v>
      </c>
      <c r="AL182" s="1" t="n">
        <v>-0.05509432112963784</v>
      </c>
      <c r="AM182" s="1" t="n">
        <v>0.03180898697656534</v>
      </c>
      <c r="AN182" s="1" t="n">
        <v>0.0783262671504152</v>
      </c>
      <c r="AO182" s="1" t="n">
        <v>0.0349931437349994</v>
      </c>
      <c r="AP182" s="1" t="n">
        <v>0.1349867666746573</v>
      </c>
      <c r="AQ182" s="1" t="n">
        <v>0.03180894541694998</v>
      </c>
      <c r="AR182" s="1" t="n">
        <v>0.04301955347106687</v>
      </c>
      <c r="AS182" s="1" t="n">
        <v>-0.00265082146344528</v>
      </c>
      <c r="AT182" s="1" t="n">
        <v>-0.01383752386985249</v>
      </c>
      <c r="AU182" s="1" t="n">
        <v>-0.0004156634573492385</v>
      </c>
      <c r="AV182" s="1" t="n">
        <v>-0.0128378464332321</v>
      </c>
      <c r="AW182" s="1" t="n">
        <v>0.01416924235416479</v>
      </c>
      <c r="AX182" s="1" t="n">
        <v>-0.01133203471735222</v>
      </c>
      <c r="AY182" s="1" t="n">
        <v>-0.03554301492559181</v>
      </c>
      <c r="AZ182" s="1" t="n">
        <v>0.09080955442687548</v>
      </c>
      <c r="BA182" s="1" t="n">
        <v>-0.02813626685743262</v>
      </c>
      <c r="BB182" s="1" t="n">
        <v>-0.1228320024587244</v>
      </c>
      <c r="BC182" s="1" t="n">
        <v>-0.2337293776340936</v>
      </c>
      <c r="BD182" s="1" t="n">
        <v>-0.007269101299518965</v>
      </c>
      <c r="BE182" s="1" t="n">
        <v>0.003900488205720441</v>
      </c>
      <c r="BF182" s="1" t="n">
        <v>-0.02484323566691852</v>
      </c>
      <c r="BG182" s="1" t="n">
        <v>0.1526523574723338</v>
      </c>
      <c r="BH182" s="1" t="n">
        <v>-0.09505686460995749</v>
      </c>
      <c r="BI182" s="1" t="n">
        <v>-0.02938364410165922</v>
      </c>
      <c r="BJ182" s="1" t="n">
        <v>-0.2394130917736969</v>
      </c>
      <c r="BK182" s="1" t="n">
        <v>0.3748810088719999</v>
      </c>
      <c r="BL182" s="1" t="n">
        <v>-0.01120928679596146</v>
      </c>
      <c r="BM182" s="1" t="n">
        <v>0.05178283252055285</v>
      </c>
      <c r="BN182" s="1" t="n">
        <v>0.1246143608932704</v>
      </c>
      <c r="BO182" s="544" t="n">
        <v>-0.01151227219989608</v>
      </c>
      <c r="BP182" s="23" t="n"/>
      <c r="BQ182" s="705" t="n"/>
      <c r="BR182" s="487" t="n"/>
      <c r="BS182" s="487" t="n"/>
      <c r="BT182" s="487" t="n"/>
    </row>
    <row r="183">
      <c r="A183" t="n">
        <v>29</v>
      </c>
      <c r="B183" s="701" t="n">
        <v>0</v>
      </c>
      <c r="C183" s="702" t="n">
        <v>0</v>
      </c>
      <c r="D183" s="702" t="n">
        <v>0</v>
      </c>
      <c r="E183" s="702" t="n">
        <v>0</v>
      </c>
      <c r="F183" s="702" t="n">
        <v>0</v>
      </c>
      <c r="G183" s="702" t="n">
        <v>0</v>
      </c>
      <c r="H183" s="702" t="n">
        <v>0</v>
      </c>
      <c r="I183" s="702" t="n">
        <v>0</v>
      </c>
      <c r="J183" s="702" t="n">
        <v>0</v>
      </c>
      <c r="K183" s="702" t="n">
        <v>0</v>
      </c>
      <c r="L183" s="702" t="n">
        <v>0</v>
      </c>
      <c r="M183" s="702" t="n">
        <v>0</v>
      </c>
      <c r="N183" s="702" t="n">
        <v>0</v>
      </c>
      <c r="O183" s="702" t="n">
        <v>0</v>
      </c>
      <c r="P183" s="702" t="n">
        <v>0</v>
      </c>
      <c r="Q183" s="702" t="n">
        <v>0</v>
      </c>
      <c r="R183" s="702" t="n">
        <v>0</v>
      </c>
      <c r="S183" s="702" t="n">
        <v>0</v>
      </c>
      <c r="T183" s="702" t="n">
        <v>0</v>
      </c>
      <c r="U183" s="702" t="n">
        <v>0</v>
      </c>
      <c r="V183" s="702" t="n">
        <v>0</v>
      </c>
      <c r="W183" s="702" t="n">
        <v>0</v>
      </c>
      <c r="X183" s="702" t="n">
        <v>0</v>
      </c>
      <c r="Y183" s="702" t="n">
        <v>0</v>
      </c>
      <c r="Z183" s="702" t="n">
        <v>0</v>
      </c>
      <c r="AA183" s="702" t="n">
        <v>0</v>
      </c>
      <c r="AB183" s="702" t="n">
        <v>0</v>
      </c>
      <c r="AC183" s="702" t="n">
        <v>0</v>
      </c>
      <c r="AD183" s="702" t="n">
        <v>1</v>
      </c>
      <c r="AE183" s="702" t="n">
        <v>0</v>
      </c>
      <c r="AF183" s="702" t="n">
        <v>0</v>
      </c>
      <c r="AG183" s="703" t="n">
        <v>0</v>
      </c>
      <c r="AH183" s="704" t="n"/>
      <c r="AI183" s="23" t="n">
        <v>29</v>
      </c>
      <c r="AJ183" s="543" t="n">
        <v>0.0165868563501413</v>
      </c>
      <c r="AK183" s="1" t="n">
        <v>0.1494705080220718</v>
      </c>
      <c r="AL183" s="1" t="n">
        <v>-0.1055787818347154</v>
      </c>
      <c r="AM183" s="1" t="n">
        <v>0.01697808419975638</v>
      </c>
      <c r="AN183" s="1" t="n">
        <v>-0.006338058699457496</v>
      </c>
      <c r="AO183" s="1" t="n">
        <v>-0.001249842069812533</v>
      </c>
      <c r="AP183" s="1" t="n">
        <v>-0.02256056501529452</v>
      </c>
      <c r="AQ183" s="1" t="n">
        <v>0.01697806201726289</v>
      </c>
      <c r="AR183" s="1" t="n">
        <v>-0.08130428330392886</v>
      </c>
      <c r="AS183" s="1" t="n">
        <v>-0.02457988166297406</v>
      </c>
      <c r="AT183" s="1" t="n">
        <v>-0.005026457001440272</v>
      </c>
      <c r="AU183" s="1" t="n">
        <v>0.0165868315684897</v>
      </c>
      <c r="AV183" s="1" t="n">
        <v>0.08230582581544676</v>
      </c>
      <c r="AW183" s="1" t="n">
        <v>-0.04857595097119304</v>
      </c>
      <c r="AX183" s="1" t="n">
        <v>0.03905277602905034</v>
      </c>
      <c r="AY183" s="1" t="n">
        <v>0.04816081969468814</v>
      </c>
      <c r="AZ183" s="1" t="n">
        <v>0.03527790109846728</v>
      </c>
      <c r="BA183" s="1" t="n">
        <v>0.1095951633761858</v>
      </c>
      <c r="BB183" s="1" t="n">
        <v>-0.07885982578756552</v>
      </c>
      <c r="BC183" s="1" t="n">
        <v>-0.1181164011853631</v>
      </c>
      <c r="BD183" s="1" t="n">
        <v>0.03927807286410881</v>
      </c>
      <c r="BE183" s="1" t="n">
        <v>-0.02751114949087953</v>
      </c>
      <c r="BF183" s="1" t="n">
        <v>-0.09877912440770653</v>
      </c>
      <c r="BG183" s="1" t="n">
        <v>0.02290237169988953</v>
      </c>
      <c r="BH183" s="1" t="n">
        <v>0.04608406642576588</v>
      </c>
      <c r="BI183" s="1" t="n">
        <v>0.01802576290882186</v>
      </c>
      <c r="BJ183" s="1" t="n">
        <v>0.0295437146582961</v>
      </c>
      <c r="BK183" s="1" t="n">
        <v>-0.01120928679596145</v>
      </c>
      <c r="BL183" s="1" t="n">
        <v>0.4136785261823309</v>
      </c>
      <c r="BM183" s="1" t="n">
        <v>-0.2101475185558615</v>
      </c>
      <c r="BN183" s="1" t="n">
        <v>-0.2868156609632486</v>
      </c>
      <c r="BO183" s="544" t="n">
        <v>-0.1062296654018854</v>
      </c>
      <c r="BP183" s="23" t="n"/>
      <c r="BQ183" s="705" t="n"/>
      <c r="BR183" s="487" t="n"/>
      <c r="BS183" s="487" t="n"/>
      <c r="BT183" s="487" t="n"/>
    </row>
    <row r="184">
      <c r="A184" t="n">
        <v>30</v>
      </c>
      <c r="B184" s="701" t="n">
        <v>0</v>
      </c>
      <c r="C184" s="702" t="n">
        <v>0</v>
      </c>
      <c r="D184" s="702" t="n">
        <v>0</v>
      </c>
      <c r="E184" s="702" t="n">
        <v>0</v>
      </c>
      <c r="F184" s="702" t="n">
        <v>0</v>
      </c>
      <c r="G184" s="702" t="n">
        <v>0</v>
      </c>
      <c r="H184" s="702" t="n">
        <v>0</v>
      </c>
      <c r="I184" s="702" t="n">
        <v>0</v>
      </c>
      <c r="J184" s="702" t="n">
        <v>0</v>
      </c>
      <c r="K184" s="702" t="n">
        <v>0</v>
      </c>
      <c r="L184" s="702" t="n">
        <v>0</v>
      </c>
      <c r="M184" s="702" t="n">
        <v>0</v>
      </c>
      <c r="N184" s="702" t="n">
        <v>0</v>
      </c>
      <c r="O184" s="702" t="n">
        <v>0</v>
      </c>
      <c r="P184" s="702" t="n">
        <v>0</v>
      </c>
      <c r="Q184" s="702" t="n">
        <v>0</v>
      </c>
      <c r="R184" s="702" t="n">
        <v>0</v>
      </c>
      <c r="S184" s="702" t="n">
        <v>0</v>
      </c>
      <c r="T184" s="702" t="n">
        <v>0</v>
      </c>
      <c r="U184" s="702" t="n">
        <v>0</v>
      </c>
      <c r="V184" s="702" t="n">
        <v>0</v>
      </c>
      <c r="W184" s="702" t="n">
        <v>0</v>
      </c>
      <c r="X184" s="702" t="n">
        <v>0</v>
      </c>
      <c r="Y184" s="702" t="n">
        <v>0</v>
      </c>
      <c r="Z184" s="702" t="n">
        <v>0</v>
      </c>
      <c r="AA184" s="702" t="n">
        <v>0</v>
      </c>
      <c r="AB184" s="702" t="n">
        <v>0</v>
      </c>
      <c r="AC184" s="702" t="n">
        <v>0</v>
      </c>
      <c r="AD184" s="702" t="n">
        <v>0</v>
      </c>
      <c r="AE184" s="702" t="n">
        <v>1</v>
      </c>
      <c r="AF184" s="702" t="n">
        <v>0</v>
      </c>
      <c r="AG184" s="703" t="n">
        <v>0</v>
      </c>
      <c r="AH184" s="704" t="n"/>
      <c r="AI184" s="23" t="n">
        <v>30</v>
      </c>
      <c r="AJ184" s="543" t="n">
        <v>-0.03875557536124442</v>
      </c>
      <c r="AK184" s="1" t="n">
        <v>-0.08182785595138417</v>
      </c>
      <c r="AL184" s="1" t="n">
        <v>0.1880398472951751</v>
      </c>
      <c r="AM184" s="1" t="n">
        <v>-0.03219662036820983</v>
      </c>
      <c r="AN184" s="1" t="n">
        <v>-0.09780032435873331</v>
      </c>
      <c r="AO184" s="1" t="n">
        <v>0.04348320464685221</v>
      </c>
      <c r="AP184" s="1" t="n">
        <v>0.02876985099432656</v>
      </c>
      <c r="AQ184" s="1" t="n">
        <v>-0.03219657830213729</v>
      </c>
      <c r="AR184" s="1" t="n">
        <v>0.144815015043261</v>
      </c>
      <c r="AS184" s="1" t="n">
        <v>0.01199121594826974</v>
      </c>
      <c r="AT184" s="1" t="n">
        <v>0.02650976691887382</v>
      </c>
      <c r="AU184" s="1" t="n">
        <v>-0.03875551745833945</v>
      </c>
      <c r="AV184" s="1" t="n">
        <v>0.01259869202729626</v>
      </c>
      <c r="AW184" s="1" t="n">
        <v>-0.02182712898411361</v>
      </c>
      <c r="AX184" s="1" t="n">
        <v>0.01413420150545497</v>
      </c>
      <c r="AY184" s="1" t="n">
        <v>0.03762901456087531</v>
      </c>
      <c r="AZ184" s="1" t="n">
        <v>-0.07846698971604694</v>
      </c>
      <c r="BA184" s="1" t="n">
        <v>0.02128905914088092</v>
      </c>
      <c r="BB184" s="1" t="n">
        <v>0.0253874435852419</v>
      </c>
      <c r="BC184" s="1" t="n">
        <v>-0.2120809696439619</v>
      </c>
      <c r="BD184" s="1" t="n">
        <v>0.02207929385206017</v>
      </c>
      <c r="BE184" s="1" t="n">
        <v>0.01279057688751155</v>
      </c>
      <c r="BF184" s="1" t="n">
        <v>0.03429563068177684</v>
      </c>
      <c r="BG184" s="1" t="n">
        <v>-0.1062527083193741</v>
      </c>
      <c r="BH184" s="1" t="n">
        <v>0.007114653544693678</v>
      </c>
      <c r="BI184" s="1" t="n">
        <v>0.02997255335333185</v>
      </c>
      <c r="BJ184" s="1" t="n">
        <v>-0.05949470735118382</v>
      </c>
      <c r="BK184" s="1" t="n">
        <v>0.05178283252055274</v>
      </c>
      <c r="BL184" s="1" t="n">
        <v>-0.2101475185558615</v>
      </c>
      <c r="BM184" s="1" t="n">
        <v>0.66332651115826</v>
      </c>
      <c r="BN184" s="1" t="n">
        <v>-0.1519198731597197</v>
      </c>
      <c r="BO184" s="544" t="n">
        <v>0.008858548559261357</v>
      </c>
      <c r="BP184" s="23" t="n"/>
      <c r="BQ184" s="705" t="n"/>
      <c r="BR184" s="487" t="n"/>
      <c r="BS184" s="487" t="n"/>
      <c r="BT184" s="487" t="n"/>
    </row>
    <row r="185">
      <c r="A185" t="n">
        <v>31</v>
      </c>
      <c r="B185" s="701" t="n">
        <v>0</v>
      </c>
      <c r="C185" s="702" t="n">
        <v>0</v>
      </c>
      <c r="D185" s="702" t="n">
        <v>0</v>
      </c>
      <c r="E185" s="702" t="n">
        <v>0</v>
      </c>
      <c r="F185" s="702" t="n">
        <v>0</v>
      </c>
      <c r="G185" s="702" t="n">
        <v>0</v>
      </c>
      <c r="H185" s="702" t="n">
        <v>0</v>
      </c>
      <c r="I185" s="702" t="n">
        <v>0</v>
      </c>
      <c r="J185" s="702" t="n">
        <v>0</v>
      </c>
      <c r="K185" s="702" t="n">
        <v>0</v>
      </c>
      <c r="L185" s="702" t="n">
        <v>0</v>
      </c>
      <c r="M185" s="702" t="n">
        <v>0</v>
      </c>
      <c r="N185" s="702" t="n">
        <v>0</v>
      </c>
      <c r="O185" s="702" t="n">
        <v>0</v>
      </c>
      <c r="P185" s="702" t="n">
        <v>0</v>
      </c>
      <c r="Q185" s="702" t="n">
        <v>0</v>
      </c>
      <c r="R185" s="702" t="n">
        <v>0</v>
      </c>
      <c r="S185" s="702" t="n">
        <v>0</v>
      </c>
      <c r="T185" s="702" t="n">
        <v>0</v>
      </c>
      <c r="U185" s="702" t="n">
        <v>0</v>
      </c>
      <c r="V185" s="702" t="n">
        <v>0</v>
      </c>
      <c r="W185" s="702" t="n">
        <v>0</v>
      </c>
      <c r="X185" s="702" t="n">
        <v>0</v>
      </c>
      <c r="Y185" s="702" t="n">
        <v>0</v>
      </c>
      <c r="Z185" s="702" t="n">
        <v>0</v>
      </c>
      <c r="AA185" s="702" t="n">
        <v>0</v>
      </c>
      <c r="AB185" s="702" t="n">
        <v>0</v>
      </c>
      <c r="AC185" s="702" t="n">
        <v>0</v>
      </c>
      <c r="AD185" s="702" t="n">
        <v>0</v>
      </c>
      <c r="AE185" s="702" t="n">
        <v>0</v>
      </c>
      <c r="AF185" s="702" t="n">
        <v>1</v>
      </c>
      <c r="AG185" s="703" t="n">
        <v>0</v>
      </c>
      <c r="AH185" s="704" t="n"/>
      <c r="AI185" s="23" t="n">
        <v>31</v>
      </c>
      <c r="AJ185" s="543" t="n">
        <v>0.04715052626417884</v>
      </c>
      <c r="AK185" s="1" t="n">
        <v>-0.1346699799852333</v>
      </c>
      <c r="AL185" s="1" t="n">
        <v>-0.1113432564738989</v>
      </c>
      <c r="AM185" s="1" t="n">
        <v>0.05012593539400633</v>
      </c>
      <c r="AN185" s="1" t="n">
        <v>0.1654366184525417</v>
      </c>
      <c r="AO185" s="1" t="n">
        <v>-0.01466495361784906</v>
      </c>
      <c r="AP185" s="1" t="n">
        <v>0.04222102692932656</v>
      </c>
      <c r="AQ185" s="1" t="n">
        <v>0.05012586990262203</v>
      </c>
      <c r="AR185" s="1" t="n">
        <v>-0.02519726536434155</v>
      </c>
      <c r="AS185" s="1" t="n">
        <v>-0.004080556445699424</v>
      </c>
      <c r="AT185" s="1" t="n">
        <v>-0.05799264526074622</v>
      </c>
      <c r="AU185" s="1" t="n">
        <v>0.04715045581876778</v>
      </c>
      <c r="AV185" s="1" t="n">
        <v>-0.05191075862749173</v>
      </c>
      <c r="AW185" s="1" t="n">
        <v>0.04370085478721301</v>
      </c>
      <c r="AX185" s="1" t="n">
        <v>-0.02117319300473108</v>
      </c>
      <c r="AY185" s="1" t="n">
        <v>-0.04251325230208892</v>
      </c>
      <c r="AZ185" s="1" t="n">
        <v>0.03104007110158985</v>
      </c>
      <c r="BA185" s="1" t="n">
        <v>-0.102308034136753</v>
      </c>
      <c r="BB185" s="1" t="n">
        <v>0.02097463043649261</v>
      </c>
      <c r="BC185" s="1" t="n">
        <v>0.06462920732971147</v>
      </c>
      <c r="BD185" s="1" t="n">
        <v>0.0192130585010663</v>
      </c>
      <c r="BE185" s="1" t="n">
        <v>0.05196813728580273</v>
      </c>
      <c r="BF185" s="1" t="n">
        <v>0.08078857584297335</v>
      </c>
      <c r="BG185" s="1" t="n">
        <v>-0.06620731978193885</v>
      </c>
      <c r="BH185" s="1" t="n">
        <v>-0.07583973928216046</v>
      </c>
      <c r="BI185" s="1" t="n">
        <v>-0.009922712565743064</v>
      </c>
      <c r="BJ185" s="1" t="n">
        <v>-0.09365151032446316</v>
      </c>
      <c r="BK185" s="1" t="n">
        <v>0.1246143608932705</v>
      </c>
      <c r="BL185" s="1" t="n">
        <v>-0.2868156609632486</v>
      </c>
      <c r="BM185" s="1" t="n">
        <v>-0.1519198731597196</v>
      </c>
      <c r="BN185" s="1" t="n">
        <v>0.4946363678775944</v>
      </c>
      <c r="BO185" s="544" t="n">
        <v>0.06484497632967451</v>
      </c>
      <c r="BP185" s="23" t="n"/>
      <c r="BQ185" s="705" t="n"/>
      <c r="BR185" s="487" t="n"/>
      <c r="BS185" s="487" t="n"/>
      <c r="BT185" s="487" t="n"/>
    </row>
    <row r="186">
      <c r="A186" t="n">
        <v>32</v>
      </c>
      <c r="B186" s="701" t="n">
        <v>0</v>
      </c>
      <c r="C186" s="702" t="n">
        <v>0</v>
      </c>
      <c r="D186" s="702" t="n">
        <v>0</v>
      </c>
      <c r="E186" s="702" t="n">
        <v>0</v>
      </c>
      <c r="F186" s="702" t="n">
        <v>0</v>
      </c>
      <c r="G186" s="702" t="n">
        <v>0</v>
      </c>
      <c r="H186" s="702" t="n">
        <v>0</v>
      </c>
      <c r="I186" s="702" t="n">
        <v>0</v>
      </c>
      <c r="J186" s="702" t="n">
        <v>0</v>
      </c>
      <c r="K186" s="702" t="n">
        <v>0</v>
      </c>
      <c r="L186" s="702" t="n">
        <v>0</v>
      </c>
      <c r="M186" s="702" t="n">
        <v>0</v>
      </c>
      <c r="N186" s="702" t="n">
        <v>0</v>
      </c>
      <c r="O186" s="702" t="n">
        <v>0</v>
      </c>
      <c r="P186" s="702" t="n">
        <v>0</v>
      </c>
      <c r="Q186" s="702" t="n">
        <v>0</v>
      </c>
      <c r="R186" s="702" t="n">
        <v>0</v>
      </c>
      <c r="S186" s="702" t="n">
        <v>0</v>
      </c>
      <c r="T186" s="702" t="n">
        <v>0</v>
      </c>
      <c r="U186" s="702" t="n">
        <v>0</v>
      </c>
      <c r="V186" s="702" t="n">
        <v>0</v>
      </c>
      <c r="W186" s="702" t="n">
        <v>0</v>
      </c>
      <c r="X186" s="702" t="n">
        <v>0</v>
      </c>
      <c r="Y186" s="702" t="n">
        <v>0</v>
      </c>
      <c r="Z186" s="702" t="n">
        <v>0</v>
      </c>
      <c r="AA186" s="702" t="n">
        <v>0</v>
      </c>
      <c r="AB186" s="702" t="n">
        <v>0</v>
      </c>
      <c r="AC186" s="702" t="n">
        <v>0</v>
      </c>
      <c r="AD186" s="702" t="n">
        <v>0</v>
      </c>
      <c r="AE186" s="702" t="n">
        <v>0</v>
      </c>
      <c r="AF186" s="702" t="n">
        <v>0</v>
      </c>
      <c r="AG186" s="703" t="n">
        <v>1</v>
      </c>
      <c r="AH186" s="704" t="n"/>
      <c r="AI186" s="23" t="n">
        <v>32</v>
      </c>
      <c r="AJ186" s="543" t="n">
        <v>-0.02586736130083109</v>
      </c>
      <c r="AK186" s="14" t="n">
        <v>-0.07489480674787354</v>
      </c>
      <c r="AL186" s="14" t="n">
        <v>-0.01976294139946749</v>
      </c>
      <c r="AM186" s="14" t="n">
        <v>-0.01222924161768139</v>
      </c>
      <c r="AN186" s="14" t="n">
        <v>-0.0853492494454533</v>
      </c>
      <c r="AO186" s="14" t="n">
        <v>0.008241548579331112</v>
      </c>
      <c r="AP186" s="14" t="n">
        <v>-0.01346156718990858</v>
      </c>
      <c r="AQ186" s="14" t="n">
        <v>-0.01222922563972593</v>
      </c>
      <c r="AR186" s="14" t="n">
        <v>-0.03594624271045087</v>
      </c>
      <c r="AS186" s="14" t="n">
        <v>0.02387889373112669</v>
      </c>
      <c r="AT186" s="14" t="n">
        <v>0.01563449402355416</v>
      </c>
      <c r="AU186" s="14" t="n">
        <v>-0.02586732265360814</v>
      </c>
      <c r="AV186" s="14" t="n">
        <v>-0.1557457832470088</v>
      </c>
      <c r="AW186" s="14" t="n">
        <v>0.023288387740576</v>
      </c>
      <c r="AX186" s="14" t="n">
        <v>0.1659839207927143</v>
      </c>
      <c r="AY186" s="14" t="n">
        <v>-0.05317563762107446</v>
      </c>
      <c r="AZ186" s="14" t="n">
        <v>0.1365835755461867</v>
      </c>
      <c r="BA186" s="14" t="n">
        <v>0.2730159833621025</v>
      </c>
      <c r="BB186" s="14" t="n">
        <v>-0.08944894431948344</v>
      </c>
      <c r="BC186" s="14" t="n">
        <v>0.02293698108650911</v>
      </c>
      <c r="BD186" s="14" t="n">
        <v>-0.01274645415589966</v>
      </c>
      <c r="BE186" s="14" t="n">
        <v>-0.03957671137127577</v>
      </c>
      <c r="BF186" s="14" t="n">
        <v>-0.06832206522341797</v>
      </c>
      <c r="BG186" s="14" t="n">
        <v>0.05387831944011229</v>
      </c>
      <c r="BH186" s="14" t="n">
        <v>0.05560227767270128</v>
      </c>
      <c r="BI186" s="14" t="n">
        <v>0.01116463363777982</v>
      </c>
      <c r="BJ186" s="14" t="n">
        <v>0.03296419912139546</v>
      </c>
      <c r="BK186" s="14" t="n">
        <v>-0.01151227219989604</v>
      </c>
      <c r="BL186" s="14" t="n">
        <v>-0.1062296654018853</v>
      </c>
      <c r="BM186" s="14" t="n">
        <v>0.008858548559261201</v>
      </c>
      <c r="BN186" s="14" t="n">
        <v>0.06484497632967447</v>
      </c>
      <c r="BO186" s="544" t="n">
        <v>0.7156894319531724</v>
      </c>
      <c r="BP186" s="23" t="n"/>
      <c r="BQ186" s="705" t="n"/>
      <c r="BR186" s="487" t="n"/>
      <c r="BS186" s="487" t="n"/>
      <c r="BT186" s="487" t="n"/>
    </row>
    <row r="187">
      <c r="B187" s="701" t="n"/>
      <c r="C187" s="702" t="n"/>
      <c r="D187" s="702" t="n"/>
      <c r="E187" s="702" t="n"/>
      <c r="F187" s="702" t="n"/>
      <c r="G187" s="702" t="n"/>
      <c r="H187" s="702" t="n"/>
      <c r="I187" s="702" t="n"/>
      <c r="J187" s="702" t="n"/>
      <c r="K187" s="702" t="n"/>
      <c r="L187" s="702" t="n"/>
      <c r="M187" s="702" t="n"/>
      <c r="N187" s="702" t="n"/>
      <c r="O187" s="702" t="n"/>
      <c r="P187" s="702" t="n"/>
      <c r="Q187" s="702" t="n"/>
      <c r="R187" s="702" t="n"/>
      <c r="S187" s="702" t="n"/>
      <c r="T187" s="702" t="n"/>
      <c r="U187" s="702" t="n"/>
      <c r="V187" s="702" t="n"/>
      <c r="W187" s="702" t="n"/>
      <c r="X187" s="702" t="n"/>
      <c r="Y187" s="702" t="n"/>
      <c r="Z187" s="702" t="n"/>
      <c r="AA187" s="702" t="n"/>
      <c r="AB187" s="702" t="n"/>
      <c r="AC187" s="702" t="n"/>
      <c r="AD187" s="702" t="n"/>
      <c r="AE187" s="702" t="n"/>
      <c r="AF187" s="702" t="n"/>
      <c r="AG187" s="703" t="n"/>
      <c r="AH187" s="704" t="n"/>
      <c r="AI187" s="23" t="n"/>
      <c r="AJ187" s="54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 t="n"/>
      <c r="AT187" s="23" t="n"/>
      <c r="AU187" s="23" t="n"/>
      <c r="AV187" s="23" t="n"/>
      <c r="AW187" s="23" t="n"/>
      <c r="AX187" s="23" t="n"/>
      <c r="AY187" s="23" t="n"/>
      <c r="AZ187" s="23" t="n"/>
      <c r="BA187" s="23" t="n"/>
      <c r="BB187" s="23" t="n"/>
      <c r="BC187" s="23" t="n"/>
      <c r="BD187" s="23" t="n"/>
      <c r="BE187" s="23" t="n"/>
      <c r="BF187" s="23" t="n"/>
      <c r="BG187" s="23" t="n"/>
      <c r="BH187" s="23" t="n"/>
      <c r="BI187" s="23" t="n"/>
      <c r="BJ187" s="23" t="n"/>
      <c r="BK187" s="23" t="n"/>
      <c r="BL187" s="23" t="n"/>
      <c r="BM187" s="23" t="n"/>
      <c r="BN187" s="23" t="n"/>
      <c r="BO187" s="544" t="n"/>
      <c r="BP187" s="23" t="n"/>
      <c r="BQ187" s="705" t="n"/>
      <c r="BR187" s="487" t="n"/>
      <c r="BS187" s="487" t="n"/>
      <c r="BT187" s="487" t="n"/>
    </row>
    <row r="188">
      <c r="B188" s="701" t="n"/>
      <c r="C188" s="702" t="n"/>
      <c r="D188" s="702" t="n"/>
      <c r="E188" s="702" t="n"/>
      <c r="F188" s="702" t="n"/>
      <c r="G188" s="702" t="n"/>
      <c r="H188" s="702" t="n"/>
      <c r="I188" s="702" t="n"/>
      <c r="J188" s="702" t="n"/>
      <c r="K188" s="702" t="n"/>
      <c r="L188" s="702" t="n"/>
      <c r="M188" s="702" t="n"/>
      <c r="N188" s="702" t="n"/>
      <c r="O188" s="702" t="n"/>
      <c r="P188" s="702" t="n"/>
      <c r="Q188" s="702" t="n"/>
      <c r="R188" s="702" t="n"/>
      <c r="S188" s="702" t="n"/>
      <c r="T188" s="702" t="n"/>
      <c r="U188" s="702" t="n"/>
      <c r="V188" s="702" t="n"/>
      <c r="W188" s="702" t="n"/>
      <c r="X188" s="702" t="n"/>
      <c r="Y188" s="702" t="n"/>
      <c r="Z188" s="702" t="n"/>
      <c r="AA188" s="702" t="n"/>
      <c r="AB188" s="702" t="n"/>
      <c r="AC188" s="702" t="n"/>
      <c r="AD188" s="702" t="n"/>
      <c r="AE188" s="702" t="n"/>
      <c r="AF188" s="702" t="n"/>
      <c r="AG188" s="703" t="n"/>
      <c r="AH188" s="704" t="n"/>
      <c r="AI188" s="23" t="n"/>
      <c r="AJ188" s="543" t="n"/>
      <c r="AK188" s="706" t="inlineStr">
        <is>
          <t>Test lokalny</t>
        </is>
      </c>
      <c r="AL188" s="596" t="n"/>
      <c r="AM188" s="597" t="n"/>
      <c r="AN188" s="23" t="n"/>
      <c r="AO188" s="23" t="n"/>
      <c r="AP188" s="23" t="n"/>
      <c r="AQ188" s="23" t="n"/>
      <c r="AR188" s="23" t="n"/>
      <c r="AS188" s="23" t="n"/>
      <c r="AV188" s="23" t="n"/>
      <c r="AW188" s="23" t="n"/>
      <c r="AX188" s="23" t="n"/>
      <c r="AY188" s="23" t="n"/>
      <c r="AZ188" s="23" t="n"/>
      <c r="BA188" s="23" t="n"/>
      <c r="BB188" s="23" t="n"/>
      <c r="BC188" s="23" t="n"/>
      <c r="BD188" s="23" t="n"/>
      <c r="BE188" s="23" t="n"/>
      <c r="BF188" s="23" t="n"/>
      <c r="BG188" s="23" t="n"/>
      <c r="BH188" s="23" t="n"/>
      <c r="BI188" s="23" t="n"/>
      <c r="BJ188" s="23" t="n"/>
      <c r="BK188" s="23" t="n"/>
      <c r="BL188" s="23" t="n"/>
      <c r="BM188" s="23" t="n"/>
      <c r="BN188" s="23" t="n"/>
      <c r="BO188" s="544" t="n"/>
      <c r="BP188" s="23" t="n"/>
      <c r="BQ188" s="705" t="n"/>
      <c r="BR188" s="487" t="n"/>
      <c r="BS188" s="487" t="n"/>
      <c r="BT188" s="487" t="n"/>
    </row>
    <row r="189">
      <c r="B189" s="701" t="inlineStr">
        <is>
          <t>Cv</t>
        </is>
      </c>
      <c r="C189" s="506" t="n"/>
      <c r="D189" s="506" t="n"/>
      <c r="E189" s="506" t="n"/>
      <c r="F189" s="506" t="n"/>
      <c r="G189" s="506" t="n"/>
      <c r="H189" s="506" t="n"/>
      <c r="I189" s="506" t="n"/>
      <c r="J189" s="506" t="n"/>
      <c r="K189" s="506" t="n"/>
      <c r="L189" s="506" t="n"/>
      <c r="M189" s="506" t="n"/>
      <c r="N189" s="506" t="n"/>
      <c r="O189" s="506" t="n"/>
      <c r="P189" s="506" t="n"/>
      <c r="Q189" s="506" t="n"/>
      <c r="R189" s="506" t="n"/>
      <c r="S189" s="506" t="n"/>
      <c r="T189" s="506" t="n"/>
      <c r="U189" s="506" t="n"/>
      <c r="V189" s="506" t="n"/>
      <c r="W189" s="506" t="n"/>
      <c r="X189" s="506" t="n"/>
      <c r="Y189" s="506" t="n"/>
      <c r="Z189" s="506" t="n"/>
      <c r="AA189" s="506" t="n"/>
      <c r="AB189" s="506" t="n"/>
      <c r="AC189" s="506" t="n"/>
      <c r="AD189" s="506" t="n"/>
      <c r="AE189" s="506" t="n"/>
      <c r="AF189" s="506" t="n"/>
      <c r="AG189" s="507" t="n"/>
      <c r="AH189" s="704" t="n"/>
      <c r="AI189" s="103" t="inlineStr">
        <is>
          <t>s</t>
        </is>
      </c>
      <c r="AJ189" s="543" t="n"/>
      <c r="AK189" s="260" t="inlineStr">
        <is>
          <t>Qvi</t>
        </is>
      </c>
      <c r="AL189" s="277" t="inlineStr">
        <is>
          <t>ui</t>
        </is>
      </c>
      <c r="AM189" s="260" t="inlineStr">
        <is>
          <t>Warunek</t>
        </is>
      </c>
      <c r="AN189" s="23" t="n"/>
      <c r="AO189" s="707" t="inlineStr">
        <is>
          <t>Test globalny</t>
        </is>
      </c>
      <c r="AP189" s="597" t="n"/>
      <c r="AQ189" s="23" t="n"/>
      <c r="AR189" s="23" t="n"/>
      <c r="AV189" s="23" t="n"/>
      <c r="AW189" s="23" t="n"/>
      <c r="AX189" s="23" t="n"/>
      <c r="AY189" s="23" t="n"/>
      <c r="AZ189" s="23" t="n"/>
      <c r="BA189" s="23" t="n"/>
      <c r="BB189" s="23" t="n"/>
      <c r="BC189" s="23" t="n"/>
      <c r="BD189" s="23" t="n"/>
      <c r="BE189" s="23" t="n"/>
      <c r="BF189" s="23" t="n"/>
      <c r="BG189" s="23" t="n"/>
      <c r="BH189" s="23" t="n"/>
      <c r="BI189" s="23" t="n"/>
      <c r="BJ189" s="23" t="n"/>
      <c r="BK189" s="23" t="n"/>
      <c r="BL189" s="23" t="n"/>
      <c r="BM189" s="23" t="n"/>
      <c r="BN189" s="23" t="n"/>
      <c r="BO189" s="544" t="n"/>
      <c r="BP189" s="23" t="n"/>
      <c r="BQ189" s="705" t="n"/>
      <c r="BR189" s="487" t="n"/>
      <c r="BS189" s="487" t="n"/>
      <c r="BT189" s="487" t="n"/>
    </row>
    <row r="190">
      <c r="A190" t="n">
        <v>1</v>
      </c>
      <c r="B190" s="701">
        <f t="array" ref="B190:AG221">_xlfn.ANCHORARRAY(B155)-_xlfn.ANCHORARRAY(AJ155)</f>
        <v/>
      </c>
      <c r="C190" s="702" t="n">
        <v>0.00458665622884618</v>
      </c>
      <c r="D190" s="702" t="n">
        <v>0.02514522396139462</v>
      </c>
      <c r="E190" s="702" t="n">
        <v>-0.0557110290915428</v>
      </c>
      <c r="F190" s="702" t="n">
        <v>-0.07259895458687853</v>
      </c>
      <c r="G190" s="702" t="n">
        <v>-0.1286048859272834</v>
      </c>
      <c r="H190" s="702" t="n">
        <v>0.05720918967344831</v>
      </c>
      <c r="I190" s="702" t="n">
        <v>-0.05571095630302748</v>
      </c>
      <c r="J190" s="702" t="n">
        <v>-0.04537559224892714</v>
      </c>
      <c r="K190" s="702" t="n">
        <v>-0.09283597919840504</v>
      </c>
      <c r="L190" s="702" t="n">
        <v>-0.2083672033197031</v>
      </c>
      <c r="M190" s="702" t="n">
        <v>-0.2655149284812723</v>
      </c>
      <c r="N190" s="702" t="n">
        <v>0.007816109742312283</v>
      </c>
      <c r="O190" s="702" t="n">
        <v>0.06153297287199222</v>
      </c>
      <c r="P190" s="702" t="n">
        <v>0.003422558325052262</v>
      </c>
      <c r="Q190" s="702" t="n">
        <v>-0.01111421728776117</v>
      </c>
      <c r="R190" s="702" t="n">
        <v>-0.01140149479472648</v>
      </c>
      <c r="S190" s="702" t="n">
        <v>-0.03346618823590719</v>
      </c>
      <c r="T190" s="702" t="n">
        <v>-0.04948655233166156</v>
      </c>
      <c r="U190" s="702" t="n">
        <v>0.003678995166684344</v>
      </c>
      <c r="V190" s="702" t="n">
        <v>0.04618930495752269</v>
      </c>
      <c r="W190" s="702" t="n">
        <v>0.006365571112860235</v>
      </c>
      <c r="X190" s="702" t="n">
        <v>0.03246767165860998</v>
      </c>
      <c r="Y190" s="702" t="n">
        <v>0.07430511825860255</v>
      </c>
      <c r="Z190" s="702" t="n">
        <v>-0.06777500925307936</v>
      </c>
      <c r="AA190" s="702" t="n">
        <v>-0.0915526567345161</v>
      </c>
      <c r="AB190" s="702" t="n">
        <v>0.06626892797580575</v>
      </c>
      <c r="AC190" s="702" t="n">
        <v>0.0004156640783736822</v>
      </c>
      <c r="AD190" s="702" t="n">
        <v>-0.01658685635014134</v>
      </c>
      <c r="AE190" s="702" t="n">
        <v>0.03875557536124445</v>
      </c>
      <c r="AF190" s="702" t="n">
        <v>-0.04715052626417889</v>
      </c>
      <c r="AG190" s="703" t="n">
        <v>0.02586736130083116</v>
      </c>
      <c r="AH190" s="704" t="n"/>
      <c r="AI190" s="2">
        <f t="array" ref="AI190">SQRT(INDEX(_xlfn.ANCHORARRAY($B$190),A190,A190))</f>
        <v/>
      </c>
      <c r="AJ190" s="543" t="n"/>
      <c r="AK190" s="2">
        <f>$AP$191*AI190</f>
        <v/>
      </c>
      <c r="AL190" s="104">
        <f>ABS(Y119/AK190)</f>
        <v/>
      </c>
      <c r="AM190" s="107">
        <f>IF(AL190&lt;2.5,"Spełniony","Nie spełniony")</f>
        <v/>
      </c>
      <c r="AN190" s="23" t="n"/>
      <c r="AO190" s="101" t="inlineStr">
        <is>
          <t>m0krytyczne</t>
        </is>
      </c>
      <c r="AP190" s="102">
        <f>CHIINV(0.05,19)/19</f>
        <v/>
      </c>
      <c r="AQ190" s="23" t="n"/>
      <c r="AR190" s="23" t="n"/>
      <c r="AV190" s="23" t="n"/>
      <c r="AW190" s="23" t="n"/>
      <c r="AX190" s="23" t="n"/>
      <c r="AY190" s="23" t="n"/>
      <c r="AZ190" s="23" t="n"/>
      <c r="BA190" s="23" t="n"/>
      <c r="BB190" s="23" t="n"/>
      <c r="BC190" s="23" t="n"/>
      <c r="BD190" s="23" t="n"/>
      <c r="BE190" s="23" t="n"/>
      <c r="BF190" s="23" t="n"/>
      <c r="BG190" s="23" t="n"/>
      <c r="BH190" s="23" t="n"/>
      <c r="BI190" s="23" t="n"/>
      <c r="BJ190" s="23" t="n"/>
      <c r="BK190" s="23" t="n"/>
      <c r="BL190" s="23" t="n"/>
      <c r="BM190" s="23" t="n"/>
      <c r="BN190" s="23" t="n"/>
      <c r="BO190" s="544" t="n"/>
      <c r="BP190" s="23" t="n"/>
      <c r="BQ190" s="705" t="n"/>
      <c r="BR190" s="487" t="n"/>
      <c r="BS190" s="487" t="n"/>
      <c r="BT190" s="487" t="n"/>
    </row>
    <row r="191">
      <c r="A191" t="n">
        <v>2</v>
      </c>
      <c r="B191" s="701" t="n">
        <v>0.0045866562288462</v>
      </c>
      <c r="C191" s="702" t="n">
        <v>0.7727918728747157</v>
      </c>
      <c r="D191" s="702" t="n">
        <v>-0.09644525657834678</v>
      </c>
      <c r="E191" s="702" t="n">
        <v>0.005098949264373653</v>
      </c>
      <c r="F191" s="702" t="n">
        <v>-0.03122870223129613</v>
      </c>
      <c r="G191" s="702" t="n">
        <v>-0.0171815112334583</v>
      </c>
      <c r="H191" s="702" t="n">
        <v>-0.05425731394011916</v>
      </c>
      <c r="I191" s="702" t="n">
        <v>0.00509894260240832</v>
      </c>
      <c r="J191" s="702" t="n">
        <v>-0.1013640240773068</v>
      </c>
      <c r="K191" s="702" t="n">
        <v>0.009611030275552466</v>
      </c>
      <c r="L191" s="702" t="n">
        <v>-0.00569513792898527</v>
      </c>
      <c r="M191" s="702" t="n">
        <v>0.004586649376136148</v>
      </c>
      <c r="N191" s="702" t="n">
        <v>-0.03258754239121291</v>
      </c>
      <c r="O191" s="702" t="n">
        <v>0.01653066811839084</v>
      </c>
      <c r="P191" s="702" t="n">
        <v>-0.00760104343172812</v>
      </c>
      <c r="Q191" s="702" t="n">
        <v>0.009675547400277054</v>
      </c>
      <c r="R191" s="702" t="n">
        <v>-0.1072162623763003</v>
      </c>
      <c r="S191" s="702" t="n">
        <v>-0.04424580522307387</v>
      </c>
      <c r="T191" s="702" t="n">
        <v>-0.05562179797405698</v>
      </c>
      <c r="U191" s="702" t="n">
        <v>-0.04271701676241851</v>
      </c>
      <c r="V191" s="702" t="n">
        <v>0.004791714670850718</v>
      </c>
      <c r="W191" s="702" t="n">
        <v>0.02644557448560203</v>
      </c>
      <c r="X191" s="702" t="n">
        <v>0.09567225102247293</v>
      </c>
      <c r="Y191" s="702" t="n">
        <v>-0.2087087474256643</v>
      </c>
      <c r="Z191" s="702" t="n">
        <v>0.06646206398367062</v>
      </c>
      <c r="AA191" s="702" t="n">
        <v>0.01533714326306802</v>
      </c>
      <c r="AB191" s="702" t="n">
        <v>0.09684040367116298</v>
      </c>
      <c r="AC191" s="702" t="n">
        <v>-0.1070939128231065</v>
      </c>
      <c r="AD191" s="702" t="n">
        <v>-0.1494705080220718</v>
      </c>
      <c r="AE191" s="702" t="n">
        <v>0.08182785595138421</v>
      </c>
      <c r="AF191" s="702" t="n">
        <v>0.1346699799852333</v>
      </c>
      <c r="AG191" s="703" t="n">
        <v>0.07489480674787359</v>
      </c>
      <c r="AH191" s="704" t="n"/>
      <c r="AI191" s="3">
        <f t="array" ref="AI191">SQRT(INDEX(_xlfn.ANCHORARRAY($B$190),A191,A191))</f>
        <v/>
      </c>
      <c r="AJ191" s="543" t="n"/>
      <c r="AK191" s="3">
        <f>$AP$191*AI191</f>
        <v/>
      </c>
      <c r="AL191" s="105">
        <f>ABS(Y120/AK191)</f>
        <v/>
      </c>
      <c r="AM191" s="108">
        <f>IF(AL191&lt;2.5,"Spełniony","Nie spełniony")</f>
        <v/>
      </c>
      <c r="AN191" s="23" t="n"/>
      <c r="AO191" s="87" t="inlineStr">
        <is>
          <t>m0'</t>
        </is>
      </c>
      <c r="AP191" s="87">
        <f>AB131</f>
        <v/>
      </c>
      <c r="AQ191" s="23" t="n"/>
      <c r="AR191" s="23" t="n"/>
      <c r="AV191" s="23" t="n"/>
      <c r="AW191" s="23" t="n"/>
      <c r="AX191" s="23" t="n"/>
      <c r="AY191" s="23" t="n"/>
      <c r="AZ191" s="23" t="n"/>
      <c r="BA191" s="23" t="n"/>
      <c r="BB191" s="23" t="n"/>
      <c r="BC191" s="23" t="n"/>
      <c r="BD191" s="23" t="n"/>
      <c r="BE191" s="23" t="n"/>
      <c r="BF191" s="23" t="n"/>
      <c r="BG191" s="23" t="n"/>
      <c r="BH191" s="23" t="n"/>
      <c r="BI191" s="23" t="n"/>
      <c r="BJ191" s="23" t="n"/>
      <c r="BK191" s="23" t="n"/>
      <c r="BL191" s="23" t="n"/>
      <c r="BM191" s="23" t="n"/>
      <c r="BN191" s="23" t="n"/>
      <c r="BO191" s="544" t="n"/>
      <c r="BP191" s="23" t="n"/>
      <c r="BQ191" s="705" t="n"/>
      <c r="BR191" s="487" t="n"/>
      <c r="BS191" s="487" t="n"/>
      <c r="BT191" s="487" t="n"/>
    </row>
    <row r="192">
      <c r="A192" t="n">
        <v>3</v>
      </c>
      <c r="B192" s="701" t="n">
        <v>0.02514522396139462</v>
      </c>
      <c r="C192" s="702" t="n">
        <v>-0.09644525657834681</v>
      </c>
      <c r="D192" s="702" t="n">
        <v>0.7514726700137544</v>
      </c>
      <c r="E192" s="702" t="n">
        <v>0.0408886642161857</v>
      </c>
      <c r="F192" s="702" t="n">
        <v>0.03170813279447196</v>
      </c>
      <c r="G192" s="702" t="n">
        <v>-0.01451237683416374</v>
      </c>
      <c r="H192" s="702" t="n">
        <v>-0.01052735735653213</v>
      </c>
      <c r="I192" s="702" t="n">
        <v>0.04088861079363709</v>
      </c>
      <c r="J192" s="702" t="n">
        <v>-0.1770029013297575</v>
      </c>
      <c r="K192" s="702" t="n">
        <v>-0.007046446053629131</v>
      </c>
      <c r="L192" s="702" t="n">
        <v>-0.02416890235081338</v>
      </c>
      <c r="M192" s="702" t="n">
        <v>0.02514518639308352</v>
      </c>
      <c r="N192" s="702" t="n">
        <v>-0.003913498334988035</v>
      </c>
      <c r="O192" s="702" t="n">
        <v>0.007004161082915579</v>
      </c>
      <c r="P192" s="702" t="n">
        <v>0.001807323661064269</v>
      </c>
      <c r="Q192" s="702" t="n">
        <v>0.006325386809883368</v>
      </c>
      <c r="R192" s="702" t="n">
        <v>-0.0310472773521099</v>
      </c>
      <c r="S192" s="702" t="n">
        <v>-0.01330415663633981</v>
      </c>
      <c r="T192" s="702" t="n">
        <v>-0.1758855451078051</v>
      </c>
      <c r="U192" s="702" t="n">
        <v>-0.1696800932772771</v>
      </c>
      <c r="V192" s="702" t="n">
        <v>0.01562749707860341</v>
      </c>
      <c r="W192" s="702" t="n">
        <v>0.01353653600865345</v>
      </c>
      <c r="X192" s="702" t="n">
        <v>0.03247850192413676</v>
      </c>
      <c r="Y192" s="702" t="n">
        <v>-0.1109114935839732</v>
      </c>
      <c r="Z192" s="702" t="n">
        <v>0.04688843886181537</v>
      </c>
      <c r="AA192" s="702" t="n">
        <v>0.002380519710764188</v>
      </c>
      <c r="AB192" s="702" t="n">
        <v>0.01637625994308689</v>
      </c>
      <c r="AC192" s="702" t="n">
        <v>0.05509432112963787</v>
      </c>
      <c r="AD192" s="702" t="n">
        <v>0.1055787818347154</v>
      </c>
      <c r="AE192" s="702" t="n">
        <v>-0.1880398472951751</v>
      </c>
      <c r="AF192" s="702" t="n">
        <v>0.111343256473899</v>
      </c>
      <c r="AG192" s="703" t="n">
        <v>0.01976294139946748</v>
      </c>
      <c r="AH192" s="704" t="n"/>
      <c r="AI192" s="3">
        <f t="array" ref="AI192">SQRT(INDEX(_xlfn.ANCHORARRAY($B$190),A192,A192))</f>
        <v/>
      </c>
      <c r="AJ192" s="543" t="n"/>
      <c r="AK192" s="3">
        <f>$AP$191*AI192</f>
        <v/>
      </c>
      <c r="AL192" s="105">
        <f>ABS(Y121/AK192)</f>
        <v/>
      </c>
      <c r="AM192" s="108">
        <f>IF(AL192&lt;2.5,"Spełniony","Nie spełniony")</f>
        <v/>
      </c>
      <c r="AN192" s="23" t="n"/>
      <c r="AO192" s="706">
        <f>IF(AP190&gt;AP191,"Warunek spełniony","NIESPEŁNIONY!")</f>
        <v/>
      </c>
      <c r="AP192" s="597" t="n"/>
      <c r="AQ192" s="23" t="n"/>
      <c r="BO192" s="544" t="n"/>
      <c r="BQ192" s="705" t="n"/>
      <c r="BR192" s="487" t="n"/>
      <c r="BS192" s="487" t="n"/>
      <c r="BT192" s="487" t="n"/>
    </row>
    <row r="193">
      <c r="A193" t="n">
        <v>4</v>
      </c>
      <c r="B193" s="708" t="n">
        <v>-0.05571102909154283</v>
      </c>
      <c r="C193" s="709" t="n">
        <v>0.005098949264373674</v>
      </c>
      <c r="D193" s="709" t="n">
        <v>0.04088866421618569</v>
      </c>
      <c r="E193" s="709" t="n">
        <v>0.7824117579749791</v>
      </c>
      <c r="F193" s="709" t="n">
        <v>-0.05755977100452239</v>
      </c>
      <c r="G193" s="709" t="n">
        <v>0.001436560908543438</v>
      </c>
      <c r="H193" s="709" t="n">
        <v>-0.1528437741457812</v>
      </c>
      <c r="I193" s="709" t="n">
        <v>-0.2175879577379537</v>
      </c>
      <c r="J193" s="709" t="n">
        <v>-0.1435181211385836</v>
      </c>
      <c r="K193" s="709" t="n">
        <v>0.0338094283783501</v>
      </c>
      <c r="L193" s="709" t="n">
        <v>0.05442035435893673</v>
      </c>
      <c r="M193" s="709" t="n">
        <v>-0.05571094585628215</v>
      </c>
      <c r="N193" s="709" t="n">
        <v>-0.01223279021728475</v>
      </c>
      <c r="O193" s="709" t="n">
        <v>-0.01709493745837201</v>
      </c>
      <c r="P193" s="709" t="n">
        <v>0.0006975147267583859</v>
      </c>
      <c r="Q193" s="709" t="n">
        <v>0.005437583779362964</v>
      </c>
      <c r="R193" s="709" t="n">
        <v>-0.003286706841081352</v>
      </c>
      <c r="S193" s="709" t="n">
        <v>-0.01966480534370847</v>
      </c>
      <c r="T193" s="709" t="n">
        <v>-0.01050748804631623</v>
      </c>
      <c r="U193" s="709" t="n">
        <v>0.03607725099688384</v>
      </c>
      <c r="V193" s="709" t="n">
        <v>0.01566287115855239</v>
      </c>
      <c r="W193" s="709" t="n">
        <v>0.03287872522799241</v>
      </c>
      <c r="X193" s="709" t="n">
        <v>0.03499108891714739</v>
      </c>
      <c r="Y193" s="709" t="n">
        <v>0.05139395023865061</v>
      </c>
      <c r="Z193" s="709" t="n">
        <v>-0.2055359767863476</v>
      </c>
      <c r="AA193" s="709" t="n">
        <v>0.07060934124400475</v>
      </c>
      <c r="AB193" s="709" t="n">
        <v>-0.06254774777559635</v>
      </c>
      <c r="AC193" s="709" t="n">
        <v>-0.03180898697656522</v>
      </c>
      <c r="AD193" s="709" t="n">
        <v>-0.01697808419975642</v>
      </c>
      <c r="AE193" s="709" t="n">
        <v>0.0321966203682099</v>
      </c>
      <c r="AF193" s="709" t="n">
        <v>-0.05012593539400634</v>
      </c>
      <c r="AG193" s="710" t="n">
        <v>0.01222924161768148</v>
      </c>
      <c r="AH193" s="711" t="n"/>
      <c r="AI193" s="3">
        <f t="array" ref="AI193">SQRT(INDEX(_xlfn.ANCHORARRAY($B$190),A193,A193))</f>
        <v/>
      </c>
      <c r="AJ193" s="567" t="n"/>
      <c r="AK193" s="590">
        <f>$AP$191*AI193</f>
        <v/>
      </c>
      <c r="AL193" s="590">
        <f>ABS(Y122/AK193)</f>
        <v/>
      </c>
      <c r="AM193" s="590">
        <f>IF(AL193&lt;2.5,"Spełniony","Nie spełniony")</f>
        <v/>
      </c>
      <c r="AN193" s="590" t="n"/>
      <c r="AO193" s="590" t="n"/>
      <c r="AP193" s="590" t="n"/>
      <c r="AQ193" s="590" t="n"/>
      <c r="AR193" s="590" t="n"/>
      <c r="AS193" s="590" t="n"/>
      <c r="AT193" s="590" t="n"/>
      <c r="AU193" s="590" t="n"/>
      <c r="AV193" s="590" t="n"/>
      <c r="AW193" s="590" t="n"/>
      <c r="AX193" s="590" t="n"/>
      <c r="AY193" s="590" t="n"/>
      <c r="AZ193" s="590" t="n"/>
      <c r="BA193" s="590" t="n"/>
      <c r="BB193" s="590" t="n"/>
      <c r="BC193" s="590" t="n"/>
      <c r="BD193" s="590" t="n"/>
      <c r="BE193" s="590" t="n"/>
      <c r="BF193" s="590" t="n"/>
      <c r="BG193" s="590" t="n"/>
      <c r="BH193" s="590" t="n"/>
      <c r="BI193" s="590" t="n"/>
      <c r="BJ193" s="590" t="n"/>
      <c r="BK193" s="590" t="n"/>
      <c r="BL193" s="590" t="n"/>
      <c r="BM193" s="590" t="n"/>
      <c r="BN193" s="590" t="n"/>
      <c r="BO193" s="568" t="n"/>
      <c r="BQ193" s="712" t="n"/>
      <c r="BR193" s="668" t="n"/>
      <c r="BS193" s="668" t="n"/>
      <c r="BT193" s="668" t="n"/>
    </row>
    <row r="194">
      <c r="A194" t="n">
        <v>5</v>
      </c>
      <c r="B194" s="67" t="n">
        <v>-0.07259895458687848</v>
      </c>
      <c r="C194" s="25" t="n">
        <v>-0.03122870223129615</v>
      </c>
      <c r="D194" s="25" t="n">
        <v>0.03170813279447195</v>
      </c>
      <c r="E194" s="25" t="n">
        <v>-0.05755977100452236</v>
      </c>
      <c r="F194" s="25" t="n">
        <v>0.8122027051936287</v>
      </c>
      <c r="G194" s="25" t="n">
        <v>-0.0002436451632058245</v>
      </c>
      <c r="H194" s="25" t="n">
        <v>-0.02450152325752511</v>
      </c>
      <c r="I194" s="25" t="n">
        <v>-0.05755969580055752</v>
      </c>
      <c r="J194" s="25" t="n">
        <v>-0.05068898779691693</v>
      </c>
      <c r="K194" s="25" t="n">
        <v>0.03869211728956252</v>
      </c>
      <c r="L194" s="25" t="n">
        <v>0.0758985666609419</v>
      </c>
      <c r="M194" s="25" t="n">
        <v>-0.07259884612015277</v>
      </c>
      <c r="N194" s="25" t="n">
        <v>-0.07097970637445628</v>
      </c>
      <c r="O194" s="25" t="n">
        <v>0.03263177808440802</v>
      </c>
      <c r="P194" s="25" t="n">
        <v>-0.04355955306684373</v>
      </c>
      <c r="Q194" s="25" t="n">
        <v>-0.03785042139376721</v>
      </c>
      <c r="R194" s="25" t="n">
        <v>-0.07785093727603098</v>
      </c>
      <c r="S194" s="25" t="n">
        <v>-0.0450862402185828</v>
      </c>
      <c r="T194" s="25" t="n">
        <v>-0.1195778297030721</v>
      </c>
      <c r="U194" s="25" t="n">
        <v>-0.007906112256961882</v>
      </c>
      <c r="V194" s="25" t="n">
        <v>-0.1117360709895802</v>
      </c>
      <c r="W194" s="25" t="n">
        <v>-0.04166792116478216</v>
      </c>
      <c r="X194" s="25" t="n">
        <v>0.03283210071394847</v>
      </c>
      <c r="Y194" s="25" t="n">
        <v>0.09102861953227656</v>
      </c>
      <c r="Z194" s="25" t="n">
        <v>0.07037518779677729</v>
      </c>
      <c r="AA194" s="25" t="n">
        <v>-0.04083191588864</v>
      </c>
      <c r="AB194" s="25" t="n">
        <v>0.1023080305955952</v>
      </c>
      <c r="AC194" s="25" t="n">
        <v>-0.0783262671504153</v>
      </c>
      <c r="AD194" s="25" t="n">
        <v>0.006338058699457472</v>
      </c>
      <c r="AE194" s="25" t="n">
        <v>0.09780032435873334</v>
      </c>
      <c r="AF194" s="25" t="n">
        <v>-0.1654366184525417</v>
      </c>
      <c r="AG194" s="45" t="n">
        <v>0.08534924944545338</v>
      </c>
      <c r="AI194" s="3">
        <f t="array" ref="AI194">SQRT(INDEX(_xlfn.ANCHORARRAY($B$190),A194,A194))</f>
        <v/>
      </c>
      <c r="AJ194" s="23" t="n"/>
      <c r="AK194" s="3">
        <f>$AP$191*AI194</f>
        <v/>
      </c>
      <c r="AL194" s="105">
        <f>ABS(Y123/AK194)</f>
        <v/>
      </c>
      <c r="AM194" s="108">
        <f>IF(AL194&lt;2.5,"Spełniony","Nie spełniony")</f>
        <v/>
      </c>
      <c r="AN194" s="23" t="n"/>
      <c r="AO194" s="23" t="n"/>
      <c r="AP194" s="23" t="n"/>
      <c r="AQ194" s="23" t="n"/>
    </row>
    <row r="195">
      <c r="A195" t="n">
        <v>6</v>
      </c>
      <c r="B195" s="67" t="n">
        <v>-0.1286048859272834</v>
      </c>
      <c r="C195" s="25" t="n">
        <v>-0.01718151123345828</v>
      </c>
      <c r="D195" s="25" t="n">
        <v>-0.01451237683416377</v>
      </c>
      <c r="E195" s="25" t="n">
        <v>0.001436560908543452</v>
      </c>
      <c r="F195" s="25" t="n">
        <v>-0.0002436451632057551</v>
      </c>
      <c r="G195" s="25" t="n">
        <v>0.6950397377715966</v>
      </c>
      <c r="H195" s="25" t="n">
        <v>-0.2091117345229314</v>
      </c>
      <c r="I195" s="25" t="n">
        <v>0.001436559031623499</v>
      </c>
      <c r="J195" s="25" t="n">
        <v>0.02324523713362986</v>
      </c>
      <c r="K195" s="25" t="n">
        <v>-0.04472297037303963</v>
      </c>
      <c r="L195" s="25" t="n">
        <v>-0.107421084104207</v>
      </c>
      <c r="M195" s="25" t="n">
        <v>-0.1286046937846972</v>
      </c>
      <c r="N195" s="25" t="n">
        <v>0.0261939808925794</v>
      </c>
      <c r="O195" s="25" t="n">
        <v>0.008467851828202169</v>
      </c>
      <c r="P195" s="25" t="n">
        <v>0.02088352800120585</v>
      </c>
      <c r="Q195" s="25" t="n">
        <v>0.01847167442388974</v>
      </c>
      <c r="R195" s="25" t="n">
        <v>0.00269604489936943</v>
      </c>
      <c r="S195" s="25" t="n">
        <v>-0.00742951064808229</v>
      </c>
      <c r="T195" s="25" t="n">
        <v>0.003620916405079866</v>
      </c>
      <c r="U195" s="25" t="n">
        <v>0.02965808645611064</v>
      </c>
      <c r="V195" s="25" t="n">
        <v>0.07788604210536987</v>
      </c>
      <c r="W195" s="25" t="n">
        <v>0.03780499477134407</v>
      </c>
      <c r="X195" s="25" t="n">
        <v>0.03122375210513586</v>
      </c>
      <c r="Y195" s="25" t="n">
        <v>-0.01534767162686526</v>
      </c>
      <c r="Z195" s="25" t="n">
        <v>0.1334009801392274</v>
      </c>
      <c r="AA195" s="25" t="n">
        <v>-0.2649680974942119</v>
      </c>
      <c r="AB195" s="25" t="n">
        <v>-0.1340283371572584</v>
      </c>
      <c r="AC195" s="25" t="n">
        <v>-0.03499314373499937</v>
      </c>
      <c r="AD195" s="25" t="n">
        <v>0.001249842069812537</v>
      </c>
      <c r="AE195" s="25" t="n">
        <v>-0.0434832046468523</v>
      </c>
      <c r="AF195" s="25" t="n">
        <v>0.01466495361784915</v>
      </c>
      <c r="AG195" s="45" t="n">
        <v>-0.008241548579331102</v>
      </c>
      <c r="AI195" s="3">
        <f t="array" ref="AI195">SQRT(INDEX(_xlfn.ANCHORARRAY($B$190),A195,A195))</f>
        <v/>
      </c>
      <c r="AJ195" s="23" t="n"/>
      <c r="AK195" s="3">
        <f>$AP$191*AI195</f>
        <v/>
      </c>
      <c r="AL195" s="105">
        <f>ABS(Y124/AK195)</f>
        <v/>
      </c>
      <c r="AM195" s="108">
        <f>IF(AL195&lt;2.5,"Spełniony","Nie spełniony")</f>
        <v/>
      </c>
      <c r="AN195" s="23" t="n"/>
      <c r="AO195" s="23" t="n"/>
      <c r="AP195" s="23" t="n"/>
      <c r="AQ195" s="23" t="n"/>
    </row>
    <row r="196">
      <c r="A196" t="n">
        <v>7</v>
      </c>
      <c r="B196" s="713" t="n">
        <v>0.05720918967344836</v>
      </c>
      <c r="C196" s="714" t="n">
        <v>-0.05425731394011914</v>
      </c>
      <c r="D196" s="660" t="n">
        <v>-0.01052735735653226</v>
      </c>
      <c r="E196" s="713" t="n">
        <v>-0.1528437741457812</v>
      </c>
      <c r="F196" s="715" t="n">
        <v>-0.02450152325752498</v>
      </c>
      <c r="G196" s="714" t="n">
        <v>-0.2091117345229315</v>
      </c>
      <c r="H196" s="25" t="n">
        <v>0.4480029536162397</v>
      </c>
      <c r="I196" s="25" t="n">
        <v>-0.1528435744497505</v>
      </c>
      <c r="J196" s="25" t="n">
        <v>-0.06978487278544776</v>
      </c>
      <c r="K196" s="25" t="n">
        <v>0.0004885864956773902</v>
      </c>
      <c r="L196" s="25" t="n">
        <v>0.015293336827921</v>
      </c>
      <c r="M196" s="25" t="n">
        <v>0.05720910419985548</v>
      </c>
      <c r="N196" s="25" t="n">
        <v>-0.005168871660555623</v>
      </c>
      <c r="O196" s="25" t="n">
        <v>0.005421778186445618</v>
      </c>
      <c r="P196" s="25" t="n">
        <v>-0.00696364122078364</v>
      </c>
      <c r="Q196" s="25" t="n">
        <v>0.00240992527788656</v>
      </c>
      <c r="R196" s="25" t="n">
        <v>-0.04937570180935096</v>
      </c>
      <c r="S196" s="25" t="n">
        <v>0.01692665638065234</v>
      </c>
      <c r="T196" s="25" t="n">
        <v>0.02537039698778677</v>
      </c>
      <c r="U196" s="25" t="n">
        <v>0.05511244729893819</v>
      </c>
      <c r="V196" s="25" t="n">
        <v>-0.03990293944046663</v>
      </c>
      <c r="W196" s="25" t="n">
        <v>-0.03337786592893561</v>
      </c>
      <c r="X196" s="25" t="n">
        <v>-0.0094851257174402</v>
      </c>
      <c r="Y196" s="25" t="n">
        <v>-0.08285559949075189</v>
      </c>
      <c r="Z196" s="25" t="n">
        <v>0.1215708435511029</v>
      </c>
      <c r="AA196" s="25" t="n">
        <v>0.04405068702649143</v>
      </c>
      <c r="AB196" s="25" t="n">
        <v>-0.2951647663323547</v>
      </c>
      <c r="AC196" s="25" t="n">
        <v>-0.1349867666746571</v>
      </c>
      <c r="AD196" s="25" t="n">
        <v>0.02256056501529452</v>
      </c>
      <c r="AE196" s="25" t="n">
        <v>-0.0287698509943267</v>
      </c>
      <c r="AF196" s="25" t="n">
        <v>-0.04222102692932637</v>
      </c>
      <c r="AG196" s="45" t="n">
        <v>0.0134615671899086</v>
      </c>
      <c r="AI196" s="3">
        <f t="array" ref="AI196">SQRT(INDEX(_xlfn.ANCHORARRAY($B$190),A196,A196))</f>
        <v/>
      </c>
      <c r="AJ196" s="23" t="n"/>
      <c r="AK196" s="3">
        <f>$AP$191*AI196</f>
        <v/>
      </c>
      <c r="AL196" s="105">
        <f>ABS(Y125/AK196)</f>
        <v/>
      </c>
      <c r="AM196" s="108">
        <f>IF(AL196&lt;2.5,"Spełniony","Nie spełniony")</f>
        <v/>
      </c>
      <c r="AN196" s="23" t="n"/>
      <c r="AO196" s="23" t="n"/>
      <c r="AP196" s="23" t="n"/>
      <c r="AQ196" s="23" t="n"/>
    </row>
    <row r="197" ht="17.1" customHeight="1">
      <c r="A197" t="n">
        <v>8</v>
      </c>
      <c r="B197" s="716" t="n">
        <v>-0.0557109563030275</v>
      </c>
      <c r="C197" s="717" t="n">
        <v>0.005098942602408323</v>
      </c>
      <c r="D197" s="660" t="n">
        <v>0.04088861079363706</v>
      </c>
      <c r="E197" s="716" t="n">
        <v>-0.2175879577379537</v>
      </c>
      <c r="F197" s="716" t="n">
        <v>-0.05755969580055753</v>
      </c>
      <c r="G197" s="716" t="n">
        <v>0.001436559031623472</v>
      </c>
      <c r="H197" s="477" t="n">
        <v>-0.1528435744497505</v>
      </c>
      <c r="I197" s="25" t="n">
        <v>0.7824123265487422</v>
      </c>
      <c r="J197" s="25" t="n">
        <v>-0.1435179336268624</v>
      </c>
      <c r="K197" s="25" t="n">
        <v>0.03380938420508434</v>
      </c>
      <c r="L197" s="25" t="n">
        <v>0.05442028325673562</v>
      </c>
      <c r="M197" s="25" t="n">
        <v>-0.05571087306787557</v>
      </c>
      <c r="N197" s="25" t="n">
        <v>-0.01223277423469293</v>
      </c>
      <c r="O197" s="25" t="n">
        <v>-0.01709491512320541</v>
      </c>
      <c r="P197" s="25" t="n">
        <v>0.0006975138154296581</v>
      </c>
      <c r="Q197" s="25" t="n">
        <v>0.0054375766749591</v>
      </c>
      <c r="R197" s="25" t="n">
        <v>-0.003286702546877556</v>
      </c>
      <c r="S197" s="25" t="n">
        <v>-0.01966477965091463</v>
      </c>
      <c r="T197" s="25" t="n">
        <v>-0.01050747431789533</v>
      </c>
      <c r="U197" s="25" t="n">
        <v>0.03607720386062414</v>
      </c>
      <c r="V197" s="25" t="n">
        <v>0.01566285069443328</v>
      </c>
      <c r="W197" s="25" t="n">
        <v>0.03287868227072465</v>
      </c>
      <c r="X197" s="25" t="n">
        <v>0.03499104319999852</v>
      </c>
      <c r="Y197" s="25" t="n">
        <v>0.05139388309055815</v>
      </c>
      <c r="Z197" s="25" t="n">
        <v>-0.2055357082460095</v>
      </c>
      <c r="AA197" s="25" t="n">
        <v>0.07060924899029486</v>
      </c>
      <c r="AB197" s="25" t="n">
        <v>-0.06254766605465611</v>
      </c>
      <c r="AC197" s="25" t="n">
        <v>-0.03180894541694991</v>
      </c>
      <c r="AD197" s="25" t="n">
        <v>-0.01697806201726294</v>
      </c>
      <c r="AE197" s="25" t="n">
        <v>0.03219657830213731</v>
      </c>
      <c r="AF197" s="25" t="n">
        <v>-0.05012586990262202</v>
      </c>
      <c r="AG197" s="45" t="n">
        <v>0.01222922563972602</v>
      </c>
      <c r="AI197" s="3">
        <f t="array" ref="AI197">SQRT(INDEX(_xlfn.ANCHORARRAY($B$190),A197,A197))</f>
        <v/>
      </c>
      <c r="AJ197" s="23" t="n"/>
      <c r="AK197" s="3">
        <f>$AP$191*AI197</f>
        <v/>
      </c>
      <c r="AL197" s="105">
        <f>ABS(Y126/AK197)</f>
        <v/>
      </c>
      <c r="AM197" s="108">
        <f>IF(AL197&lt;2.5,"Spełniony","Nie spełniony")</f>
        <v/>
      </c>
      <c r="AN197" s="23" t="n"/>
      <c r="AO197" s="23" t="n"/>
      <c r="AP197" s="23" t="n"/>
      <c r="AQ197" s="23" t="n"/>
    </row>
    <row r="198" ht="17.1" customHeight="1">
      <c r="A198" t="n">
        <v>9</v>
      </c>
      <c r="B198" s="718" t="n">
        <v>-0.0453755922489272</v>
      </c>
      <c r="C198" s="719" t="n">
        <v>-0.1013640240773068</v>
      </c>
      <c r="D198" s="660" t="n">
        <v>-0.1770029013297575</v>
      </c>
      <c r="E198" s="720" t="n">
        <v>-0.1435181211385836</v>
      </c>
      <c r="F198" s="720" t="n">
        <v>-0.05068898779691697</v>
      </c>
      <c r="G198" s="721" t="n">
        <v>0.02324523713362989</v>
      </c>
      <c r="H198" s="722" t="n">
        <v>-0.0697848727854477</v>
      </c>
      <c r="I198" s="25" t="n">
        <v>-0.1435179336268625</v>
      </c>
      <c r="J198" s="25" t="n">
        <v>0.7021049717587629</v>
      </c>
      <c r="K198" s="25" t="n">
        <v>0.02814962661415947</v>
      </c>
      <c r="L198" s="25" t="n">
        <v>0.0335187854593836</v>
      </c>
      <c r="M198" s="25" t="n">
        <v>-0.04537552445536264</v>
      </c>
      <c r="N198" s="25" t="n">
        <v>-0.01613331073098668</v>
      </c>
      <c r="O198" s="25" t="n">
        <v>-0.01137510268009117</v>
      </c>
      <c r="P198" s="25" t="n">
        <v>0.003248901266539275</v>
      </c>
      <c r="Q198" s="25" t="n">
        <v>0.01598158917279589</v>
      </c>
      <c r="R198" s="25" t="n">
        <v>-0.04864292500816359</v>
      </c>
      <c r="S198" s="25" t="n">
        <v>-0.03096357602493108</v>
      </c>
      <c r="T198" s="25" t="n">
        <v>-0.1595715360825059</v>
      </c>
      <c r="U198" s="25" t="n">
        <v>-0.08269274562676247</v>
      </c>
      <c r="V198" s="25" t="n">
        <v>0.03100721610365359</v>
      </c>
      <c r="W198" s="25" t="n">
        <v>0.04619324006139333</v>
      </c>
      <c r="X198" s="25" t="n">
        <v>0.07302695765798055</v>
      </c>
      <c r="Y198" s="25" t="n">
        <v>-0.0676197273634023</v>
      </c>
      <c r="Z198" s="25" t="n">
        <v>-0.145062973543208</v>
      </c>
      <c r="AA198" s="25" t="n">
        <v>0.06245528708358278</v>
      </c>
      <c r="AB198" s="25" t="n">
        <v>0.08218801654488615</v>
      </c>
      <c r="AC198" s="25" t="n">
        <v>-0.04301955347106679</v>
      </c>
      <c r="AD198" s="25" t="n">
        <v>0.08130428330392878</v>
      </c>
      <c r="AE198" s="25" t="n">
        <v>-0.1448150150432609</v>
      </c>
      <c r="AF198" s="25" t="n">
        <v>0.02519726536434155</v>
      </c>
      <c r="AG198" s="45" t="n">
        <v>0.03594624271045099</v>
      </c>
      <c r="AI198" s="3">
        <f t="array" ref="AI198">SQRT(INDEX(_xlfn.ANCHORARRAY($B$190),A198,A198))</f>
        <v/>
      </c>
      <c r="AJ198" s="23" t="n"/>
      <c r="AK198" s="3">
        <f>$AP$191*AI198</f>
        <v/>
      </c>
      <c r="AL198" s="105">
        <f>ABS(Y127/AK198)</f>
        <v/>
      </c>
      <c r="AM198" s="108">
        <f>IF(AL198&lt;2.5,"Spełniony","Nie spełniony")</f>
        <v/>
      </c>
      <c r="AN198" s="23" t="n"/>
      <c r="AO198" s="23" t="n"/>
      <c r="AP198" s="23" t="n"/>
      <c r="AQ198" s="23" t="n"/>
    </row>
    <row r="199">
      <c r="A199" t="n">
        <v>10</v>
      </c>
      <c r="B199" s="723" t="n">
        <v>-0.09283597919840503</v>
      </c>
      <c r="C199" s="714" t="n">
        <v>0.00961103027555248</v>
      </c>
      <c r="D199" s="660" t="n">
        <v>-0.007046446053629141</v>
      </c>
      <c r="E199" s="720" t="n">
        <v>0.03380942837835009</v>
      </c>
      <c r="F199" s="720" t="n">
        <v>0.03869211728956251</v>
      </c>
      <c r="G199" s="721" t="n">
        <v>-0.04472297037303957</v>
      </c>
      <c r="H199" s="722" t="n">
        <v>0.0004885864956774388</v>
      </c>
      <c r="I199" s="25" t="n">
        <v>0.03380938420508434</v>
      </c>
      <c r="J199" s="25" t="n">
        <v>0.02814962661415947</v>
      </c>
      <c r="K199" s="25" t="n">
        <v>0.5322344124754217</v>
      </c>
      <c r="L199" s="25" t="n">
        <v>-0.241040002075003</v>
      </c>
      <c r="M199" s="25" t="n">
        <v>-0.09283584049648075</v>
      </c>
      <c r="N199" s="25" t="n">
        <v>-0.1174931957929712</v>
      </c>
      <c r="O199" s="25" t="n">
        <v>-0.3004534277452514</v>
      </c>
      <c r="P199" s="25" t="n">
        <v>-0.03602766232087036</v>
      </c>
      <c r="Q199" s="25" t="n">
        <v>0.03665632226493636</v>
      </c>
      <c r="R199" s="25" t="n">
        <v>0.02975849850209905</v>
      </c>
      <c r="S199" s="25" t="n">
        <v>0.03180404754121946</v>
      </c>
      <c r="T199" s="25" t="n">
        <v>0.02985310598476077</v>
      </c>
      <c r="U199" s="25" t="n">
        <v>-0.009419494735110365</v>
      </c>
      <c r="V199" s="25" t="n">
        <v>-0.1863606877085183</v>
      </c>
      <c r="W199" s="25" t="n">
        <v>0.08194612476359533</v>
      </c>
      <c r="X199" s="25" t="n">
        <v>0.006964539032938668</v>
      </c>
      <c r="Y199" s="25" t="n">
        <v>-0.03687680048761059</v>
      </c>
      <c r="Z199" s="25" t="n">
        <v>0.02327657823785611</v>
      </c>
      <c r="AA199" s="25" t="n">
        <v>0.1110502461617387</v>
      </c>
      <c r="AB199" s="25" t="n">
        <v>-0.01550300383010841</v>
      </c>
      <c r="AC199" s="25" t="n">
        <v>0.002650821463445349</v>
      </c>
      <c r="AD199" s="25" t="n">
        <v>0.02457988166297409</v>
      </c>
      <c r="AE199" s="25" t="n">
        <v>-0.01199121594826973</v>
      </c>
      <c r="AF199" s="25" t="n">
        <v>0.0040805564456994</v>
      </c>
      <c r="AG199" s="45" t="n">
        <v>-0.02387889373112679</v>
      </c>
      <c r="AI199" s="3">
        <f t="array" ref="AI199">SQRT(INDEX(_xlfn.ANCHORARRAY($B$190),A199,A199))</f>
        <v/>
      </c>
      <c r="AJ199" s="23" t="n"/>
      <c r="AK199" s="3">
        <f>$AP$191*AI199</f>
        <v/>
      </c>
      <c r="AL199" s="105">
        <f>ABS(Y128/AK199)</f>
        <v/>
      </c>
      <c r="AM199" s="108">
        <f>IF(AL199&lt;2.5,"Spełniony","Nie spełniony")</f>
        <v/>
      </c>
      <c r="AN199" s="23" t="n"/>
      <c r="AO199" s="23" t="n"/>
      <c r="AP199" s="23" t="n"/>
      <c r="AQ199" s="23" t="n"/>
    </row>
    <row r="200">
      <c r="A200" t="n">
        <v>11</v>
      </c>
      <c r="B200" s="67" t="n">
        <v>-0.2083672033197032</v>
      </c>
      <c r="C200" s="25" t="n">
        <v>-0.005695137928985246</v>
      </c>
      <c r="D200" s="25" t="n">
        <v>-0.02416890235081338</v>
      </c>
      <c r="E200" s="720" t="n">
        <v>0.05442035435893671</v>
      </c>
      <c r="F200" s="720" t="n">
        <v>0.07589856666094189</v>
      </c>
      <c r="G200" s="721" t="n">
        <v>-0.1074210841042071</v>
      </c>
      <c r="H200" s="722" t="n">
        <v>0.01529333682792098</v>
      </c>
      <c r="I200" s="25" t="n">
        <v>0.05442028325673559</v>
      </c>
      <c r="J200" s="25" t="n">
        <v>0.03351878545938357</v>
      </c>
      <c r="K200" s="25" t="n">
        <v>-0.2410400020750031</v>
      </c>
      <c r="L200" s="25" t="n">
        <v>0.5296463125506461</v>
      </c>
      <c r="M200" s="25" t="n">
        <v>-0.2083668920079435</v>
      </c>
      <c r="N200" s="25" t="n">
        <v>0.06381591362357616</v>
      </c>
      <c r="O200" s="25" t="n">
        <v>0.1307950111959128</v>
      </c>
      <c r="P200" s="25" t="n">
        <v>0.0120653317894323</v>
      </c>
      <c r="Q200" s="25" t="n">
        <v>-0.01990799016749881</v>
      </c>
      <c r="R200" s="25" t="n">
        <v>-0.006969318240715448</v>
      </c>
      <c r="S200" s="25" t="n">
        <v>0.02803309435398209</v>
      </c>
      <c r="T200" s="25" t="n">
        <v>0.04737364913042347</v>
      </c>
      <c r="U200" s="25" t="n">
        <v>-0.01220056068787051</v>
      </c>
      <c r="V200" s="25" t="n">
        <v>0.03551891782925912</v>
      </c>
      <c r="W200" s="25" t="n">
        <v>-0.08781747638300623</v>
      </c>
      <c r="X200" s="25" t="n">
        <v>-0.06657484502976665</v>
      </c>
      <c r="Y200" s="25" t="n">
        <v>-0.07239511269040066</v>
      </c>
      <c r="Z200" s="25" t="n">
        <v>0.01775173496004676</v>
      </c>
      <c r="AA200" s="25" t="n">
        <v>0.1735167813138677</v>
      </c>
      <c r="AB200" s="25" t="n">
        <v>-0.02106812475410563</v>
      </c>
      <c r="AC200" s="25" t="n">
        <v>0.01383752386985255</v>
      </c>
      <c r="AD200" s="25" t="n">
        <v>0.005026457001440304</v>
      </c>
      <c r="AE200" s="25" t="n">
        <v>-0.02650976691887383</v>
      </c>
      <c r="AF200" s="25" t="n">
        <v>0.05799264526074618</v>
      </c>
      <c r="AG200" s="45" t="n">
        <v>-0.01563449402355423</v>
      </c>
      <c r="AI200" s="3">
        <f t="array" ref="AI200">SQRT(INDEX(_xlfn.ANCHORARRAY($B$190),A200,A200))</f>
        <v/>
      </c>
      <c r="AJ200" s="23" t="n"/>
      <c r="AK200" s="3">
        <f>$AP$191*AI200</f>
        <v/>
      </c>
      <c r="AL200" s="105">
        <f>ABS(Y129/AK200)</f>
        <v/>
      </c>
      <c r="AM200" s="108">
        <f>IF(AL200&lt;2.5,"Spełniony","Nie spełniony")</f>
        <v/>
      </c>
      <c r="AN200" s="23" t="n"/>
      <c r="AO200" s="23" t="n"/>
      <c r="AP200" s="23" t="n"/>
      <c r="AQ200" s="23" t="n"/>
    </row>
    <row r="201">
      <c r="A201" t="n">
        <v>12</v>
      </c>
      <c r="B201" s="67" t="n">
        <v>-0.2655149284812723</v>
      </c>
      <c r="C201" s="25" t="n">
        <v>0.004586649376136148</v>
      </c>
      <c r="D201" s="25" t="n">
        <v>0.02514518639308355</v>
      </c>
      <c r="E201" s="720" t="n">
        <v>-0.05571094585628214</v>
      </c>
      <c r="F201" s="720" t="n">
        <v>-0.07259884612015283</v>
      </c>
      <c r="G201" s="721" t="n">
        <v>-0.1286046937846973</v>
      </c>
      <c r="H201" s="722" t="n">
        <v>0.05720910419985542</v>
      </c>
      <c r="I201" s="25" t="n">
        <v>-0.05571087306787557</v>
      </c>
      <c r="J201" s="25" t="n">
        <v>-0.04537552445536258</v>
      </c>
      <c r="K201" s="25" t="n">
        <v>-0.0928358404964808</v>
      </c>
      <c r="L201" s="25" t="n">
        <v>-0.2083668920079434</v>
      </c>
      <c r="M201" s="25" t="n">
        <v>0.7344854682122488</v>
      </c>
      <c r="N201" s="25" t="n">
        <v>0.007816098064625777</v>
      </c>
      <c r="O201" s="25" t="n">
        <v>0.06153288093843567</v>
      </c>
      <c r="P201" s="25" t="n">
        <v>0.003422553211566849</v>
      </c>
      <c r="Q201" s="25" t="n">
        <v>-0.01111420068252535</v>
      </c>
      <c r="R201" s="25" t="n">
        <v>-0.01140147776028272</v>
      </c>
      <c r="S201" s="25" t="n">
        <v>-0.03346613823562989</v>
      </c>
      <c r="T201" s="25" t="n">
        <v>-0.04948647839610242</v>
      </c>
      <c r="U201" s="25" t="n">
        <v>0.003678989670068623</v>
      </c>
      <c r="V201" s="25" t="n">
        <v>0.04618923594822778</v>
      </c>
      <c r="W201" s="25" t="n">
        <v>0.006365561602356157</v>
      </c>
      <c r="X201" s="25" t="n">
        <v>0.03246762315016996</v>
      </c>
      <c r="Y201" s="25" t="n">
        <v>0.0743050072427769</v>
      </c>
      <c r="Z201" s="25" t="n">
        <v>-0.06777490799358632</v>
      </c>
      <c r="AA201" s="25" t="n">
        <v>-0.09155251994994448</v>
      </c>
      <c r="AB201" s="25" t="n">
        <v>0.0662688289664788</v>
      </c>
      <c r="AC201" s="25" t="n">
        <v>0.0004156634573492038</v>
      </c>
      <c r="AD201" s="25" t="n">
        <v>-0.01658683156848973</v>
      </c>
      <c r="AE201" s="25" t="n">
        <v>0.03875551745833952</v>
      </c>
      <c r="AF201" s="25" t="n">
        <v>-0.04715045581876781</v>
      </c>
      <c r="AG201" s="45" t="n">
        <v>0.02586732265360822</v>
      </c>
      <c r="AI201" s="3">
        <f t="array" ref="AI201">SQRT(INDEX(_xlfn.ANCHORARRAY($B$190),A201,A201))</f>
        <v/>
      </c>
      <c r="AJ201" s="23" t="n"/>
      <c r="AK201" s="3">
        <f>$AP$191*AI201</f>
        <v/>
      </c>
      <c r="AL201" s="105">
        <f>ABS(Y130/AK201)</f>
        <v/>
      </c>
      <c r="AM201" s="108">
        <f>IF(AL201&lt;2.5,"Spełniony","Nie spełniony")</f>
        <v/>
      </c>
      <c r="AN201" s="23" t="n"/>
      <c r="AO201" s="23" t="n"/>
      <c r="AP201" s="23" t="n"/>
      <c r="AQ201" s="23" t="n"/>
    </row>
    <row r="202">
      <c r="A202" t="n">
        <v>13</v>
      </c>
      <c r="B202" s="67" t="n">
        <v>0.007816109742312324</v>
      </c>
      <c r="C202" s="25" t="n">
        <v>-0.03258754239121289</v>
      </c>
      <c r="D202" s="25" t="n">
        <v>-0.003913498334988025</v>
      </c>
      <c r="E202" s="720" t="n">
        <v>-0.01223279021728471</v>
      </c>
      <c r="F202" s="720" t="n">
        <v>-0.07097970637445622</v>
      </c>
      <c r="G202" s="721" t="n">
        <v>0.02619398089257947</v>
      </c>
      <c r="H202" s="722" t="n">
        <v>-0.005168871660555569</v>
      </c>
      <c r="I202" s="25" t="n">
        <v>-0.01223277423469288</v>
      </c>
      <c r="J202" s="25" t="n">
        <v>-0.01613331073098663</v>
      </c>
      <c r="K202" s="25" t="n">
        <v>-0.1174931957929712</v>
      </c>
      <c r="L202" s="25" t="n">
        <v>0.06381591362357616</v>
      </c>
      <c r="M202" s="25" t="n">
        <v>0.00781609806462584</v>
      </c>
      <c r="N202" s="25" t="n">
        <v>0.6485867595356887</v>
      </c>
      <c r="O202" s="25" t="n">
        <v>-0.2583520025551017</v>
      </c>
      <c r="P202" s="25" t="n">
        <v>-0.1994885778385146</v>
      </c>
      <c r="Q202" s="25" t="n">
        <v>-0.1253872581092394</v>
      </c>
      <c r="R202" s="25" t="n">
        <v>-0.05921722539199698</v>
      </c>
      <c r="S202" s="25" t="n">
        <v>-0.04556895124779125</v>
      </c>
      <c r="T202" s="25" t="n">
        <v>-0.07448208919018323</v>
      </c>
      <c r="U202" s="25" t="n">
        <v>0.03295303453910082</v>
      </c>
      <c r="V202" s="25" t="n">
        <v>0.0634535051697338</v>
      </c>
      <c r="W202" s="25" t="n">
        <v>-0.1283477221895417</v>
      </c>
      <c r="X202" s="25" t="n">
        <v>-0.06183677241421379</v>
      </c>
      <c r="Y202" s="25" t="n">
        <v>0.08990763032377168</v>
      </c>
      <c r="Z202" s="25" t="n">
        <v>0.03918665275137187</v>
      </c>
      <c r="AA202" s="25" t="n">
        <v>-0.002363293641121852</v>
      </c>
      <c r="AB202" s="25" t="n">
        <v>0.007594618201771867</v>
      </c>
      <c r="AC202" s="25" t="n">
        <v>0.01283784643323212</v>
      </c>
      <c r="AD202" s="25" t="n">
        <v>-0.08230582581544675</v>
      </c>
      <c r="AE202" s="25" t="n">
        <v>-0.01259869202729628</v>
      </c>
      <c r="AF202" s="25" t="n">
        <v>0.05191075862749175</v>
      </c>
      <c r="AG202" s="45" t="n">
        <v>0.1557457832470089</v>
      </c>
      <c r="AI202" s="3">
        <f t="array" ref="AI202">SQRT(INDEX(_xlfn.ANCHORARRAY($B$190),A202,A202))</f>
        <v/>
      </c>
      <c r="AJ202" s="23" t="n"/>
      <c r="AK202" s="3">
        <f>$AP$191*AI202</f>
        <v/>
      </c>
      <c r="AL202" s="105">
        <f>ABS(Y131/AK202)</f>
        <v/>
      </c>
      <c r="AM202" s="108">
        <f>IF(AL202&lt;2.5,"Spełniony","Nie spełniony")</f>
        <v/>
      </c>
      <c r="AN202" s="23" t="n"/>
      <c r="AO202" s="23" t="n"/>
      <c r="AP202" s="23" t="n"/>
      <c r="AQ202" s="23" t="n"/>
    </row>
    <row r="203">
      <c r="A203" t="n">
        <v>14</v>
      </c>
      <c r="B203" s="67" t="n">
        <v>0.06153297287199224</v>
      </c>
      <c r="C203" s="25" t="n">
        <v>0.01653066811839088</v>
      </c>
      <c r="D203" s="25" t="n">
        <v>0.007004161082915586</v>
      </c>
      <c r="E203" s="720" t="n">
        <v>-0.01709493745837203</v>
      </c>
      <c r="F203" s="720" t="n">
        <v>0.03263177808440804</v>
      </c>
      <c r="G203" s="721" t="n">
        <v>0.008467851828202248</v>
      </c>
      <c r="H203" s="722" t="n">
        <v>0.005421778186445712</v>
      </c>
      <c r="I203" s="25" t="n">
        <v>-0.01709491512320542</v>
      </c>
      <c r="J203" s="25" t="n">
        <v>-0.0113751026800912</v>
      </c>
      <c r="K203" s="25" t="n">
        <v>-0.3004534277452514</v>
      </c>
      <c r="L203" s="25" t="n">
        <v>0.1307950111959128</v>
      </c>
      <c r="M203" s="25" t="n">
        <v>0.0615328809384357</v>
      </c>
      <c r="N203" s="25" t="n">
        <v>-0.2583520025551017</v>
      </c>
      <c r="O203" s="25" t="n">
        <v>0.41703162364853</v>
      </c>
      <c r="P203" s="25" t="n">
        <v>-0.09157367074533465</v>
      </c>
      <c r="Q203" s="25" t="n">
        <v>0.05385572838046872</v>
      </c>
      <c r="R203" s="25" t="n">
        <v>0.03414001111333381</v>
      </c>
      <c r="S203" s="25" t="n">
        <v>0.05991131054364237</v>
      </c>
      <c r="T203" s="25" t="n">
        <v>0.04149602164619863</v>
      </c>
      <c r="U203" s="25" t="n">
        <v>-0.02219952352797652</v>
      </c>
      <c r="V203" s="25" t="n">
        <v>0.07457033706959286</v>
      </c>
      <c r="W203" s="25" t="n">
        <v>0.1250819568265713</v>
      </c>
      <c r="X203" s="25" t="n">
        <v>0.000715312468328233</v>
      </c>
      <c r="Y203" s="25" t="n">
        <v>-0.05417976808380476</v>
      </c>
      <c r="Z203" s="25" t="n">
        <v>-0.05606611936833772</v>
      </c>
      <c r="AA203" s="25" t="n">
        <v>-0.09012171891234994</v>
      </c>
      <c r="AB203" s="25" t="n">
        <v>0.007993687502164521</v>
      </c>
      <c r="AC203" s="25" t="n">
        <v>-0.01416924235416478</v>
      </c>
      <c r="AD203" s="25" t="n">
        <v>0.04857595097119308</v>
      </c>
      <c r="AE203" s="25" t="n">
        <v>0.02182712898411358</v>
      </c>
      <c r="AF203" s="25" t="n">
        <v>-0.04370085478721304</v>
      </c>
      <c r="AG203" s="45" t="n">
        <v>-0.02328838774057604</v>
      </c>
      <c r="AI203" s="3">
        <f t="array" ref="AI203">SQRT(INDEX(_xlfn.ANCHORARRAY($B$190),A203,A203))</f>
        <v/>
      </c>
      <c r="AJ203" s="23" t="n"/>
      <c r="AK203" s="3">
        <f>$AP$191*AI203</f>
        <v/>
      </c>
      <c r="AL203" s="105">
        <f>ABS(Y132/AK203)</f>
        <v/>
      </c>
      <c r="AM203" s="108">
        <f>IF(AL203&lt;2.5,"Spełniony","Nie spełniony")</f>
        <v/>
      </c>
      <c r="AN203" s="23" t="n"/>
      <c r="AO203" s="23" t="n"/>
      <c r="AP203" s="23" t="n"/>
      <c r="AQ203" s="23" t="n"/>
    </row>
    <row r="204">
      <c r="A204" t="n">
        <v>15</v>
      </c>
      <c r="B204" s="67" t="n">
        <v>0.003422558325052283</v>
      </c>
      <c r="C204" s="25" t="n">
        <v>-0.007601043431728169</v>
      </c>
      <c r="D204" s="25" t="n">
        <v>0.001807323661064293</v>
      </c>
      <c r="E204" s="720" t="n">
        <v>0.0006975147267583789</v>
      </c>
      <c r="F204" s="720" t="n">
        <v>-0.04355955306684373</v>
      </c>
      <c r="G204" s="721" t="n">
        <v>0.02088352800120589</v>
      </c>
      <c r="H204" s="722" t="n">
        <v>-0.006963641220783664</v>
      </c>
      <c r="I204" s="25" t="n">
        <v>0.0006975138154296512</v>
      </c>
      <c r="J204" s="25" t="n">
        <v>0.003248901266539282</v>
      </c>
      <c r="K204" s="25" t="n">
        <v>-0.03602766232087037</v>
      </c>
      <c r="L204" s="25" t="n">
        <v>0.01206533178943232</v>
      </c>
      <c r="M204" s="25" t="n">
        <v>0.003422553211566884</v>
      </c>
      <c r="N204" s="25" t="n">
        <v>-0.1994885778385146</v>
      </c>
      <c r="O204" s="25" t="n">
        <v>-0.09157367074533468</v>
      </c>
      <c r="P204" s="25" t="n">
        <v>0.69157588704851</v>
      </c>
      <c r="Q204" s="25" t="n">
        <v>-0.001113707274312987</v>
      </c>
      <c r="R204" s="25" t="n">
        <v>-0.05064030198678697</v>
      </c>
      <c r="S204" s="25" t="n">
        <v>-0.1520470986176837</v>
      </c>
      <c r="T204" s="25" t="n">
        <v>-0.04404810914419161</v>
      </c>
      <c r="U204" s="25" t="n">
        <v>0.02251917707373205</v>
      </c>
      <c r="V204" s="25" t="n">
        <v>0.05870167242473662</v>
      </c>
      <c r="W204" s="25" t="n">
        <v>-0.2895526943706747</v>
      </c>
      <c r="X204" s="25" t="n">
        <v>0.095108971377246</v>
      </c>
      <c r="Y204" s="25" t="n">
        <v>0.06642153965916112</v>
      </c>
      <c r="Z204" s="25" t="n">
        <v>0.03947538424309631</v>
      </c>
      <c r="AA204" s="25" t="n">
        <v>0.0298451266664346</v>
      </c>
      <c r="AB204" s="25" t="n">
        <v>-0.004334476048433266</v>
      </c>
      <c r="AC204" s="25" t="n">
        <v>0.01133203471735218</v>
      </c>
      <c r="AD204" s="25" t="n">
        <v>-0.03905277602905043</v>
      </c>
      <c r="AE204" s="25" t="n">
        <v>-0.01413420150545487</v>
      </c>
      <c r="AF204" s="25" t="n">
        <v>0.02117319300473115</v>
      </c>
      <c r="AG204" s="45" t="n">
        <v>-0.165983920792714</v>
      </c>
      <c r="AI204" s="3">
        <f t="array" ref="AI204">SQRT(INDEX(_xlfn.ANCHORARRAY($B$190),A204,A204))</f>
        <v/>
      </c>
      <c r="AJ204" s="23" t="n"/>
      <c r="AK204" s="3">
        <f>$AP$191*AI204</f>
        <v/>
      </c>
      <c r="AL204" s="105">
        <f>ABS(Y133/AK204)</f>
        <v/>
      </c>
      <c r="AM204" s="108">
        <f>IF(AL204&lt;2.5,"Spełniony","Nie spełniony")</f>
        <v/>
      </c>
      <c r="AN204" s="23" t="n"/>
      <c r="AO204" s="23" t="n"/>
      <c r="AP204" s="23" t="n"/>
      <c r="AQ204" s="23" t="n"/>
    </row>
    <row r="205">
      <c r="A205" t="n">
        <v>16</v>
      </c>
      <c r="B205" s="67" t="n">
        <v>-0.01111421728776116</v>
      </c>
      <c r="C205" s="25" t="n">
        <v>0.009675547400277068</v>
      </c>
      <c r="D205" s="25" t="n">
        <v>0.00632538680988335</v>
      </c>
      <c r="E205" s="720" t="n">
        <v>0.005437583779363014</v>
      </c>
      <c r="F205" s="720" t="n">
        <v>-0.0378504213937672</v>
      </c>
      <c r="G205" s="721" t="n">
        <v>0.01847167442388977</v>
      </c>
      <c r="H205" s="722" t="n">
        <v>0.00240992527788662</v>
      </c>
      <c r="I205" s="25" t="n">
        <v>0.005437576674959151</v>
      </c>
      <c r="J205" s="25" t="n">
        <v>0.01598158917279591</v>
      </c>
      <c r="K205" s="25" t="n">
        <v>0.03665632226493633</v>
      </c>
      <c r="L205" s="25" t="n">
        <v>-0.0199079901674988</v>
      </c>
      <c r="M205" s="25" t="n">
        <v>-0.01111420068252535</v>
      </c>
      <c r="N205" s="25" t="n">
        <v>-0.1253872581092395</v>
      </c>
      <c r="O205" s="25" t="n">
        <v>0.05385572838046873</v>
      </c>
      <c r="P205" s="25" t="n">
        <v>-0.00111370727431305</v>
      </c>
      <c r="Q205" s="25" t="n">
        <v>0.6727598506568111</v>
      </c>
      <c r="R205" s="25" t="n">
        <v>-0.2153580034902632</v>
      </c>
      <c r="S205" s="25" t="n">
        <v>-0.1201631261101894</v>
      </c>
      <c r="T205" s="25" t="n">
        <v>-0.04543820376855385</v>
      </c>
      <c r="U205" s="25" t="n">
        <v>0.03668327546413586</v>
      </c>
      <c r="V205" s="25" t="n">
        <v>0.0326892848541913</v>
      </c>
      <c r="W205" s="25" t="n">
        <v>0.0989048896234512</v>
      </c>
      <c r="X205" s="25" t="n">
        <v>-0.3137786900277659</v>
      </c>
      <c r="Y205" s="25" t="n">
        <v>0.1018678600586363</v>
      </c>
      <c r="Z205" s="25" t="n">
        <v>0.03669071898313035</v>
      </c>
      <c r="AA205" s="25" t="n">
        <v>0.04362593650835674</v>
      </c>
      <c r="AB205" s="25" t="n">
        <v>-0.0227790289654613</v>
      </c>
      <c r="AC205" s="25" t="n">
        <v>0.03554301492559187</v>
      </c>
      <c r="AD205" s="25" t="n">
        <v>-0.04816081969468813</v>
      </c>
      <c r="AE205" s="25" t="n">
        <v>-0.03762901456087535</v>
      </c>
      <c r="AF205" s="25" t="n">
        <v>0.04251325230208894</v>
      </c>
      <c r="AG205" s="45" t="n">
        <v>0.05317563762107445</v>
      </c>
      <c r="AI205" s="3">
        <f t="array" ref="AI205">SQRT(INDEX(_xlfn.ANCHORARRAY($B$190),A205,A205))</f>
        <v/>
      </c>
      <c r="AJ205" s="23" t="n"/>
      <c r="AK205" s="3">
        <f>$AP$191*AI205</f>
        <v/>
      </c>
      <c r="AL205" s="105">
        <f>ABS(Y134/AK205)</f>
        <v/>
      </c>
      <c r="AM205" s="108">
        <f>IF(AL205&lt;2.5,"Spełniony","Nie spełniony")</f>
        <v/>
      </c>
      <c r="AN205" s="23" t="n"/>
      <c r="AO205" s="23" t="n"/>
      <c r="AP205" s="23" t="n"/>
      <c r="AQ205" s="23" t="n"/>
    </row>
    <row r="206">
      <c r="A206" t="n">
        <v>17</v>
      </c>
      <c r="B206" s="67" t="n">
        <v>-0.01140149479472647</v>
      </c>
      <c r="C206" s="25" t="n">
        <v>-0.1072162623763003</v>
      </c>
      <c r="D206" s="25" t="n">
        <v>-0.03104727735210993</v>
      </c>
      <c r="E206" s="720" t="n">
        <v>-0.003286706841081328</v>
      </c>
      <c r="F206" s="720" t="n">
        <v>-0.07785093727603098</v>
      </c>
      <c r="G206" s="721" t="n">
        <v>0.002696044899369396</v>
      </c>
      <c r="H206" s="722" t="n">
        <v>-0.04937570180935101</v>
      </c>
      <c r="I206" s="25" t="n">
        <v>-0.003286702546877535</v>
      </c>
      <c r="J206" s="25" t="n">
        <v>-0.04864292500816361</v>
      </c>
      <c r="K206" s="25" t="n">
        <v>0.02975849850209907</v>
      </c>
      <c r="L206" s="25" t="n">
        <v>-0.006969318240715429</v>
      </c>
      <c r="M206" s="25" t="n">
        <v>-0.01140147776028272</v>
      </c>
      <c r="N206" s="25" t="n">
        <v>-0.05921722539199703</v>
      </c>
      <c r="O206" s="25" t="n">
        <v>0.03414001111333381</v>
      </c>
      <c r="P206" s="25" t="n">
        <v>-0.050640301986787</v>
      </c>
      <c r="Q206" s="25" t="n">
        <v>-0.2153580034902633</v>
      </c>
      <c r="R206" s="25" t="n">
        <v>0.6994572330033024</v>
      </c>
      <c r="S206" s="25" t="n">
        <v>-0.1788412043141768</v>
      </c>
      <c r="T206" s="25" t="n">
        <v>-0.05785075581306319</v>
      </c>
      <c r="U206" s="25" t="n">
        <v>-0.03174481940607909</v>
      </c>
      <c r="V206" s="25" t="n">
        <v>0.02696207302751912</v>
      </c>
      <c r="W206" s="25" t="n">
        <v>0.09311240140686428</v>
      </c>
      <c r="X206" s="25" t="n">
        <v>-0.170323156896754</v>
      </c>
      <c r="Y206" s="25" t="n">
        <v>-0.08144026721284307</v>
      </c>
      <c r="Z206" s="25" t="n">
        <v>0.08646139446019074</v>
      </c>
      <c r="AA206" s="25" t="n">
        <v>0.04522755521502293</v>
      </c>
      <c r="AB206" s="25" t="n">
        <v>0.07673547688908988</v>
      </c>
      <c r="AC206" s="25" t="n">
        <v>-0.09080955442687551</v>
      </c>
      <c r="AD206" s="25" t="n">
        <v>-0.03527790109846728</v>
      </c>
      <c r="AE206" s="25" t="n">
        <v>0.07846698971604693</v>
      </c>
      <c r="AF206" s="25" t="n">
        <v>-0.03104007110158984</v>
      </c>
      <c r="AG206" s="45" t="n">
        <v>-0.1365835755461867</v>
      </c>
      <c r="AI206" s="3">
        <f t="array" ref="AI206">SQRT(INDEX(_xlfn.ANCHORARRAY($B$190),A206,A206))</f>
        <v/>
      </c>
      <c r="AJ206" s="23" t="n"/>
      <c r="AK206" s="3">
        <f>$AP$191*AI206</f>
        <v/>
      </c>
      <c r="AL206" s="105">
        <f>ABS(Y135/AK206)</f>
        <v/>
      </c>
      <c r="AM206" s="108">
        <f>IF(AL206&lt;2.5,"Spełniony","Nie spełniony")</f>
        <v/>
      </c>
      <c r="AN206" s="23" t="n"/>
      <c r="AO206" s="23" t="n"/>
      <c r="AP206" s="23" t="n"/>
      <c r="AQ206" s="23" t="n"/>
    </row>
    <row r="207">
      <c r="A207" t="n">
        <v>18</v>
      </c>
      <c r="B207" s="67" t="n">
        <v>-0.03346618823590722</v>
      </c>
      <c r="C207" s="25" t="n">
        <v>-0.0442458052230739</v>
      </c>
      <c r="D207" s="25" t="n">
        <v>-0.0133041566363398</v>
      </c>
      <c r="E207" s="720" t="n">
        <v>-0.01966480534370845</v>
      </c>
      <c r="F207" s="720" t="n">
        <v>-0.04508624021858285</v>
      </c>
      <c r="G207" s="721" t="n">
        <v>-0.007429510648082321</v>
      </c>
      <c r="H207" s="722" t="n">
        <v>0.01692665638065235</v>
      </c>
      <c r="I207" s="25" t="n">
        <v>-0.01966477965091462</v>
      </c>
      <c r="J207" s="25" t="n">
        <v>-0.03096357602493108</v>
      </c>
      <c r="K207" s="25" t="n">
        <v>0.03180404754121952</v>
      </c>
      <c r="L207" s="25" t="n">
        <v>0.02803309435398214</v>
      </c>
      <c r="M207" s="25" t="n">
        <v>-0.03346613823562992</v>
      </c>
      <c r="N207" s="25" t="n">
        <v>-0.0455689512477913</v>
      </c>
      <c r="O207" s="25" t="n">
        <v>0.05991131054364238</v>
      </c>
      <c r="P207" s="25" t="n">
        <v>-0.1520470986176838</v>
      </c>
      <c r="Q207" s="25" t="n">
        <v>-0.1201631261101893</v>
      </c>
      <c r="R207" s="25" t="n">
        <v>-0.1788412043141768</v>
      </c>
      <c r="S207" s="25" t="n">
        <v>0.7082574024180955</v>
      </c>
      <c r="T207" s="25" t="n">
        <v>-0.06354892916736758</v>
      </c>
      <c r="U207" s="25" t="n">
        <v>0.03491106352929272</v>
      </c>
      <c r="V207" s="25" t="n">
        <v>-0.0880945201991253</v>
      </c>
      <c r="W207" s="25" t="n">
        <v>0.03437698075048212</v>
      </c>
      <c r="X207" s="25" t="n">
        <v>0.03260459656905967</v>
      </c>
      <c r="Y207" s="25" t="n">
        <v>0.07352833247441164</v>
      </c>
      <c r="Z207" s="25" t="n">
        <v>-0.006685514975389661</v>
      </c>
      <c r="AA207" s="25" t="n">
        <v>-0.04572987461943849</v>
      </c>
      <c r="AB207" s="25" t="n">
        <v>0.008771981749374238</v>
      </c>
      <c r="AC207" s="25" t="n">
        <v>0.02813626685743259</v>
      </c>
      <c r="AD207" s="25" t="n">
        <v>-0.1095951633761858</v>
      </c>
      <c r="AE207" s="25" t="n">
        <v>-0.02128905914088081</v>
      </c>
      <c r="AF207" s="25" t="n">
        <v>0.102308034136753</v>
      </c>
      <c r="AG207" s="45" t="n">
        <v>-0.2730159833621024</v>
      </c>
      <c r="AI207" s="3">
        <f t="array" ref="AI207">SQRT(INDEX(_xlfn.ANCHORARRAY($B$190),A207,A207))</f>
        <v/>
      </c>
      <c r="AJ207" s="23" t="n"/>
      <c r="AK207" s="3">
        <f>$AP$191*AI207</f>
        <v/>
      </c>
      <c r="AL207" s="105">
        <f>ABS(Y136/AK207)</f>
        <v/>
      </c>
      <c r="AM207" s="108">
        <f>IF(AL207&lt;2.5,"Spełniony","Nie spełniony")</f>
        <v/>
      </c>
      <c r="AN207" s="23" t="n"/>
      <c r="AO207" s="23" t="n"/>
      <c r="AP207" s="23" t="n"/>
      <c r="AQ207" s="23" t="n"/>
    </row>
    <row r="208">
      <c r="A208" t="n">
        <v>19</v>
      </c>
      <c r="B208" s="67" t="n">
        <v>-0.04948655233166155</v>
      </c>
      <c r="C208" s="25" t="n">
        <v>-0.05562179797405704</v>
      </c>
      <c r="D208" s="25" t="n">
        <v>-0.1758855451078051</v>
      </c>
      <c r="E208" s="720" t="n">
        <v>-0.01050748804631615</v>
      </c>
      <c r="F208" s="720" t="n">
        <v>-0.1195778297030721</v>
      </c>
      <c r="G208" s="721" t="n">
        <v>0.003620916405079833</v>
      </c>
      <c r="H208" s="722" t="n">
        <v>0.02537039698778683</v>
      </c>
      <c r="I208" s="25" t="n">
        <v>-0.01050747431789525</v>
      </c>
      <c r="J208" s="25" t="n">
        <v>-0.1595715360825058</v>
      </c>
      <c r="K208" s="25" t="n">
        <v>0.02985310598476083</v>
      </c>
      <c r="L208" s="25" t="n">
        <v>0.04737364913042352</v>
      </c>
      <c r="M208" s="25" t="n">
        <v>-0.04948647839610242</v>
      </c>
      <c r="N208" s="25" t="n">
        <v>-0.0744820891901833</v>
      </c>
      <c r="O208" s="25" t="n">
        <v>0.04149602164619862</v>
      </c>
      <c r="P208" s="25" t="n">
        <v>-0.04404810914419165</v>
      </c>
      <c r="Q208" s="25" t="n">
        <v>-0.04543820376855383</v>
      </c>
      <c r="R208" s="25" t="n">
        <v>-0.05785075581306316</v>
      </c>
      <c r="S208" s="25" t="n">
        <v>-0.06354892916736754</v>
      </c>
      <c r="T208" s="25" t="n">
        <v>0.7081325005892607</v>
      </c>
      <c r="U208" s="25" t="n">
        <v>-0.2290225769444584</v>
      </c>
      <c r="V208" s="25" t="n">
        <v>-0.09587026389028774</v>
      </c>
      <c r="W208" s="25" t="n">
        <v>-0.02734402568393159</v>
      </c>
      <c r="X208" s="25" t="n">
        <v>0.04422360979248464</v>
      </c>
      <c r="Y208" s="25" t="n">
        <v>0.06680749727941569</v>
      </c>
      <c r="Z208" s="25" t="n">
        <v>0.06074999179841675</v>
      </c>
      <c r="AA208" s="25" t="n">
        <v>-0.04856680929609776</v>
      </c>
      <c r="AB208" s="25" t="n">
        <v>0.008272791714942856</v>
      </c>
      <c r="AC208" s="25" t="n">
        <v>0.1228320024587244</v>
      </c>
      <c r="AD208" s="25" t="n">
        <v>0.07885982578756551</v>
      </c>
      <c r="AE208" s="25" t="n">
        <v>-0.02538744358524181</v>
      </c>
      <c r="AF208" s="25" t="n">
        <v>-0.02097463043649259</v>
      </c>
      <c r="AG208" s="45" t="n">
        <v>0.08944894431948354</v>
      </c>
      <c r="AI208" s="3">
        <f t="array" ref="AI208">SQRT(INDEX(_xlfn.ANCHORARRAY($B$190),A208,A208))</f>
        <v/>
      </c>
      <c r="AJ208" s="23" t="n"/>
      <c r="AK208" s="3">
        <f>$AP$191*AI208</f>
        <v/>
      </c>
      <c r="AL208" s="105">
        <f>ABS(Y137/AK208)</f>
        <v/>
      </c>
      <c r="AM208" s="108">
        <f>IF(AL208&lt;2.5,"Spełniony","Nie spełniony")</f>
        <v/>
      </c>
      <c r="AN208" s="23" t="n"/>
      <c r="AO208" s="23" t="n"/>
      <c r="AP208" s="23" t="n"/>
      <c r="AQ208" s="23" t="n"/>
    </row>
    <row r="209">
      <c r="A209" t="n">
        <v>20</v>
      </c>
      <c r="B209" s="67" t="n">
        <v>0.003678995166684337</v>
      </c>
      <c r="C209" s="25" t="n">
        <v>-0.04271701676241851</v>
      </c>
      <c r="D209" s="25" t="n">
        <v>-0.1696800932772771</v>
      </c>
      <c r="E209" s="720" t="n">
        <v>0.03607725099688394</v>
      </c>
      <c r="F209" s="720" t="n">
        <v>-0.007906112256961896</v>
      </c>
      <c r="G209" s="721" t="n">
        <v>0.02965808645611059</v>
      </c>
      <c r="H209" s="722" t="n">
        <v>0.05511244729893827</v>
      </c>
      <c r="I209" s="25" t="n">
        <v>0.03607720386062423</v>
      </c>
      <c r="J209" s="25" t="n">
        <v>-0.08269274562676246</v>
      </c>
      <c r="K209" s="25" t="n">
        <v>-0.009419494735110265</v>
      </c>
      <c r="L209" s="25" t="n">
        <v>-0.01220056068787047</v>
      </c>
      <c r="M209" s="25" t="n">
        <v>0.003678989670068605</v>
      </c>
      <c r="N209" s="25" t="n">
        <v>0.03295303453910083</v>
      </c>
      <c r="O209" s="25" t="n">
        <v>-0.02219952352797653</v>
      </c>
      <c r="P209" s="25" t="n">
        <v>0.02251917707373205</v>
      </c>
      <c r="Q209" s="25" t="n">
        <v>0.03668327546413585</v>
      </c>
      <c r="R209" s="25" t="n">
        <v>-0.03174481940607911</v>
      </c>
      <c r="S209" s="25" t="n">
        <v>0.03491106352929277</v>
      </c>
      <c r="T209" s="25" t="n">
        <v>-0.2290225769444584</v>
      </c>
      <c r="U209" s="25" t="n">
        <v>0.5542737179562169</v>
      </c>
      <c r="V209" s="25" t="n">
        <v>0.04262813097134696</v>
      </c>
      <c r="W209" s="25" t="n">
        <v>0.01188929758152088</v>
      </c>
      <c r="X209" s="25" t="n">
        <v>0.003960769164166378</v>
      </c>
      <c r="Y209" s="25" t="n">
        <v>-0.1056285050798346</v>
      </c>
      <c r="Z209" s="25" t="n">
        <v>0.02906235103127444</v>
      </c>
      <c r="AA209" s="25" t="n">
        <v>0.01808795633152591</v>
      </c>
      <c r="AB209" s="25" t="n">
        <v>-0.1098995379002177</v>
      </c>
      <c r="AC209" s="25" t="n">
        <v>0.2337293776340936</v>
      </c>
      <c r="AD209" s="25" t="n">
        <v>0.1181164011853632</v>
      </c>
      <c r="AE209" s="25" t="n">
        <v>0.2120809696439619</v>
      </c>
      <c r="AF209" s="25" t="n">
        <v>-0.0646292073297115</v>
      </c>
      <c r="AG209" s="45" t="n">
        <v>-0.02293698108650909</v>
      </c>
      <c r="AI209" s="3">
        <f t="array" ref="AI209">SQRT(INDEX(_xlfn.ANCHORARRAY($B$190),A209,A209))</f>
        <v/>
      </c>
      <c r="AJ209" s="23" t="n"/>
      <c r="AK209" s="3">
        <f>$AP$191*AI209</f>
        <v/>
      </c>
      <c r="AL209" s="105">
        <f>ABS(Y138/AK209)</f>
        <v/>
      </c>
      <c r="AM209" s="108">
        <f>IF(AL209&lt;2.5,"Spełniony","Nie spełniony")</f>
        <v/>
      </c>
      <c r="AN209" s="23" t="n"/>
      <c r="AO209" s="23" t="n"/>
      <c r="AP209" s="23" t="n"/>
      <c r="AQ209" s="23" t="n"/>
    </row>
    <row r="210">
      <c r="A210" t="n">
        <v>21</v>
      </c>
      <c r="B210" s="67" t="n">
        <v>0.04618930495752267</v>
      </c>
      <c r="C210" s="25" t="n">
        <v>0.004791714670850641</v>
      </c>
      <c r="D210" s="25" t="n">
        <v>0.01562749707860341</v>
      </c>
      <c r="E210" s="720" t="n">
        <v>0.01566287115855243</v>
      </c>
      <c r="F210" s="720" t="n">
        <v>-0.1117360709895802</v>
      </c>
      <c r="G210" s="721" t="n">
        <v>0.07788604210536973</v>
      </c>
      <c r="H210" s="722" t="n">
        <v>-0.03990293944046666</v>
      </c>
      <c r="I210" s="25" t="n">
        <v>0.01566285069443329</v>
      </c>
      <c r="J210" s="25" t="n">
        <v>0.03100721610365363</v>
      </c>
      <c r="K210" s="25" t="n">
        <v>-0.1863606877085181</v>
      </c>
      <c r="L210" s="25" t="n">
        <v>0.03551891782925916</v>
      </c>
      <c r="M210" s="25" t="n">
        <v>0.04618923594822773</v>
      </c>
      <c r="N210" s="25" t="n">
        <v>0.06345350516973378</v>
      </c>
      <c r="O210" s="25" t="n">
        <v>0.07457033706959285</v>
      </c>
      <c r="P210" s="25" t="n">
        <v>0.05870167242473659</v>
      </c>
      <c r="Q210" s="25" t="n">
        <v>0.03268928485419136</v>
      </c>
      <c r="R210" s="25" t="n">
        <v>0.02696207302751902</v>
      </c>
      <c r="S210" s="25" t="n">
        <v>-0.08809452019912541</v>
      </c>
      <c r="T210" s="25" t="n">
        <v>-0.09587026389028783</v>
      </c>
      <c r="U210" s="25" t="n">
        <v>0.04262813097134685</v>
      </c>
      <c r="V210" s="25" t="n">
        <v>0.2814827331291632</v>
      </c>
      <c r="W210" s="25" t="n">
        <v>0.1504787194025884</v>
      </c>
      <c r="X210" s="25" t="n">
        <v>0.1504319527584962</v>
      </c>
      <c r="Y210" s="25" t="n">
        <v>0.1519003309274855</v>
      </c>
      <c r="Z210" s="25" t="n">
        <v>0.1371310684829286</v>
      </c>
      <c r="AA210" s="25" t="n">
        <v>0.1285751952993381</v>
      </c>
      <c r="AB210" s="25" t="n">
        <v>-0.01525532251474493</v>
      </c>
      <c r="AC210" s="25" t="n">
        <v>0.00726910129951901</v>
      </c>
      <c r="AD210" s="25" t="n">
        <v>-0.03927807286410887</v>
      </c>
      <c r="AE210" s="25" t="n">
        <v>-0.02207929385206006</v>
      </c>
      <c r="AF210" s="25" t="n">
        <v>-0.01921305850106633</v>
      </c>
      <c r="AG210" s="45" t="n">
        <v>0.01274645415589956</v>
      </c>
      <c r="AI210" s="3">
        <f t="array" ref="AI210">SQRT(INDEX(_xlfn.ANCHORARRAY($B$190),A210,A210))</f>
        <v/>
      </c>
      <c r="AJ210" s="23" t="n"/>
      <c r="AK210" s="3">
        <f>$AP$191*AI210</f>
        <v/>
      </c>
      <c r="AL210" s="105">
        <f>ABS(Y139/AK210)</f>
        <v/>
      </c>
      <c r="AM210" s="108">
        <f>IF(AL210&lt;2.5,"Spełniony","Nie spełniony")</f>
        <v/>
      </c>
      <c r="AN210" s="23" t="n"/>
      <c r="AO210" s="23" t="n"/>
      <c r="AP210" s="23" t="n"/>
      <c r="AQ210" s="23" t="n"/>
    </row>
    <row r="211">
      <c r="A211" t="n">
        <v>22</v>
      </c>
      <c r="B211" s="67" t="n">
        <v>0.006365571112860284</v>
      </c>
      <c r="C211" s="25" t="n">
        <v>0.02644557448560205</v>
      </c>
      <c r="D211" s="25" t="n">
        <v>0.01353653600865347</v>
      </c>
      <c r="E211" s="720" t="n">
        <v>0.03287872522799241</v>
      </c>
      <c r="F211" s="720" t="n">
        <v>-0.04166792116478209</v>
      </c>
      <c r="G211" s="721" t="n">
        <v>0.03780499477134409</v>
      </c>
      <c r="H211" s="722" t="n">
        <v>-0.03337786592893571</v>
      </c>
      <c r="I211" s="25" t="n">
        <v>0.03287868227072464</v>
      </c>
      <c r="J211" s="25" t="n">
        <v>0.04619324006139337</v>
      </c>
      <c r="K211" s="25" t="n">
        <v>0.08194612476359521</v>
      </c>
      <c r="L211" s="25" t="n">
        <v>-0.0878174763830063</v>
      </c>
      <c r="M211" s="25" t="n">
        <v>0.006365561602356233</v>
      </c>
      <c r="N211" s="25" t="n">
        <v>-0.1283477221895416</v>
      </c>
      <c r="O211" s="25" t="n">
        <v>0.1250819568265713</v>
      </c>
      <c r="P211" s="25" t="n">
        <v>-0.2895526943706746</v>
      </c>
      <c r="Q211" s="25" t="n">
        <v>0.09890488962345124</v>
      </c>
      <c r="R211" s="25" t="n">
        <v>0.09311240140686429</v>
      </c>
      <c r="S211" s="25" t="n">
        <v>0.03437698075048222</v>
      </c>
      <c r="T211" s="25" t="n">
        <v>-0.0273440256839315</v>
      </c>
      <c r="U211" s="25" t="n">
        <v>0.01188929758152093</v>
      </c>
      <c r="V211" s="25" t="n">
        <v>0.1504787194025883</v>
      </c>
      <c r="W211" s="25" t="n">
        <v>0.408868810991716</v>
      </c>
      <c r="X211" s="25" t="n">
        <v>0.1212135804756928</v>
      </c>
      <c r="Y211" s="25" t="n">
        <v>0.06087080469370741</v>
      </c>
      <c r="Z211" s="25" t="n">
        <v>0.1057346150533296</v>
      </c>
      <c r="AA211" s="25" t="n">
        <v>0.152833469382966</v>
      </c>
      <c r="AB211" s="25" t="n">
        <v>-0.02154816308114074</v>
      </c>
      <c r="AC211" s="25" t="n">
        <v>-0.003900488205720485</v>
      </c>
      <c r="AD211" s="25" t="n">
        <v>0.02751114949087952</v>
      </c>
      <c r="AE211" s="25" t="n">
        <v>-0.01279057688751156</v>
      </c>
      <c r="AF211" s="25" t="n">
        <v>-0.05196813728580264</v>
      </c>
      <c r="AG211" s="45" t="n">
        <v>0.03957671137127591</v>
      </c>
      <c r="AI211" s="3">
        <f t="array" ref="AI211">SQRT(INDEX(_xlfn.ANCHORARRAY($B$190),A211,A211))</f>
        <v/>
      </c>
      <c r="AJ211" s="23" t="n"/>
      <c r="AK211" s="3">
        <f>$AP$191*AI211</f>
        <v/>
      </c>
      <c r="AL211" s="105">
        <f>ABS(Y140/AK211)</f>
        <v/>
      </c>
      <c r="AM211" s="108">
        <f>IF(AL211&lt;2.5,"Spełniony","Nie spełniony")</f>
        <v/>
      </c>
      <c r="AN211" s="23" t="n"/>
      <c r="AO211" s="23" t="n"/>
      <c r="AP211" s="23" t="n"/>
      <c r="AQ211" s="23" t="n"/>
    </row>
    <row r="212">
      <c r="A212" t="n">
        <v>23</v>
      </c>
      <c r="B212" s="67" t="n">
        <v>0.03246767165860998</v>
      </c>
      <c r="C212" s="25" t="n">
        <v>0.09567225102247297</v>
      </c>
      <c r="D212" s="25" t="n">
        <v>0.0324785019241367</v>
      </c>
      <c r="E212" s="720" t="n">
        <v>0.03499108891714744</v>
      </c>
      <c r="F212" s="720" t="n">
        <v>0.03283210071394851</v>
      </c>
      <c r="G212" s="721" t="n">
        <v>0.03122375210513588</v>
      </c>
      <c r="H212" s="722" t="n">
        <v>-0.009485125717440139</v>
      </c>
      <c r="I212" s="25" t="n">
        <v>0.03499104319999855</v>
      </c>
      <c r="J212" s="25" t="n">
        <v>0.07302695765798053</v>
      </c>
      <c r="K212" s="25" t="n">
        <v>0.006964539032938616</v>
      </c>
      <c r="L212" s="25" t="n">
        <v>-0.06657484502976667</v>
      </c>
      <c r="M212" s="25" t="n">
        <v>0.03246762315016997</v>
      </c>
      <c r="N212" s="25" t="n">
        <v>-0.06183677241421374</v>
      </c>
      <c r="O212" s="25" t="n">
        <v>0.0007153124683282885</v>
      </c>
      <c r="P212" s="25" t="n">
        <v>0.09510897137724605</v>
      </c>
      <c r="Q212" s="25" t="n">
        <v>-0.3137786900277658</v>
      </c>
      <c r="R212" s="25" t="n">
        <v>-0.1703231568967538</v>
      </c>
      <c r="S212" s="25" t="n">
        <v>0.03260459656905967</v>
      </c>
      <c r="T212" s="25" t="n">
        <v>0.0442236097924846</v>
      </c>
      <c r="U212" s="25" t="n">
        <v>0.003960769164166343</v>
      </c>
      <c r="V212" s="25" t="n">
        <v>0.1504319527584961</v>
      </c>
      <c r="W212" s="25" t="n">
        <v>0.1212135804756929</v>
      </c>
      <c r="X212" s="25" t="n">
        <v>0.5424125777613051</v>
      </c>
      <c r="Y212" s="25" t="n">
        <v>0.04129345205988336</v>
      </c>
      <c r="Z212" s="25" t="n">
        <v>0.03597583007097774</v>
      </c>
      <c r="AA212" s="25" t="n">
        <v>0.1086726068736448</v>
      </c>
      <c r="AB212" s="25" t="n">
        <v>-0.05684217220027907</v>
      </c>
      <c r="AC212" s="25" t="n">
        <v>0.02484323566691861</v>
      </c>
      <c r="AD212" s="25" t="n">
        <v>0.09877912440770659</v>
      </c>
      <c r="AE212" s="25" t="n">
        <v>-0.03429563068177691</v>
      </c>
      <c r="AF212" s="25" t="n">
        <v>-0.0807885758429733</v>
      </c>
      <c r="AG212" s="45" t="n">
        <v>0.06832206522341794</v>
      </c>
      <c r="AI212" s="3">
        <f t="array" ref="AI212">SQRT(INDEX(_xlfn.ANCHORARRAY($B$190),A212,A212))</f>
        <v/>
      </c>
      <c r="AJ212" s="23" t="n"/>
      <c r="AK212" s="3">
        <f>$AP$191*AI212</f>
        <v/>
      </c>
      <c r="AL212" s="105">
        <f>ABS(Y141/AK212)</f>
        <v/>
      </c>
      <c r="AM212" s="108">
        <f>IF(AL212&lt;2.5,"Spełniony","Nie spełniony")</f>
        <v/>
      </c>
      <c r="AN212" s="23" t="n"/>
      <c r="AO212" s="23" t="n"/>
      <c r="AP212" s="23" t="n"/>
      <c r="AQ212" s="23" t="n"/>
    </row>
    <row r="213">
      <c r="A213" t="n">
        <v>24</v>
      </c>
      <c r="B213" s="67" t="n">
        <v>0.07430511825860253</v>
      </c>
      <c r="C213" s="25" t="n">
        <v>-0.2087087474256643</v>
      </c>
      <c r="D213" s="25" t="n">
        <v>-0.1109114935839731</v>
      </c>
      <c r="E213" s="720" t="n">
        <v>0.05139395023865054</v>
      </c>
      <c r="F213" s="720" t="n">
        <v>0.09102861953227662</v>
      </c>
      <c r="G213" s="721" t="n">
        <v>-0.01534767162686525</v>
      </c>
      <c r="H213" s="722" t="n">
        <v>-0.08285559949075194</v>
      </c>
      <c r="I213" s="25" t="n">
        <v>0.05139388309055809</v>
      </c>
      <c r="J213" s="25" t="n">
        <v>-0.06761972736340237</v>
      </c>
      <c r="K213" s="25" t="n">
        <v>-0.03687680048761063</v>
      </c>
      <c r="L213" s="25" t="n">
        <v>-0.07239511269040072</v>
      </c>
      <c r="M213" s="25" t="n">
        <v>0.07430500724277687</v>
      </c>
      <c r="N213" s="25" t="n">
        <v>0.08990763032377172</v>
      </c>
      <c r="O213" s="25" t="n">
        <v>-0.05417976808380477</v>
      </c>
      <c r="P213" s="25" t="n">
        <v>0.0664215396591612</v>
      </c>
      <c r="Q213" s="25" t="n">
        <v>0.1018678600586362</v>
      </c>
      <c r="R213" s="25" t="n">
        <v>-0.08144026721284309</v>
      </c>
      <c r="S213" s="25" t="n">
        <v>0.07352833247441165</v>
      </c>
      <c r="T213" s="25" t="n">
        <v>0.06680749727941573</v>
      </c>
      <c r="U213" s="25" t="n">
        <v>-0.1056285050798345</v>
      </c>
      <c r="V213" s="25" t="n">
        <v>0.1519003309274856</v>
      </c>
      <c r="W213" s="25" t="n">
        <v>0.06087080469370747</v>
      </c>
      <c r="X213" s="25" t="n">
        <v>0.04129345205988327</v>
      </c>
      <c r="Y213" s="25" t="n">
        <v>0.593454483633076</v>
      </c>
      <c r="Z213" s="25" t="n">
        <v>0.06257659285514766</v>
      </c>
      <c r="AA213" s="25" t="n">
        <v>0.08990433583069997</v>
      </c>
      <c r="AB213" s="25" t="n">
        <v>0.07853046098665953</v>
      </c>
      <c r="AC213" s="25" t="n">
        <v>-0.1526523574723338</v>
      </c>
      <c r="AD213" s="25" t="n">
        <v>-0.02290237169988946</v>
      </c>
      <c r="AE213" s="25" t="n">
        <v>0.106252708319374</v>
      </c>
      <c r="AF213" s="25" t="n">
        <v>0.06620731978193883</v>
      </c>
      <c r="AG213" s="45" t="n">
        <v>-0.05387831944011232</v>
      </c>
      <c r="AI213" s="3">
        <f t="array" ref="AI213">SQRT(INDEX(_xlfn.ANCHORARRAY($B$190),A213,A213))</f>
        <v/>
      </c>
      <c r="AJ213" s="23" t="n"/>
      <c r="AK213" s="3">
        <f>$AP$191*AI213</f>
        <v/>
      </c>
      <c r="AL213" s="105">
        <f>ABS(Y142/AK213)</f>
        <v/>
      </c>
      <c r="AM213" s="108">
        <f>IF(AL213&lt;2.5,"Spełniony","Nie spełniony")</f>
        <v/>
      </c>
      <c r="AN213" s="23" t="n"/>
      <c r="AO213" s="23" t="n"/>
      <c r="AP213" s="23" t="n"/>
      <c r="AQ213" s="23" t="n"/>
    </row>
    <row r="214">
      <c r="A214" t="n">
        <v>25</v>
      </c>
      <c r="B214" s="67" t="n">
        <v>-0.06777500925307943</v>
      </c>
      <c r="C214" s="25" t="n">
        <v>0.06646206398367063</v>
      </c>
      <c r="D214" s="25" t="n">
        <v>0.04688843886181539</v>
      </c>
      <c r="E214" s="720" t="n">
        <v>-0.2055359767863475</v>
      </c>
      <c r="F214" s="720" t="n">
        <v>0.07037518779677716</v>
      </c>
      <c r="G214" s="721" t="n">
        <v>0.1334009801392274</v>
      </c>
      <c r="H214" s="722" t="n">
        <v>0.121570843551103</v>
      </c>
      <c r="I214" s="25" t="n">
        <v>-0.2055357082460095</v>
      </c>
      <c r="J214" s="25" t="n">
        <v>-0.1450629735432079</v>
      </c>
      <c r="K214" s="25" t="n">
        <v>0.02327657823785616</v>
      </c>
      <c r="L214" s="25" t="n">
        <v>0.01775173496004678</v>
      </c>
      <c r="M214" s="25" t="n">
        <v>-0.06777490799358638</v>
      </c>
      <c r="N214" s="25" t="n">
        <v>0.03918665275137186</v>
      </c>
      <c r="O214" s="25" t="n">
        <v>-0.05606611936833764</v>
      </c>
      <c r="P214" s="25" t="n">
        <v>0.03947538424309631</v>
      </c>
      <c r="Q214" s="25" t="n">
        <v>0.03669071898313032</v>
      </c>
      <c r="R214" s="25" t="n">
        <v>0.0864613944601907</v>
      </c>
      <c r="S214" s="25" t="n">
        <v>-0.006685514975389708</v>
      </c>
      <c r="T214" s="25" t="n">
        <v>0.06074999179841665</v>
      </c>
      <c r="U214" s="25" t="n">
        <v>0.02906235103127433</v>
      </c>
      <c r="V214" s="25" t="n">
        <v>0.1371310684829285</v>
      </c>
      <c r="W214" s="25" t="n">
        <v>0.1057346150533295</v>
      </c>
      <c r="X214" s="25" t="n">
        <v>0.03597583007097774</v>
      </c>
      <c r="Y214" s="25" t="n">
        <v>0.06257659285514784</v>
      </c>
      <c r="Z214" s="25" t="n">
        <v>0.5419514348959864</v>
      </c>
      <c r="AA214" s="25" t="n">
        <v>0.11663045864163</v>
      </c>
      <c r="AB214" s="25" t="n">
        <v>0.005425317575540885</v>
      </c>
      <c r="AC214" s="25" t="n">
        <v>0.09505686460995764</v>
      </c>
      <c r="AD214" s="25" t="n">
        <v>-0.04608406642576592</v>
      </c>
      <c r="AE214" s="25" t="n">
        <v>-0.0071146535446936</v>
      </c>
      <c r="AF214" s="25" t="n">
        <v>0.0758397392821604</v>
      </c>
      <c r="AG214" s="45" t="n">
        <v>-0.05560227767270125</v>
      </c>
      <c r="AI214" s="3">
        <f t="array" ref="AI214">SQRT(INDEX(_xlfn.ANCHORARRAY($B$190),A214,A214))</f>
        <v/>
      </c>
      <c r="AJ214" s="23" t="n"/>
      <c r="AK214" s="3">
        <f>$AP$191*AI214</f>
        <v/>
      </c>
      <c r="AL214" s="105">
        <f>ABS(Y143/AK214)</f>
        <v/>
      </c>
      <c r="AM214" s="108">
        <f>IF(AL214&lt;2.5,"Spełniony","Nie spełniony")</f>
        <v/>
      </c>
      <c r="AN214" s="23" t="n"/>
      <c r="AO214" s="23" t="n"/>
      <c r="AP214" s="23" t="n"/>
      <c r="AQ214" s="23" t="n"/>
    </row>
    <row r="215">
      <c r="A215" t="n">
        <v>26</v>
      </c>
      <c r="B215" s="67" t="n">
        <v>-0.09155265673451607</v>
      </c>
      <c r="C215" s="25" t="n">
        <v>0.015337143263068</v>
      </c>
      <c r="D215" s="25" t="n">
        <v>0.002380519710764223</v>
      </c>
      <c r="E215" s="720" t="n">
        <v>0.07060934124400471</v>
      </c>
      <c r="F215" s="720" t="n">
        <v>-0.04083191588864</v>
      </c>
      <c r="G215" s="721" t="n">
        <v>-0.2649680974942119</v>
      </c>
      <c r="H215" s="722" t="n">
        <v>0.04405068702649145</v>
      </c>
      <c r="I215" s="25" t="n">
        <v>0.07060924899029489</v>
      </c>
      <c r="J215" s="25" t="n">
        <v>0.06245528708358278</v>
      </c>
      <c r="K215" s="25" t="n">
        <v>0.1110502461617388</v>
      </c>
      <c r="L215" s="25" t="n">
        <v>0.1735167813138678</v>
      </c>
      <c r="M215" s="25" t="n">
        <v>-0.09155251994994448</v>
      </c>
      <c r="N215" s="25" t="n">
        <v>-0.002363293641121873</v>
      </c>
      <c r="O215" s="25" t="n">
        <v>-0.09012171891234998</v>
      </c>
      <c r="P215" s="25" t="n">
        <v>0.02984512666643455</v>
      </c>
      <c r="Q215" s="25" t="n">
        <v>0.04362593650835675</v>
      </c>
      <c r="R215" s="25" t="n">
        <v>0.04522755521502296</v>
      </c>
      <c r="S215" s="25" t="n">
        <v>-0.04572987461943841</v>
      </c>
      <c r="T215" s="25" t="n">
        <v>-0.04856680929609765</v>
      </c>
      <c r="U215" s="25" t="n">
        <v>0.01808795633152603</v>
      </c>
      <c r="V215" s="25" t="n">
        <v>0.1285751952993384</v>
      </c>
      <c r="W215" s="25" t="n">
        <v>0.1528334693829658</v>
      </c>
      <c r="X215" s="25" t="n">
        <v>0.1086726068736449</v>
      </c>
      <c r="Y215" s="25" t="n">
        <v>0.08990433583069987</v>
      </c>
      <c r="Z215" s="25" t="n">
        <v>0.1166304586416301</v>
      </c>
      <c r="AA215" s="25" t="n">
        <v>0.4033839339717209</v>
      </c>
      <c r="AB215" s="25" t="n">
        <v>0.0096898792339643</v>
      </c>
      <c r="AC215" s="25" t="n">
        <v>0.02938364410165906</v>
      </c>
      <c r="AD215" s="25" t="n">
        <v>-0.01802576290882186</v>
      </c>
      <c r="AE215" s="25" t="n">
        <v>-0.02997255335333181</v>
      </c>
      <c r="AF215" s="25" t="n">
        <v>0.00992271256574305</v>
      </c>
      <c r="AG215" s="45" t="n">
        <v>-0.01116463363777984</v>
      </c>
      <c r="AI215" s="3">
        <f t="array" ref="AI215">SQRT(INDEX(_xlfn.ANCHORARRAY($B$190),A215,A215))</f>
        <v/>
      </c>
      <c r="AJ215" s="23" t="n"/>
      <c r="AK215" s="3">
        <f>$AP$191*AI215</f>
        <v/>
      </c>
      <c r="AL215" s="105">
        <f>ABS(Y144/AK215)</f>
        <v/>
      </c>
      <c r="AM215" s="108">
        <f>IF(AL215&lt;2.5,"Spełniony","Nie spełniony")</f>
        <v/>
      </c>
      <c r="AN215" s="23" t="n"/>
      <c r="AO215" s="23" t="n"/>
      <c r="AP215" s="23" t="n"/>
      <c r="AQ215" s="23" t="n"/>
    </row>
    <row r="216">
      <c r="A216" t="n">
        <v>27</v>
      </c>
      <c r="B216" s="67" t="n">
        <v>0.06626892797580576</v>
      </c>
      <c r="C216" s="25" t="n">
        <v>0.09684040367116298</v>
      </c>
      <c r="D216" s="25" t="n">
        <v>0.01637625994308683</v>
      </c>
      <c r="E216" s="720" t="n">
        <v>-0.06254774777559627</v>
      </c>
      <c r="F216" s="720" t="n">
        <v>0.1023080305955953</v>
      </c>
      <c r="G216" s="721" t="n">
        <v>-0.1340283371572584</v>
      </c>
      <c r="H216" s="722" t="n">
        <v>-0.2951647663323545</v>
      </c>
      <c r="I216" s="25" t="n">
        <v>-0.06254766605465603</v>
      </c>
      <c r="J216" s="25" t="n">
        <v>0.08218801654488617</v>
      </c>
      <c r="K216" s="25" t="n">
        <v>-0.01550300383010841</v>
      </c>
      <c r="L216" s="25" t="n">
        <v>-0.0210681247541056</v>
      </c>
      <c r="M216" s="25" t="n">
        <v>0.06626882896647884</v>
      </c>
      <c r="N216" s="25" t="n">
        <v>0.007594618201771878</v>
      </c>
      <c r="O216" s="25" t="n">
        <v>0.007993687502164466</v>
      </c>
      <c r="P216" s="25" t="n">
        <v>-0.004334476048433275</v>
      </c>
      <c r="Q216" s="25" t="n">
        <v>-0.02277902896546127</v>
      </c>
      <c r="R216" s="25" t="n">
        <v>0.07673547688908991</v>
      </c>
      <c r="S216" s="25" t="n">
        <v>0.0087719817493742</v>
      </c>
      <c r="T216" s="25" t="n">
        <v>0.008272791714942784</v>
      </c>
      <c r="U216" s="25" t="n">
        <v>-0.1098995379002179</v>
      </c>
      <c r="V216" s="25" t="n">
        <v>-0.01525532251474496</v>
      </c>
      <c r="W216" s="25" t="n">
        <v>-0.02154816308114066</v>
      </c>
      <c r="X216" s="25" t="n">
        <v>-0.05684217220027899</v>
      </c>
      <c r="Y216" s="25" t="n">
        <v>0.07853046098665953</v>
      </c>
      <c r="Z216" s="25" t="n">
        <v>0.00542531757554085</v>
      </c>
      <c r="AA216" s="25" t="n">
        <v>0.009689879233964208</v>
      </c>
      <c r="AB216" s="25" t="n">
        <v>0.5132930329886247</v>
      </c>
      <c r="AC216" s="25" t="n">
        <v>0.2394130917736971</v>
      </c>
      <c r="AD216" s="25" t="n">
        <v>-0.02954371465829613</v>
      </c>
      <c r="AE216" s="25" t="n">
        <v>0.05949470735118383</v>
      </c>
      <c r="AF216" s="25" t="n">
        <v>0.09365151032446328</v>
      </c>
      <c r="AG216" s="45" t="n">
        <v>-0.03296419912139553</v>
      </c>
      <c r="AI216" s="3">
        <f t="array" ref="AI216">SQRT(INDEX(_xlfn.ANCHORARRAY($B$190),A216,A216))</f>
        <v/>
      </c>
      <c r="AJ216" s="23" t="n"/>
      <c r="AK216" s="3">
        <f>$AP$191*AI216</f>
        <v/>
      </c>
      <c r="AL216" s="105">
        <f>ABS(Y145/AK216)</f>
        <v/>
      </c>
      <c r="AM216" s="108">
        <f>IF(AL216&lt;2.5,"Spełniony","Nie spełniony")</f>
        <v/>
      </c>
      <c r="AN216" s="23" t="n"/>
      <c r="AO216" s="23" t="n"/>
      <c r="AP216" s="23" t="n"/>
      <c r="AQ216" s="23" t="n"/>
    </row>
    <row r="217">
      <c r="A217" t="n">
        <v>28</v>
      </c>
      <c r="B217" s="67" t="n">
        <v>0.0004156640783737203</v>
      </c>
      <c r="C217" s="25" t="n">
        <v>-0.1070939128231064</v>
      </c>
      <c r="D217" s="25" t="n">
        <v>0.05509432112963784</v>
      </c>
      <c r="E217" s="720" t="n">
        <v>-0.03180898697656534</v>
      </c>
      <c r="F217" s="720" t="n">
        <v>-0.0783262671504152</v>
      </c>
      <c r="G217" s="721" t="n">
        <v>-0.0349931437349994</v>
      </c>
      <c r="H217" s="722" t="n">
        <v>-0.1349867666746573</v>
      </c>
      <c r="I217" s="25" t="n">
        <v>-0.03180894541694998</v>
      </c>
      <c r="J217" s="25" t="n">
        <v>-0.04301955347106687</v>
      </c>
      <c r="K217" s="25" t="n">
        <v>0.00265082146344528</v>
      </c>
      <c r="L217" s="25" t="n">
        <v>0.01383752386985249</v>
      </c>
      <c r="M217" s="25" t="n">
        <v>0.0004156634573492385</v>
      </c>
      <c r="N217" s="25" t="n">
        <v>0.0128378464332321</v>
      </c>
      <c r="O217" s="25" t="n">
        <v>-0.01416924235416479</v>
      </c>
      <c r="P217" s="25" t="n">
        <v>0.01133203471735222</v>
      </c>
      <c r="Q217" s="25" t="n">
        <v>0.03554301492559181</v>
      </c>
      <c r="R217" s="25" t="n">
        <v>-0.09080955442687548</v>
      </c>
      <c r="S217" s="25" t="n">
        <v>0.02813626685743262</v>
      </c>
      <c r="T217" s="25" t="n">
        <v>0.1228320024587244</v>
      </c>
      <c r="U217" s="25" t="n">
        <v>0.2337293776340936</v>
      </c>
      <c r="V217" s="25" t="n">
        <v>0.007269101299518965</v>
      </c>
      <c r="W217" s="25" t="n">
        <v>-0.003900488205720441</v>
      </c>
      <c r="X217" s="25" t="n">
        <v>0.02484323566691852</v>
      </c>
      <c r="Y217" s="25" t="n">
        <v>-0.1526523574723338</v>
      </c>
      <c r="Z217" s="25" t="n">
        <v>0.09505686460995749</v>
      </c>
      <c r="AA217" s="25" t="n">
        <v>0.02938364410165922</v>
      </c>
      <c r="AB217" s="25" t="n">
        <v>0.2394130917736969</v>
      </c>
      <c r="AC217" s="25" t="n">
        <v>0.6251189911280002</v>
      </c>
      <c r="AD217" s="25" t="n">
        <v>0.01120928679596146</v>
      </c>
      <c r="AE217" s="25" t="n">
        <v>-0.05178283252055285</v>
      </c>
      <c r="AF217" s="25" t="n">
        <v>-0.1246143608932704</v>
      </c>
      <c r="AG217" s="45" t="n">
        <v>0.01151227219989608</v>
      </c>
      <c r="AI217" s="3">
        <f t="array" ref="AI217">SQRT(INDEX(_xlfn.ANCHORARRAY($B$190),A217,A217))</f>
        <v/>
      </c>
      <c r="AJ217" s="23" t="n"/>
      <c r="AK217" s="3">
        <f>$AP$191*AI217</f>
        <v/>
      </c>
      <c r="AL217" s="105">
        <f>ABS(Y146/AK217)</f>
        <v/>
      </c>
      <c r="AM217" s="108">
        <f>IF(AL217&lt;2.5,"Spełniony","Nie spełniony")</f>
        <v/>
      </c>
      <c r="AN217" s="23" t="n"/>
      <c r="AO217" s="23" t="n"/>
      <c r="AP217" s="23" t="n"/>
      <c r="AQ217" s="23" t="n"/>
    </row>
    <row r="218">
      <c r="A218" t="n">
        <v>29</v>
      </c>
      <c r="B218" s="67" t="n">
        <v>-0.0165868563501413</v>
      </c>
      <c r="C218" s="25" t="n">
        <v>-0.1494705080220718</v>
      </c>
      <c r="D218" s="25" t="n">
        <v>0.1055787818347154</v>
      </c>
      <c r="E218" s="720" t="n">
        <v>-0.01697808419975638</v>
      </c>
      <c r="F218" s="720" t="n">
        <v>0.006338058699457496</v>
      </c>
      <c r="G218" s="721" t="n">
        <v>0.001249842069812533</v>
      </c>
      <c r="H218" s="722" t="n">
        <v>0.02256056501529452</v>
      </c>
      <c r="I218" s="25" t="n">
        <v>-0.01697806201726289</v>
      </c>
      <c r="J218" s="25" t="n">
        <v>0.08130428330392886</v>
      </c>
      <c r="K218" s="25" t="n">
        <v>0.02457988166297406</v>
      </c>
      <c r="L218" s="25" t="n">
        <v>0.005026457001440272</v>
      </c>
      <c r="M218" s="25" t="n">
        <v>-0.0165868315684897</v>
      </c>
      <c r="N218" s="25" t="n">
        <v>-0.08230582581544676</v>
      </c>
      <c r="O218" s="25" t="n">
        <v>0.04857595097119304</v>
      </c>
      <c r="P218" s="25" t="n">
        <v>-0.03905277602905034</v>
      </c>
      <c r="Q218" s="25" t="n">
        <v>-0.04816081969468814</v>
      </c>
      <c r="R218" s="25" t="n">
        <v>-0.03527790109846728</v>
      </c>
      <c r="S218" s="25" t="n">
        <v>-0.1095951633761858</v>
      </c>
      <c r="T218" s="25" t="n">
        <v>0.07885982578756552</v>
      </c>
      <c r="U218" s="25" t="n">
        <v>0.1181164011853631</v>
      </c>
      <c r="V218" s="25" t="n">
        <v>-0.03927807286410881</v>
      </c>
      <c r="W218" s="25" t="n">
        <v>0.02751114949087953</v>
      </c>
      <c r="X218" s="25" t="n">
        <v>0.09877912440770653</v>
      </c>
      <c r="Y218" s="25" t="n">
        <v>-0.02290237169988953</v>
      </c>
      <c r="Z218" s="25" t="n">
        <v>-0.04608406642576588</v>
      </c>
      <c r="AA218" s="25" t="n">
        <v>-0.01802576290882186</v>
      </c>
      <c r="AB218" s="25" t="n">
        <v>-0.0295437146582961</v>
      </c>
      <c r="AC218" s="25" t="n">
        <v>0.01120928679596145</v>
      </c>
      <c r="AD218" s="25" t="n">
        <v>0.5863214738176691</v>
      </c>
      <c r="AE218" s="25" t="n">
        <v>0.2101475185558615</v>
      </c>
      <c r="AF218" s="25" t="n">
        <v>0.2868156609632486</v>
      </c>
      <c r="AG218" s="45" t="n">
        <v>0.1062296654018854</v>
      </c>
      <c r="AI218" s="3">
        <f t="array" ref="AI218">SQRT(INDEX(_xlfn.ANCHORARRAY($B$190),A218,A218))</f>
        <v/>
      </c>
      <c r="AJ218" s="23" t="n"/>
      <c r="AK218" s="3">
        <f>$AP$191*AI218</f>
        <v/>
      </c>
      <c r="AL218" s="105">
        <f>ABS(Y147/AK218)</f>
        <v/>
      </c>
      <c r="AM218" s="108">
        <f>IF(AL218&lt;2.5,"Spełniony","Nie spełniony")</f>
        <v/>
      </c>
      <c r="AN218" s="23" t="n"/>
      <c r="AO218" s="23" t="n"/>
      <c r="AP218" s="23" t="n"/>
      <c r="AQ218" s="23" t="n"/>
    </row>
    <row r="219">
      <c r="A219" t="n">
        <v>30</v>
      </c>
      <c r="B219" s="67" t="n">
        <v>0.03875557536124442</v>
      </c>
      <c r="C219" s="25" t="n">
        <v>0.08182785595138417</v>
      </c>
      <c r="D219" s="25" t="n">
        <v>-0.1880398472951751</v>
      </c>
      <c r="E219" s="720" t="n">
        <v>0.03219662036820983</v>
      </c>
      <c r="F219" s="720" t="n">
        <v>0.09780032435873331</v>
      </c>
      <c r="G219" s="721" t="n">
        <v>-0.04348320464685221</v>
      </c>
      <c r="H219" s="722" t="n">
        <v>-0.02876985099432656</v>
      </c>
      <c r="I219" s="25" t="n">
        <v>0.03219657830213729</v>
      </c>
      <c r="J219" s="25" t="n">
        <v>-0.144815015043261</v>
      </c>
      <c r="K219" s="25" t="n">
        <v>-0.01199121594826974</v>
      </c>
      <c r="L219" s="25" t="n">
        <v>-0.02650976691887382</v>
      </c>
      <c r="M219" s="25" t="n">
        <v>0.03875551745833945</v>
      </c>
      <c r="N219" s="25" t="n">
        <v>-0.01259869202729626</v>
      </c>
      <c r="O219" s="25" t="n">
        <v>0.02182712898411361</v>
      </c>
      <c r="P219" s="25" t="n">
        <v>-0.01413420150545497</v>
      </c>
      <c r="Q219" s="25" t="n">
        <v>-0.03762901456087531</v>
      </c>
      <c r="R219" s="25" t="n">
        <v>0.07846698971604694</v>
      </c>
      <c r="S219" s="25" t="n">
        <v>-0.02128905914088092</v>
      </c>
      <c r="T219" s="25" t="n">
        <v>-0.0253874435852419</v>
      </c>
      <c r="U219" s="25" t="n">
        <v>0.2120809696439619</v>
      </c>
      <c r="V219" s="25" t="n">
        <v>-0.02207929385206017</v>
      </c>
      <c r="W219" s="25" t="n">
        <v>-0.01279057688751155</v>
      </c>
      <c r="X219" s="25" t="n">
        <v>-0.03429563068177684</v>
      </c>
      <c r="Y219" s="25" t="n">
        <v>0.1062527083193741</v>
      </c>
      <c r="Z219" s="25" t="n">
        <v>-0.007114653544693678</v>
      </c>
      <c r="AA219" s="25" t="n">
        <v>-0.02997255335333185</v>
      </c>
      <c r="AB219" s="25" t="n">
        <v>0.05949470735118382</v>
      </c>
      <c r="AC219" s="25" t="n">
        <v>-0.05178283252055274</v>
      </c>
      <c r="AD219" s="25" t="n">
        <v>0.2101475185558615</v>
      </c>
      <c r="AE219" s="25" t="n">
        <v>0.33667348884174</v>
      </c>
      <c r="AF219" s="25" t="n">
        <v>0.1519198731597197</v>
      </c>
      <c r="AG219" s="45" t="n">
        <v>-0.008858548559261357</v>
      </c>
      <c r="AI219" s="3">
        <f t="array" ref="AI219">SQRT(INDEX(_xlfn.ANCHORARRAY($B$190),A219,A219))</f>
        <v/>
      </c>
      <c r="AJ219" s="23" t="n"/>
      <c r="AK219" s="3">
        <f>$AP$191*AI219</f>
        <v/>
      </c>
      <c r="AL219" s="105">
        <f>ABS(Y148/AK219)</f>
        <v/>
      </c>
      <c r="AM219" s="108">
        <f>IF(AL219&lt;2.5,"Spełniony","Nie spełniony")</f>
        <v/>
      </c>
      <c r="AN219" s="23" t="n"/>
      <c r="AO219" s="23" t="n"/>
      <c r="AP219" s="23" t="n"/>
      <c r="AQ219" s="23" t="n"/>
    </row>
    <row r="220">
      <c r="A220" t="n">
        <v>31</v>
      </c>
      <c r="B220" s="67" t="n">
        <v>-0.04715052626417884</v>
      </c>
      <c r="C220" s="25" t="n">
        <v>0.1346699799852333</v>
      </c>
      <c r="D220" s="25" t="n">
        <v>0.1113432564738989</v>
      </c>
      <c r="E220" s="720" t="n">
        <v>-0.05012593539400633</v>
      </c>
      <c r="F220" s="720" t="n">
        <v>-0.1654366184525417</v>
      </c>
      <c r="G220" s="721" t="n">
        <v>0.01466495361784906</v>
      </c>
      <c r="H220" s="722" t="n">
        <v>-0.04222102692932656</v>
      </c>
      <c r="I220" s="25" t="n">
        <v>-0.05012586990262203</v>
      </c>
      <c r="J220" s="25" t="n">
        <v>0.02519726536434155</v>
      </c>
      <c r="K220" s="25" t="n">
        <v>0.004080556445699424</v>
      </c>
      <c r="L220" s="25" t="n">
        <v>0.05799264526074622</v>
      </c>
      <c r="M220" s="25" t="n">
        <v>-0.04715045581876778</v>
      </c>
      <c r="N220" s="25" t="n">
        <v>0.05191075862749173</v>
      </c>
      <c r="O220" s="25" t="n">
        <v>-0.04370085478721301</v>
      </c>
      <c r="P220" s="25" t="n">
        <v>0.02117319300473108</v>
      </c>
      <c r="Q220" s="25" t="n">
        <v>0.04251325230208892</v>
      </c>
      <c r="R220" s="25" t="n">
        <v>-0.03104007110158985</v>
      </c>
      <c r="S220" s="25" t="n">
        <v>0.102308034136753</v>
      </c>
      <c r="T220" s="25" t="n">
        <v>-0.02097463043649261</v>
      </c>
      <c r="U220" s="25" t="n">
        <v>-0.06462920732971147</v>
      </c>
      <c r="V220" s="25" t="n">
        <v>-0.0192130585010663</v>
      </c>
      <c r="W220" s="25" t="n">
        <v>-0.05196813728580273</v>
      </c>
      <c r="X220" s="25" t="n">
        <v>-0.08078857584297335</v>
      </c>
      <c r="Y220" s="25" t="n">
        <v>0.06620731978193885</v>
      </c>
      <c r="Z220" s="25" t="n">
        <v>0.07583973928216046</v>
      </c>
      <c r="AA220" s="25" t="n">
        <v>0.009922712565743064</v>
      </c>
      <c r="AB220" s="25" t="n">
        <v>0.09365151032446316</v>
      </c>
      <c r="AC220" s="25" t="n">
        <v>-0.1246143608932705</v>
      </c>
      <c r="AD220" s="25" t="n">
        <v>0.2868156609632486</v>
      </c>
      <c r="AE220" s="25" t="n">
        <v>0.1519198731597196</v>
      </c>
      <c r="AF220" s="25" t="n">
        <v>0.5053636321224056</v>
      </c>
      <c r="AG220" s="45" t="n">
        <v>-0.06484497632967451</v>
      </c>
      <c r="AI220" s="3">
        <f t="array" ref="AI220">SQRT(INDEX(_xlfn.ANCHORARRAY($B$190),A220,A220))</f>
        <v/>
      </c>
      <c r="AJ220" s="23" t="n"/>
      <c r="AK220" s="3">
        <f>$AP$191*AI220</f>
        <v/>
      </c>
      <c r="AL220" s="105">
        <f>ABS(Y149/AK220)</f>
        <v/>
      </c>
      <c r="AM220" s="108">
        <f>IF(AL220&lt;2.5,"Spełniony","Nie spełniony")</f>
        <v/>
      </c>
      <c r="AN220" s="23" t="n"/>
      <c r="AO220" s="23" t="n"/>
      <c r="AP220" s="23" t="n"/>
      <c r="AQ220" s="23" t="n"/>
    </row>
    <row r="221">
      <c r="A221" t="n">
        <v>32</v>
      </c>
      <c r="B221" s="68" t="n">
        <v>0.02586736130083109</v>
      </c>
      <c r="C221" s="32" t="n">
        <v>0.07489480674787354</v>
      </c>
      <c r="D221" s="32" t="n">
        <v>0.01976294139946749</v>
      </c>
      <c r="E221" s="720" t="n">
        <v>0.01222924161768139</v>
      </c>
      <c r="F221" s="720" t="n">
        <v>0.0853492494454533</v>
      </c>
      <c r="G221" s="721" t="n">
        <v>-0.008241548579331112</v>
      </c>
      <c r="H221" s="722" t="n">
        <v>0.01346156718990858</v>
      </c>
      <c r="I221" s="32" t="n">
        <v>0.01222922563972593</v>
      </c>
      <c r="J221" s="32" t="n">
        <v>0.03594624271045087</v>
      </c>
      <c r="K221" s="32" t="n">
        <v>-0.02387889373112669</v>
      </c>
      <c r="L221" s="32" t="n">
        <v>-0.01563449402355416</v>
      </c>
      <c r="M221" s="32" t="n">
        <v>0.02586732265360814</v>
      </c>
      <c r="N221" s="32" t="n">
        <v>0.1557457832470088</v>
      </c>
      <c r="O221" s="32" t="n">
        <v>-0.023288387740576</v>
      </c>
      <c r="P221" s="32" t="n">
        <v>-0.1659839207927143</v>
      </c>
      <c r="Q221" s="32" t="n">
        <v>0.05317563762107446</v>
      </c>
      <c r="R221" s="32" t="n">
        <v>-0.1365835755461867</v>
      </c>
      <c r="S221" s="32" t="n">
        <v>-0.2730159833621025</v>
      </c>
      <c r="T221" s="32" t="n">
        <v>0.08944894431948344</v>
      </c>
      <c r="U221" s="32" t="n">
        <v>-0.02293698108650911</v>
      </c>
      <c r="V221" s="32" t="n">
        <v>0.01274645415589966</v>
      </c>
      <c r="W221" s="32" t="n">
        <v>0.03957671137127577</v>
      </c>
      <c r="X221" s="32" t="n">
        <v>0.06832206522341797</v>
      </c>
      <c r="Y221" s="32" t="n">
        <v>-0.05387831944011229</v>
      </c>
      <c r="Z221" s="32" t="n">
        <v>-0.05560227767270128</v>
      </c>
      <c r="AA221" s="32" t="n">
        <v>-0.01116463363777982</v>
      </c>
      <c r="AB221" s="32" t="n">
        <v>-0.03296419912139546</v>
      </c>
      <c r="AC221" s="32" t="n">
        <v>0.01151227219989604</v>
      </c>
      <c r="AD221" s="32" t="n">
        <v>0.1062296654018853</v>
      </c>
      <c r="AE221" s="32" t="n">
        <v>-0.008858548559261201</v>
      </c>
      <c r="AF221" s="32" t="n">
        <v>-0.06484497632967447</v>
      </c>
      <c r="AG221" s="49" t="n">
        <v>0.2843105680468276</v>
      </c>
      <c r="AI221" s="3">
        <f t="array" ref="AI221">SQRT(INDEX(_xlfn.ANCHORARRAY($B$190),A221,A221))</f>
        <v/>
      </c>
      <c r="AJ221" s="23" t="n"/>
      <c r="AK221" s="4">
        <f>$AP$191*AI221</f>
        <v/>
      </c>
      <c r="AL221" s="106">
        <f>ABS(Y150/AK221)</f>
        <v/>
      </c>
      <c r="AM221" s="109">
        <f>IF(AL221&lt;2.5,"Spełniony","Nie spełniony")</f>
        <v/>
      </c>
      <c r="AN221" s="23" t="n"/>
      <c r="AO221" s="23" t="n"/>
      <c r="AP221" s="23" t="n"/>
      <c r="AQ221" s="23" t="n"/>
    </row>
  </sheetData>
  <mergeCells count="17">
    <mergeCell ref="R130:T130"/>
    <mergeCell ref="R109:T109"/>
    <mergeCell ref="S39:S41"/>
    <mergeCell ref="B189:AG189"/>
    <mergeCell ref="B154:AG154"/>
    <mergeCell ref="AO192:AP192"/>
    <mergeCell ref="AJ154:BO154"/>
    <mergeCell ref="A147:A149"/>
    <mergeCell ref="U91:AZ91"/>
    <mergeCell ref="AO189:AP189"/>
    <mergeCell ref="A126:A128"/>
    <mergeCell ref="B75:Q75"/>
    <mergeCell ref="B109:Q109"/>
    <mergeCell ref="B130:Q130"/>
    <mergeCell ref="AK188:AM188"/>
    <mergeCell ref="B39:Q39"/>
    <mergeCell ref="P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221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13.98828125" customWidth="1" min="2" max="4"/>
    <col width="13" customWidth="1" min="3" max="3"/>
    <col width="11.02734375" customWidth="1" min="4" max="4"/>
    <col width="13.98828125" customWidth="1" min="5" max="5"/>
    <col width="13" customWidth="1" min="6" max="7"/>
    <col width="13" customWidth="1" min="7" max="7"/>
    <col width="11.02734375" customWidth="1" min="8" max="13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6"/>
    <col width="13" customWidth="1" min="15" max="15"/>
    <col width="13" customWidth="1" min="16" max="16"/>
    <col width="11.02734375" customWidth="1" min="17" max="23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0.22265625" customWidth="1" min="31" max="31"/>
    <col width="13" customWidth="1" min="32" max="32"/>
    <col width="9.55078125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/>
    <row r="2">
      <c r="B2" s="530" t="n"/>
      <c r="C2" s="531" t="n"/>
      <c r="D2" s="531" t="n"/>
      <c r="E2" s="532" t="n"/>
      <c r="P2" s="530" t="n"/>
      <c r="Q2" s="531" t="n"/>
      <c r="R2" s="532" t="n"/>
      <c r="S2" s="533" t="n"/>
      <c r="T2" s="531" t="n"/>
      <c r="U2" s="531" t="n"/>
      <c r="V2" s="532" t="n"/>
    </row>
    <row r="3" ht="17.1" customHeight="1">
      <c r="B3" s="534" t="inlineStr">
        <is>
          <t>c</t>
        </is>
      </c>
      <c r="C3" s="535" t="inlineStr">
        <is>
          <t>l</t>
        </is>
      </c>
      <c r="D3" s="535" t="inlineStr">
        <is>
          <t>p</t>
        </is>
      </c>
      <c r="E3" s="530" t="inlineStr">
        <is>
          <t>L obs [m]</t>
        </is>
      </c>
      <c r="F3" s="534" t="inlineStr">
        <is>
          <t>∆x</t>
        </is>
      </c>
      <c r="G3" s="536" t="inlineStr">
        <is>
          <t>∆y</t>
        </is>
      </c>
      <c r="H3" s="537" t="inlineStr">
        <is>
          <t>L przyb [m]</t>
        </is>
      </c>
      <c r="I3" s="538" t="inlineStr">
        <is>
          <t>Az [g]</t>
        </is>
      </c>
      <c r="J3" s="538" t="inlineStr">
        <is>
          <t>Sin Az</t>
        </is>
      </c>
      <c r="K3" s="539" t="inlineStr">
        <is>
          <t>Cos Az</t>
        </is>
      </c>
      <c r="L3" s="537" t="inlineStr">
        <is>
          <t>Błąd [m]</t>
        </is>
      </c>
      <c r="M3" s="538" t="inlineStr">
        <is>
          <t>l [m]</t>
        </is>
      </c>
      <c r="N3" s="538" t="n"/>
      <c r="O3" s="411" t="n"/>
      <c r="P3" s="530" t="inlineStr">
        <is>
          <t>Współrzedne przybliżone</t>
        </is>
      </c>
      <c r="Q3" s="506" t="n"/>
      <c r="R3" s="507" t="n"/>
      <c r="S3" s="540" t="n"/>
      <c r="T3" s="540" t="n"/>
      <c r="U3" s="540" t="n"/>
      <c r="V3" s="540" t="n"/>
    </row>
    <row r="4">
      <c r="B4" s="724">
        <f>'_calc_Dane'!F5</f>
        <v/>
      </c>
      <c r="C4" s="724">
        <f>'_calc_Dane'!G5</f>
        <v/>
      </c>
      <c r="D4" s="724">
        <f>'_calc_Dane'!H5</f>
        <v/>
      </c>
      <c r="E4" s="724">
        <f>'_calc_Dane'!I5</f>
        <v/>
      </c>
      <c r="F4" s="543">
        <f>'_calc_Dane'!M5-'_calc_Dane'!M11</f>
        <v/>
      </c>
      <c r="G4" s="544">
        <f>'_calc_Dane'!N5-'_calc_Dane'!N11</f>
        <v/>
      </c>
      <c r="H4" s="545">
        <f>SQRT(F4^2+G4^2)</f>
        <v/>
      </c>
      <c r="I4" s="546">
        <f>IF(ATAN2(F4,G4)*200/PI()&lt;0,ATAN2(F4,G4)*200/PI()+400)</f>
        <v/>
      </c>
      <c r="J4" s="547">
        <f>SIN(I4*PI()/200)</f>
        <v/>
      </c>
      <c r="K4" s="543">
        <f>COS(I4*PI()/200)</f>
        <v/>
      </c>
      <c r="L4" s="544">
        <f>0.001+0.000001*E4</f>
        <v/>
      </c>
      <c r="M4" s="548">
        <f>H4-E4</f>
        <v/>
      </c>
      <c r="N4" s="548" t="n"/>
      <c r="O4" s="413" t="n"/>
      <c r="P4" s="549" t="inlineStr">
        <is>
          <t>NR</t>
        </is>
      </c>
      <c r="Q4" s="550" t="inlineStr">
        <is>
          <t>Xo</t>
        </is>
      </c>
      <c r="R4" s="550" t="inlineStr">
        <is>
          <t>Yo</t>
        </is>
      </c>
      <c r="S4" s="725" t="n"/>
      <c r="T4" s="725" t="n"/>
      <c r="U4" s="726" t="n"/>
      <c r="V4" s="726" t="n"/>
      <c r="AC4" s="486" t="n"/>
      <c r="AD4" s="486" t="n"/>
      <c r="AE4" s="686" t="n"/>
      <c r="AF4" s="686" t="n"/>
    </row>
    <row r="5">
      <c r="B5" s="724">
        <f>'_calc_Dane'!F6</f>
        <v/>
      </c>
      <c r="C5" s="724">
        <f>'_calc_Dane'!G6</f>
        <v/>
      </c>
      <c r="D5" s="724">
        <f>'_calc_Dane'!H6</f>
        <v/>
      </c>
      <c r="E5" s="724">
        <f>'_calc_Dane'!I6</f>
        <v/>
      </c>
      <c r="F5" s="543">
        <f>'_calc_Dane'!M9-'_calc_Dane'!M11</f>
        <v/>
      </c>
      <c r="G5" s="544">
        <f>'_calc_Dane'!N9-'_calc_Dane'!N11</f>
        <v/>
      </c>
      <c r="H5" s="545">
        <f>SQRT(F5^2+G5^2)</f>
        <v/>
      </c>
      <c r="I5" s="546">
        <f>IF(ATAN2(F5,G5)*200/PI()&lt;0,ATAN2(F5,G5)*200/PI()+400,ATAN2(F5,G5)*200/PI())</f>
        <v/>
      </c>
      <c r="J5" s="547">
        <f>SIN(I5*PI()/200)</f>
        <v/>
      </c>
      <c r="K5" s="543">
        <f>COS(I5*PI()/200)</f>
        <v/>
      </c>
      <c r="L5" s="544">
        <f>0.001+0.000001*E5</f>
        <v/>
      </c>
      <c r="M5" s="548">
        <f>H5-E5</f>
        <v/>
      </c>
      <c r="N5" s="548" t="n"/>
      <c r="P5" s="549" t="n">
        <v>1</v>
      </c>
      <c r="Q5" s="550" t="n">
        <v>240</v>
      </c>
      <c r="R5" s="550" t="n">
        <v>120</v>
      </c>
      <c r="S5" s="725" t="n"/>
      <c r="T5" s="725" t="n"/>
      <c r="U5" s="726" t="n"/>
      <c r="V5" s="726" t="n"/>
      <c r="AC5" s="486" t="n"/>
      <c r="AD5" s="486" t="n"/>
      <c r="AE5" s="686" t="n"/>
      <c r="AF5" s="686" t="n"/>
    </row>
    <row r="6">
      <c r="B6" s="724">
        <f>'_calc_Dane'!F7</f>
        <v/>
      </c>
      <c r="C6" s="724">
        <f>'_calc_Dane'!G7</f>
        <v/>
      </c>
      <c r="D6" s="724">
        <f>'_calc_Dane'!H7</f>
        <v/>
      </c>
      <c r="E6" s="724">
        <f>'_calc_Dane'!I7</f>
        <v/>
      </c>
      <c r="F6" s="543">
        <f>'_calc_Dane'!M10-'_calc_Dane'!M11</f>
        <v/>
      </c>
      <c r="G6" s="544">
        <f>'_calc_Dane'!N10-'_calc_Dane'!N11</f>
        <v/>
      </c>
      <c r="H6" s="545">
        <f>SQRT(F6^2+G6^2)</f>
        <v/>
      </c>
      <c r="I6" s="546">
        <f>IF(ATAN2(F6,G6)*200/PI()&lt;0,ATAN2(F6,G6)*200/PI()+400,ATAN2(F6,G6)*200/PI())</f>
        <v/>
      </c>
      <c r="J6" s="547">
        <f>SIN(I6*PI()/200)</f>
        <v/>
      </c>
      <c r="K6" s="543">
        <f>COS(I6*PI()/200)</f>
        <v/>
      </c>
      <c r="L6" s="544">
        <f>0.001+0.000001*E6</f>
        <v/>
      </c>
      <c r="M6" s="548">
        <f>H6-E6</f>
        <v/>
      </c>
      <c r="N6" s="548" t="n"/>
      <c r="P6" s="549" t="n">
        <v>2</v>
      </c>
      <c r="Q6" s="550" t="n">
        <v>385</v>
      </c>
      <c r="R6" s="550" t="n">
        <v>145</v>
      </c>
      <c r="S6" s="725" t="n"/>
      <c r="T6" s="725" t="n"/>
      <c r="U6" s="726" t="n"/>
      <c r="V6" s="726" t="n"/>
      <c r="AC6" s="486" t="n"/>
      <c r="AD6" s="486" t="n"/>
      <c r="AE6" s="686" t="n"/>
      <c r="AF6" s="686" t="n"/>
    </row>
    <row r="7">
      <c r="B7" s="724">
        <f>'_calc_Dane'!F8</f>
        <v/>
      </c>
      <c r="C7" s="724">
        <f>'_calc_Dane'!G8</f>
        <v/>
      </c>
      <c r="D7" s="724">
        <f>'_calc_Dane'!H8</f>
        <v/>
      </c>
      <c r="E7" s="724">
        <f>'_calc_Dane'!I8</f>
        <v/>
      </c>
      <c r="F7" s="543">
        <f>'_calc_Dane'!M12-'_calc_Dane'!M11</f>
        <v/>
      </c>
      <c r="G7" s="544">
        <f>'_calc_Dane'!N12-'_calc_Dane'!N11</f>
        <v/>
      </c>
      <c r="H7" s="545">
        <f>SQRT(F7^2+G7^2)</f>
        <v/>
      </c>
      <c r="I7" s="546">
        <f>IF(ATAN2(F7,G7)*200/PI()&lt;0,ATAN2(F7,G7)*200/PI()+400)</f>
        <v/>
      </c>
      <c r="J7" s="547">
        <f>SIN(I7*PI()/200)</f>
        <v/>
      </c>
      <c r="K7" s="543">
        <f>COS(I7*PI()/200)</f>
        <v/>
      </c>
      <c r="L7" s="544">
        <f>0.001+0.000001*E7</f>
        <v/>
      </c>
      <c r="M7" s="548">
        <f>H7-E7</f>
        <v/>
      </c>
      <c r="N7" s="548" t="n"/>
      <c r="P7" s="549" t="n">
        <v>3</v>
      </c>
      <c r="Q7" s="550" t="n">
        <v>475</v>
      </c>
      <c r="R7" s="550" t="n">
        <v>245</v>
      </c>
      <c r="S7" s="725" t="n"/>
      <c r="T7" s="725" t="n"/>
      <c r="U7" s="726" t="n"/>
      <c r="V7" s="726" t="n"/>
      <c r="AC7" s="486" t="n"/>
      <c r="AD7" s="486" t="n"/>
      <c r="AE7" s="686" t="n"/>
      <c r="AF7" s="686" t="n"/>
    </row>
    <row r="8">
      <c r="B8" s="724">
        <f>'_calc_Dane'!F9</f>
        <v/>
      </c>
      <c r="C8" s="724">
        <f>'_calc_Dane'!G9</f>
        <v/>
      </c>
      <c r="D8" s="724">
        <f>'_calc_Dane'!H9</f>
        <v/>
      </c>
      <c r="E8" s="724">
        <f>'_calc_Dane'!I9</f>
        <v/>
      </c>
      <c r="F8" s="543">
        <f>'_calc_Dane'!M13-'_calc_Dane'!M11</f>
        <v/>
      </c>
      <c r="G8" s="544">
        <f>'_calc_Dane'!N13-'_calc_Dane'!N11</f>
        <v/>
      </c>
      <c r="H8" s="545">
        <f>SQRT(F8^2+G8^2)</f>
        <v/>
      </c>
      <c r="I8" s="546">
        <f>IF(ATAN2(F8,G8)*200/PI()&lt;0,ATAN2(F8,G8)*200/PI()+400)</f>
        <v/>
      </c>
      <c r="J8" s="547">
        <f>SIN(I8*PI()/200)</f>
        <v/>
      </c>
      <c r="K8" s="543">
        <f>COS(I8*PI()/200)</f>
        <v/>
      </c>
      <c r="L8" s="544">
        <f>0.001+0.000001*E8</f>
        <v/>
      </c>
      <c r="M8" s="548">
        <f>H8-E8</f>
        <v/>
      </c>
      <c r="N8" s="548" t="n"/>
      <c r="P8" s="549" t="n">
        <v>4</v>
      </c>
      <c r="Q8" s="550" t="n">
        <v>435</v>
      </c>
      <c r="R8" s="550" t="n">
        <v>435</v>
      </c>
      <c r="S8" s="725" t="n"/>
      <c r="T8" s="725" t="n"/>
      <c r="U8" s="726" t="n"/>
      <c r="V8" s="726" t="n"/>
      <c r="AC8" s="486" t="n"/>
      <c r="AD8" s="486" t="n"/>
      <c r="AE8" s="686" t="n"/>
      <c r="AF8" s="686" t="n"/>
    </row>
    <row r="9">
      <c r="B9" s="724">
        <f>'_calc_Dane'!F10</f>
        <v/>
      </c>
      <c r="C9" s="724">
        <f>'_calc_Dane'!G10</f>
        <v/>
      </c>
      <c r="D9" s="724">
        <f>'_calc_Dane'!H10</f>
        <v/>
      </c>
      <c r="E9" s="724">
        <f>'_calc_Dane'!I10</f>
        <v/>
      </c>
      <c r="F9" s="543">
        <f>'_calc_Dane'!M5-'_calc_Dane'!M12</f>
        <v/>
      </c>
      <c r="G9" s="544">
        <f>'_calc_Dane'!N5-'_calc_Dane'!N12</f>
        <v/>
      </c>
      <c r="H9" s="545">
        <f>SQRT(F9^2+G9^2)</f>
        <v/>
      </c>
      <c r="I9" s="546">
        <f>IF(ATAN2(F9,G9)*200/PI()&lt;0,ATAN2(F9,G9)*200/PI()+400)</f>
        <v/>
      </c>
      <c r="J9" s="547">
        <f>SIN(I9*PI()/200)</f>
        <v/>
      </c>
      <c r="K9" s="543">
        <f>COS(I9*PI()/200)</f>
        <v/>
      </c>
      <c r="L9" s="544">
        <f>0.001+0.000001*E9</f>
        <v/>
      </c>
      <c r="M9" s="548">
        <f>H9-E9</f>
        <v/>
      </c>
      <c r="N9" s="548" t="n"/>
      <c r="P9" s="549" t="n">
        <v>5</v>
      </c>
      <c r="Q9" s="550" t="n">
        <v>295</v>
      </c>
      <c r="R9" s="550" t="n">
        <v>490</v>
      </c>
      <c r="S9" s="725" t="n"/>
      <c r="T9" s="725" t="n"/>
      <c r="U9" s="726" t="n"/>
      <c r="V9" s="726" t="n"/>
      <c r="AC9" s="486" t="n"/>
      <c r="AD9" s="486" t="n"/>
      <c r="AE9" s="686" t="n"/>
      <c r="AF9" s="686" t="n"/>
    </row>
    <row r="10">
      <c r="B10" s="724">
        <f>'_calc_Dane'!F11</f>
        <v/>
      </c>
      <c r="C10" s="724">
        <f>'_calc_Dane'!G11</f>
        <v/>
      </c>
      <c r="D10" s="724">
        <f>'_calc_Dane'!H11</f>
        <v/>
      </c>
      <c r="E10" s="724">
        <f>'_calc_Dane'!I11</f>
        <v/>
      </c>
      <c r="F10" s="543">
        <f>'_calc_Dane'!M13-'_calc_Dane'!M12</f>
        <v/>
      </c>
      <c r="G10" s="544">
        <f>'_calc_Dane'!N13-'_calc_Dane'!N12</f>
        <v/>
      </c>
      <c r="H10" s="545">
        <f>SQRT(F10^2+G10^2)</f>
        <v/>
      </c>
      <c r="I10" s="546">
        <f>IF(ATAN2(F10,G10)*200/PI()&lt;0,ATAN2(F10,G10)*200/PI()+400,ATAN2(F10,G10)*200/PI())</f>
        <v/>
      </c>
      <c r="J10" s="547">
        <f>SIN(I10*PI()/200)</f>
        <v/>
      </c>
      <c r="K10" s="543">
        <f>COS(I10*PI()/200)</f>
        <v/>
      </c>
      <c r="L10" s="544">
        <f>0.001+0.000001*E10</f>
        <v/>
      </c>
      <c r="M10" s="548">
        <f>H10-E10</f>
        <v/>
      </c>
      <c r="N10" s="548" t="n"/>
      <c r="P10" s="549" t="n">
        <v>6</v>
      </c>
      <c r="Q10" s="550" t="n">
        <v>145</v>
      </c>
      <c r="R10" s="550" t="n">
        <v>560</v>
      </c>
      <c r="S10" s="725" t="n"/>
      <c r="T10" s="725" t="n"/>
      <c r="U10" s="726" t="n"/>
      <c r="V10" s="726" t="n"/>
      <c r="AC10" s="486" t="n"/>
      <c r="AD10" s="486" t="n"/>
      <c r="AE10" s="686" t="n"/>
      <c r="AF10" s="686" t="n"/>
    </row>
    <row r="11">
      <c r="B11" s="724">
        <f>'_calc_Dane'!F12</f>
        <v/>
      </c>
      <c r="C11" s="724">
        <f>'_calc_Dane'!G12</f>
        <v/>
      </c>
      <c r="D11" s="724">
        <f>'_calc_Dane'!H12</f>
        <v/>
      </c>
      <c r="E11" s="724">
        <f>'_calc_Dane'!I12</f>
        <v/>
      </c>
      <c r="F11" s="543">
        <f>'_calc_Dane'!M11-'_calc_Dane'!M12</f>
        <v/>
      </c>
      <c r="G11" s="544">
        <f>'_calc_Dane'!N11-'_calc_Dane'!N12</f>
        <v/>
      </c>
      <c r="H11" s="545">
        <f>SQRT(F11^2+G11^2)</f>
        <v/>
      </c>
      <c r="I11" s="546">
        <f>IF(ATAN2(F11,G11)*200/PI()&lt;0,ATAN2(F11,G11)*200/PI()+400,ATAN2(F11,G11)*200/PI())</f>
        <v/>
      </c>
      <c r="J11" s="547">
        <f>SIN(I11*PI()/200)</f>
        <v/>
      </c>
      <c r="K11" s="543">
        <f>COS(I11*PI()/200)</f>
        <v/>
      </c>
      <c r="L11" s="544">
        <f>0.001+0.000001*E11</f>
        <v/>
      </c>
      <c r="M11" s="548">
        <f>H11-E11</f>
        <v/>
      </c>
      <c r="N11" s="548" t="n"/>
      <c r="P11" s="549" t="n">
        <v>7</v>
      </c>
      <c r="Q11" s="550" t="n">
        <v>180</v>
      </c>
      <c r="R11" s="550" t="n">
        <v>385</v>
      </c>
      <c r="S11" s="725" t="n"/>
      <c r="T11" s="725" t="n"/>
      <c r="U11" s="726" t="n"/>
      <c r="V11" s="726" t="n"/>
      <c r="AC11" s="486" t="n"/>
      <c r="AD11" s="486" t="n"/>
      <c r="AE11" s="686" t="n"/>
      <c r="AF11" s="686" t="n"/>
    </row>
    <row r="12">
      <c r="B12" s="724">
        <f>'_calc_Dane'!F13</f>
        <v/>
      </c>
      <c r="C12" s="724">
        <f>'_calc_Dane'!G13</f>
        <v/>
      </c>
      <c r="D12" s="724">
        <f>'_calc_Dane'!H13</f>
        <v/>
      </c>
      <c r="E12" s="724">
        <f>'_calc_Dane'!I13</f>
        <v/>
      </c>
      <c r="F12" s="543">
        <f>'_calc_Dane'!M10-'_calc_Dane'!M12</f>
        <v/>
      </c>
      <c r="G12" s="544">
        <f>'_calc_Dane'!N10-'_calc_Dane'!N12</f>
        <v/>
      </c>
      <c r="H12" s="545">
        <f>SQRT(F12^2+G12^2)</f>
        <v/>
      </c>
      <c r="I12" s="546">
        <f>IF(ATAN2(F12,G12)*200/PI()&lt;0,ATAN2(F12,G12)*200/PI()+400,ATAN2(F12,G12)*200/PI())</f>
        <v/>
      </c>
      <c r="J12" s="547">
        <f>SIN(I12*PI()/200)</f>
        <v/>
      </c>
      <c r="K12" s="543">
        <f>COS(I12*PI()/200)</f>
        <v/>
      </c>
      <c r="L12" s="544">
        <f>0.001+0.000001*E12</f>
        <v/>
      </c>
      <c r="M12" s="548">
        <f>H12-E12</f>
        <v/>
      </c>
      <c r="N12" s="548" t="n"/>
      <c r="P12" s="549" t="n">
        <v>8</v>
      </c>
      <c r="Q12" s="550" t="n">
        <v>150</v>
      </c>
      <c r="R12" s="550" t="n">
        <v>240</v>
      </c>
      <c r="S12" s="725" t="n"/>
      <c r="T12" s="725" t="n"/>
      <c r="U12" s="726" t="n"/>
      <c r="V12" s="726" t="n"/>
      <c r="AC12" s="486" t="n"/>
      <c r="AD12" s="486" t="n"/>
      <c r="AE12" s="686" t="n"/>
      <c r="AF12" s="686" t="n"/>
    </row>
    <row r="13">
      <c r="B13" s="724">
        <f>'_calc_Dane'!F14</f>
        <v/>
      </c>
      <c r="C13" s="724">
        <f>'_calc_Dane'!G14</f>
        <v/>
      </c>
      <c r="D13" s="724">
        <f>'_calc_Dane'!H14</f>
        <v/>
      </c>
      <c r="E13" s="724">
        <f>'_calc_Dane'!I14</f>
        <v/>
      </c>
      <c r="F13" s="543">
        <f>'_calc_Dane'!M6-'_calc_Dane'!M5</f>
        <v/>
      </c>
      <c r="G13" s="544">
        <f>'_calc_Dane'!N6-'_calc_Dane'!N5</f>
        <v/>
      </c>
      <c r="H13" s="545">
        <f>SQRT(F13^2+G13^2)</f>
        <v/>
      </c>
      <c r="I13" s="546">
        <f>IF(ATAN2(F13,G13)*200/PI()&lt;0,ATAN2(F13,G13)*200/PI()+400,ATAN2(F13,G13)*200/PI())</f>
        <v/>
      </c>
      <c r="J13" s="547">
        <f>SIN(I13*PI()/200)</f>
        <v/>
      </c>
      <c r="K13" s="543">
        <f>COS(I13*PI()/200)</f>
        <v/>
      </c>
      <c r="L13" s="544">
        <f>0.001+0.000001*E13</f>
        <v/>
      </c>
      <c r="M13" s="548">
        <f>H13-E13</f>
        <v/>
      </c>
      <c r="N13" s="548" t="n"/>
      <c r="P13" s="13" t="n">
        <v>9</v>
      </c>
      <c r="Q13" s="14" t="n">
        <v>314</v>
      </c>
      <c r="R13" s="15" t="n">
        <v>271</v>
      </c>
    </row>
    <row r="14" ht="17.1" customHeight="1">
      <c r="B14" s="724">
        <f>'_calc_Dane'!F15</f>
        <v/>
      </c>
      <c r="C14" s="724">
        <f>'_calc_Dane'!G15</f>
        <v/>
      </c>
      <c r="D14" s="724">
        <f>'_calc_Dane'!H15</f>
        <v/>
      </c>
      <c r="E14" s="724">
        <f>'_calc_Dane'!I15</f>
        <v/>
      </c>
      <c r="F14" s="543">
        <f>'_calc_Dane'!M13-'_calc_Dane'!M5</f>
        <v/>
      </c>
      <c r="G14" s="544">
        <f>'_calc_Dane'!N13-'_calc_Dane'!N5</f>
        <v/>
      </c>
      <c r="H14" s="545">
        <f>SQRT(F14^2+G14^2)</f>
        <v/>
      </c>
      <c r="I14" s="546">
        <f>IF(ATAN2(F14,G14)*200/PI()&lt;0,ATAN2(F14,G14)*200/PI()+400,ATAN2(F14,G14)*200/PI())</f>
        <v/>
      </c>
      <c r="J14" s="547">
        <f>SIN(I14*PI()/200)</f>
        <v/>
      </c>
      <c r="K14" s="543">
        <f>COS(I14*PI()/200)</f>
        <v/>
      </c>
      <c r="L14" s="544">
        <f>0.001+0.000001*E14</f>
        <v/>
      </c>
      <c r="M14" s="548">
        <f>H14-E14</f>
        <v/>
      </c>
      <c r="N14" s="548" t="n"/>
      <c r="P14" s="554" t="n"/>
      <c r="Q14" s="555" t="n"/>
      <c r="T14" s="556" t="n"/>
      <c r="U14" s="503" t="n"/>
      <c r="V14" s="557" t="n"/>
      <c r="W14" s="558" t="n"/>
    </row>
    <row r="15" ht="17.1" customHeight="1">
      <c r="B15" s="724">
        <f>'_calc_Dane'!F16</f>
        <v/>
      </c>
      <c r="C15" s="724">
        <f>'_calc_Dane'!G16</f>
        <v/>
      </c>
      <c r="D15" s="724">
        <f>'_calc_Dane'!H16</f>
        <v/>
      </c>
      <c r="E15" s="724">
        <f>'_calc_Dane'!I16</f>
        <v/>
      </c>
      <c r="F15" s="543">
        <f>'_calc_Dane'!M11-'_calc_Dane'!M5</f>
        <v/>
      </c>
      <c r="G15" s="544">
        <f>'_calc_Dane'!N11-'_calc_Dane'!N5</f>
        <v/>
      </c>
      <c r="H15" s="545">
        <f>SQRT(F15^2+G15^2)</f>
        <v/>
      </c>
      <c r="I15" s="546">
        <f>IF(ATAN2(F15,G15)*200/PI()&lt;0,ATAN2(F15,G15)*200/PI()+400,ATAN2(F15,G15)*200/PI())</f>
        <v/>
      </c>
      <c r="J15" s="547">
        <f>SIN(I15*PI()/200)</f>
        <v/>
      </c>
      <c r="K15" s="543">
        <f>COS(I15*PI()/200)</f>
        <v/>
      </c>
      <c r="L15" s="544">
        <f>0.001+0.000001*E15</f>
        <v/>
      </c>
      <c r="M15" s="548">
        <f>H15-E15</f>
        <v/>
      </c>
      <c r="N15" s="548" t="n"/>
      <c r="P15" s="559" t="n"/>
      <c r="Q15" s="560" t="n"/>
      <c r="R15" s="561" t="n"/>
      <c r="T15" s="556" t="n"/>
      <c r="U15" s="503" t="n"/>
      <c r="V15" s="562" t="n"/>
      <c r="W15" s="550" t="n"/>
    </row>
    <row r="16" ht="17.1" customHeight="1">
      <c r="B16" s="724">
        <f>'_calc_Dane'!F17</f>
        <v/>
      </c>
      <c r="C16" s="724">
        <f>'_calc_Dane'!G17</f>
        <v/>
      </c>
      <c r="D16" s="724">
        <f>'_calc_Dane'!H17</f>
        <v/>
      </c>
      <c r="E16" s="724">
        <f>'_calc_Dane'!I17</f>
        <v/>
      </c>
      <c r="F16" s="543">
        <f>'_calc_Dane'!M12-'_calc_Dane'!M6</f>
        <v/>
      </c>
      <c r="G16" s="544">
        <f>'_calc_Dane'!N12-'_calc_Dane'!N6</f>
        <v/>
      </c>
      <c r="H16" s="545">
        <f>SQRT(F16^2+G16^2)</f>
        <v/>
      </c>
      <c r="I16" s="546">
        <f>IF(ATAN2(F16,G16)*200/PI()&lt;0,ATAN2(F16,G16)*200/PI()+400,ATAN2(F16,G16)*200/PI())</f>
        <v/>
      </c>
      <c r="J16" s="547">
        <f>SIN(I16*PI()/200)</f>
        <v/>
      </c>
      <c r="K16" s="543">
        <f>COS(I16*PI()/200)</f>
        <v/>
      </c>
      <c r="L16" s="544">
        <f>0.001+0.000001*E16</f>
        <v/>
      </c>
      <c r="M16" s="548">
        <f>H16-E16</f>
        <v/>
      </c>
      <c r="N16" s="548" t="n"/>
      <c r="P16" s="559" t="n"/>
      <c r="Q16" s="563" t="n"/>
      <c r="R16" s="564" t="n"/>
      <c r="T16" s="556" t="n"/>
      <c r="U16" s="492" t="n"/>
      <c r="V16" s="501" t="n"/>
    </row>
    <row r="17">
      <c r="B17" s="724">
        <f>'_calc_Dane'!F18</f>
        <v/>
      </c>
      <c r="C17" s="724">
        <f>'_calc_Dane'!G18</f>
        <v/>
      </c>
      <c r="D17" s="724">
        <f>'_calc_Dane'!H18</f>
        <v/>
      </c>
      <c r="E17" s="724">
        <f>'_calc_Dane'!I18</f>
        <v/>
      </c>
      <c r="F17" s="543">
        <f>'_calc_Dane'!M13-'_calc_Dane'!M6</f>
        <v/>
      </c>
      <c r="G17" s="544">
        <f>'_calc_Dane'!N13-'_calc_Dane'!N6</f>
        <v/>
      </c>
      <c r="H17" s="545">
        <f>SQRT(F17^2+G17^2)</f>
        <v/>
      </c>
      <c r="I17" s="546">
        <f>IF(ATAN2(F17,G17)*200/PI()&lt;0,ATAN2(F17,G17)*200/PI()+400,ATAN2(F17,G17)*200/PI())</f>
        <v/>
      </c>
      <c r="J17" s="547">
        <f>SIN(I17*PI()/200)</f>
        <v/>
      </c>
      <c r="K17" s="543">
        <f>COS(I17*PI()/200)</f>
        <v/>
      </c>
      <c r="L17" s="544">
        <f>0.001+0.000001*E17</f>
        <v/>
      </c>
      <c r="M17" s="548">
        <f>H17-E17</f>
        <v/>
      </c>
      <c r="N17" s="548" t="n"/>
      <c r="P17" s="501" t="n"/>
      <c r="Q17" s="501" t="n"/>
      <c r="R17" s="501" t="n"/>
    </row>
    <row r="18">
      <c r="B18" s="724">
        <f>'_calc_Dane'!F19</f>
        <v/>
      </c>
      <c r="C18" s="724">
        <f>'_calc_Dane'!G19</f>
        <v/>
      </c>
      <c r="D18" s="724">
        <f>'_calc_Dane'!H19</f>
        <v/>
      </c>
      <c r="E18" s="724">
        <f>'_calc_Dane'!I19</f>
        <v/>
      </c>
      <c r="F18" s="543">
        <f>'_calc_Dane'!M8-'_calc_Dane'!M6</f>
        <v/>
      </c>
      <c r="G18" s="544">
        <f>'_calc_Dane'!N8-'_calc_Dane'!N6</f>
        <v/>
      </c>
      <c r="H18" s="545">
        <f>SQRT(F18^2+G18^2)</f>
        <v/>
      </c>
      <c r="I18" s="546">
        <f>IF(ATAN2(F18,G18)*200/PI()&lt;0,ATAN2(F18,G18)*200/PI()+400,ATAN2(F18,G18)*200/PI())</f>
        <v/>
      </c>
      <c r="J18" s="547">
        <f>SIN(I18*PI()/200)</f>
        <v/>
      </c>
      <c r="K18" s="543">
        <f>COS(I18*PI()/200)</f>
        <v/>
      </c>
      <c r="L18" s="544">
        <f>0.001+0.000001*E18</f>
        <v/>
      </c>
      <c r="M18" s="548">
        <f>H18-E18</f>
        <v/>
      </c>
      <c r="N18" s="548" t="n"/>
      <c r="P18" s="565" t="n"/>
      <c r="Q18" s="502" t="n"/>
      <c r="R18" s="501" t="n"/>
    </row>
    <row r="19">
      <c r="B19" s="724">
        <f>'_calc_Dane'!F20</f>
        <v/>
      </c>
      <c r="C19" s="724">
        <f>'_calc_Dane'!G20</f>
        <v/>
      </c>
      <c r="D19" s="724">
        <f>'_calc_Dane'!H20</f>
        <v/>
      </c>
      <c r="E19" s="724">
        <f>'_calc_Dane'!I20</f>
        <v/>
      </c>
      <c r="F19" s="543">
        <f>'_calc_Dane'!M9-'_calc_Dane'!M8</f>
        <v/>
      </c>
      <c r="G19" s="544">
        <f>'_calc_Dane'!N9-'_calc_Dane'!N8</f>
        <v/>
      </c>
      <c r="H19" s="545">
        <f>SQRT(F19^2+G19^2)</f>
        <v/>
      </c>
      <c r="I19" s="546">
        <f>IF(ATAN2(F19,G19)*200/PI()&lt;0,ATAN2(F19,G19)*200/PI()+400,ATAN2(F19,G19)*200/PI())</f>
        <v/>
      </c>
      <c r="J19" s="547">
        <f>SIN(I19*PI()/200)</f>
        <v/>
      </c>
      <c r="K19" s="543">
        <f>COS(I19*PI()/200)</f>
        <v/>
      </c>
      <c r="L19" s="544">
        <f>0.001+0.000001*E19</f>
        <v/>
      </c>
      <c r="M19" s="548">
        <f>H19-E19</f>
        <v/>
      </c>
      <c r="N19" s="548" t="n"/>
      <c r="P19" s="501" t="n"/>
      <c r="Q19" s="501" t="n"/>
      <c r="R19" s="501" t="n"/>
    </row>
    <row r="20">
      <c r="B20" s="724">
        <f>'_calc_Dane'!F21</f>
        <v/>
      </c>
      <c r="C20" s="724">
        <f>'_calc_Dane'!G21</f>
        <v/>
      </c>
      <c r="D20" s="724">
        <f>'_calc_Dane'!H21</f>
        <v/>
      </c>
      <c r="E20" s="724">
        <f>'_calc_Dane'!I21</f>
        <v/>
      </c>
      <c r="F20" s="543">
        <f>'_calc_Dane'!M11-'_calc_Dane'!M8</f>
        <v/>
      </c>
      <c r="G20" s="544">
        <f>'_calc_Dane'!N11-'_calc_Dane'!N8</f>
        <v/>
      </c>
      <c r="H20" s="545">
        <f>SQRT(F20^2+G20^2)</f>
        <v/>
      </c>
      <c r="I20" s="546">
        <f>IF(ATAN2(F20,G20)*200/PI()&lt;0,ATAN2(F20,G20)*200/PI()+400)</f>
        <v/>
      </c>
      <c r="J20" s="547">
        <f>SIN(I20*PI()/200)</f>
        <v/>
      </c>
      <c r="K20" s="543">
        <f>COS(I20*PI()/200)</f>
        <v/>
      </c>
      <c r="L20" s="544">
        <f>0.001+0.000001*E20</f>
        <v/>
      </c>
      <c r="M20" s="548">
        <f>H20-E20</f>
        <v/>
      </c>
      <c r="N20" s="548" t="n"/>
    </row>
    <row r="21">
      <c r="B21" s="724">
        <f>'_calc_Dane'!F22</f>
        <v/>
      </c>
      <c r="C21" s="724">
        <f>'_calc_Dane'!G22</f>
        <v/>
      </c>
      <c r="D21" s="724">
        <f>'_calc_Dane'!H22</f>
        <v/>
      </c>
      <c r="E21" s="724">
        <f>'_calc_Dane'!I22</f>
        <v/>
      </c>
      <c r="F21" s="543">
        <f>'_calc_Dane'!M13-'_calc_Dane'!M8</f>
        <v/>
      </c>
      <c r="G21" s="544">
        <f>'_calc_Dane'!N13-'_calc_Dane'!N8</f>
        <v/>
      </c>
      <c r="H21" s="545">
        <f>SQRT(F21^2+G21^2)</f>
        <v/>
      </c>
      <c r="I21" s="546">
        <f>IF(ATAN2(F21,G21)*200/PI()&lt;0,ATAN2(F21,G21)*200/PI()+400)</f>
        <v/>
      </c>
      <c r="J21" s="547">
        <f>SIN(I21*PI()/200)</f>
        <v/>
      </c>
      <c r="K21" s="543">
        <f>COS(I21*PI()/200)</f>
        <v/>
      </c>
      <c r="L21" s="544">
        <f>0.001+0.000001*E21</f>
        <v/>
      </c>
      <c r="M21" s="548">
        <f>H21-E21</f>
        <v/>
      </c>
      <c r="N21" s="548" t="n"/>
    </row>
    <row r="22">
      <c r="B22" s="724">
        <f>'_calc_Dane'!F23</f>
        <v/>
      </c>
      <c r="C22" s="724">
        <f>'_calc_Dane'!G23</f>
        <v/>
      </c>
      <c r="D22" s="724">
        <f>'_calc_Dane'!H23</f>
        <v/>
      </c>
      <c r="E22" s="724">
        <f>'_calc_Dane'!I23</f>
        <v/>
      </c>
      <c r="F22" s="543">
        <f>'_calc_Dane'!M13-'_calc_Dane'!M10</f>
        <v/>
      </c>
      <c r="G22" s="544">
        <f>'_calc_Dane'!N13-'_calc_Dane'!N10</f>
        <v/>
      </c>
      <c r="H22" s="545">
        <f>SQRT(F22^2+G22^2)</f>
        <v/>
      </c>
      <c r="I22" s="546">
        <f>IF(ATAN2(F22,G22)*200/PI()&lt;0,ATAN2(F22,G22)*200/PI()+400)</f>
        <v/>
      </c>
      <c r="J22" s="547">
        <f>SIN(I22*PI()/200)</f>
        <v/>
      </c>
      <c r="K22" s="543">
        <f>COS(I22*PI()/200)</f>
        <v/>
      </c>
      <c r="L22" s="544">
        <f>0.001+0.000001*E22</f>
        <v/>
      </c>
      <c r="M22" s="548">
        <f>H22-E22</f>
        <v/>
      </c>
      <c r="N22" s="548" t="n"/>
    </row>
    <row r="23">
      <c r="B23" s="724">
        <f>'_calc_Dane'!F24</f>
        <v/>
      </c>
      <c r="C23" s="724">
        <f>'_calc_Dane'!G24</f>
        <v/>
      </c>
      <c r="D23" s="724">
        <f>'_calc_Dane'!H24</f>
        <v/>
      </c>
      <c r="E23" s="724">
        <f>'_calc_Dane'!I24</f>
        <v/>
      </c>
      <c r="F23" s="567">
        <f>'_calc_Dane'!M9-'_calc_Dane'!M10</f>
        <v/>
      </c>
      <c r="G23" s="568">
        <f>'_calc_Dane'!N9-'_calc_Dane'!N10</f>
        <v/>
      </c>
      <c r="H23" s="569">
        <f>SQRT(F23^2+G23^2)</f>
        <v/>
      </c>
      <c r="I23" s="570">
        <f>IF(ATAN2(F23,G23)*200/PI()&lt;0,ATAN2(F23,G23)*200/PI()+400)</f>
        <v/>
      </c>
      <c r="J23" s="571">
        <f>SIN(I23*PI()/200)</f>
        <v/>
      </c>
      <c r="K23" s="567">
        <f>COS(I23*PI()/200)</f>
        <v/>
      </c>
      <c r="L23" s="568">
        <f>0.001+0.000001*E23</f>
        <v/>
      </c>
      <c r="M23" s="572">
        <f>H23-E23</f>
        <v/>
      </c>
      <c r="N23" s="572" t="n"/>
    </row>
    <row r="24" ht="15.95" customHeight="1">
      <c r="B24" s="534" t="n"/>
      <c r="C24" s="535" t="n"/>
      <c r="D24" s="535" t="n"/>
      <c r="E24" s="573" t="n"/>
      <c r="F24" s="534" t="n"/>
      <c r="G24" s="536" t="n"/>
      <c r="H24" s="574" t="n"/>
      <c r="I24" s="575" t="n"/>
      <c r="J24" s="530" t="n"/>
      <c r="K24" s="530" t="n"/>
      <c r="L24" s="576" t="n"/>
      <c r="M24" s="577" t="n"/>
      <c r="N24" s="578" t="n"/>
      <c r="O24" s="538" t="n"/>
      <c r="P24" s="539" t="n"/>
      <c r="Q24" s="539" t="n"/>
      <c r="R24" s="537" t="n"/>
      <c r="S24" s="539" t="n"/>
      <c r="T24" s="579" t="n"/>
      <c r="U24" s="534" t="n"/>
      <c r="V24" s="536" t="n"/>
      <c r="W24" s="534" t="n"/>
      <c r="X24" s="536" t="n"/>
      <c r="Y24" s="538" t="n"/>
      <c r="Z24" s="537" t="n"/>
      <c r="AA24" s="538" t="n"/>
    </row>
    <row r="25" ht="18" customHeight="1">
      <c r="B25" s="727" t="inlineStr">
        <is>
          <t>c</t>
        </is>
      </c>
      <c r="C25" s="727" t="inlineStr">
        <is>
          <t>l</t>
        </is>
      </c>
      <c r="D25" s="541" t="inlineStr">
        <is>
          <t>p</t>
        </is>
      </c>
      <c r="E25" s="541" t="inlineStr">
        <is>
          <t>b obs [g]</t>
        </is>
      </c>
      <c r="F25" s="580" t="inlineStr">
        <is>
          <t>∆xcl</t>
        </is>
      </c>
      <c r="G25" s="581" t="inlineStr">
        <is>
          <t>∆ycl</t>
        </is>
      </c>
      <c r="H25" s="580" t="inlineStr">
        <is>
          <t>∆xcp</t>
        </is>
      </c>
      <c r="I25" s="555" t="inlineStr">
        <is>
          <t>∆ycp</t>
        </is>
      </c>
      <c r="J25" s="547" t="inlineStr">
        <is>
          <t>d²cl</t>
        </is>
      </c>
      <c r="K25" s="547" t="inlineStr">
        <is>
          <t>d²cp</t>
        </is>
      </c>
      <c r="L25" s="582" t="inlineStr">
        <is>
          <t>Az cl [g]</t>
        </is>
      </c>
      <c r="M25" s="582" t="inlineStr">
        <is>
          <t>Az cp [g]</t>
        </is>
      </c>
      <c r="N25" s="583" t="inlineStr">
        <is>
          <t>b przyb [g]</t>
        </is>
      </c>
      <c r="O25" s="584" t="inlineStr">
        <is>
          <t>Błąd [cc]</t>
        </is>
      </c>
      <c r="P25" s="585" t="inlineStr">
        <is>
          <t>l [g]</t>
        </is>
      </c>
      <c r="Q25" s="580" t="inlineStr">
        <is>
          <t>Acl.</t>
        </is>
      </c>
      <c r="R25" s="555" t="inlineStr">
        <is>
          <t>Bcl</t>
        </is>
      </c>
      <c r="S25" s="580" t="inlineStr">
        <is>
          <t>Acp</t>
        </is>
      </c>
      <c r="T25" s="581" t="inlineStr">
        <is>
          <t>Bcp</t>
        </is>
      </c>
      <c r="U25" s="543" t="n"/>
      <c r="V25" s="544" t="n"/>
      <c r="W25" s="543" t="n"/>
      <c r="X25" s="544" t="n"/>
      <c r="Y25" s="546" t="n"/>
      <c r="Z25" s="586" t="n"/>
      <c r="AA25" s="548" t="n"/>
    </row>
    <row r="26">
      <c r="B26" s="724">
        <f>'_calc_Dane'!F25</f>
        <v/>
      </c>
      <c r="C26" s="724">
        <f>'_calc_Dane'!G25</f>
        <v/>
      </c>
      <c r="D26" s="553">
        <f>'_calc_Dane'!H25</f>
        <v/>
      </c>
      <c r="E26" s="553">
        <f>'_calc_Dane'!I25</f>
        <v/>
      </c>
      <c r="F26" s="543">
        <f>'_calc_Dane'!M5-'_calc_Dane'!M13</f>
        <v/>
      </c>
      <c r="G26" s="35">
        <f>'_calc_Dane'!N5-'_calc_Dane'!N13</f>
        <v/>
      </c>
      <c r="H26" s="543">
        <f>'_calc_Dane'!M6-'_calc_Dane'!M13</f>
        <v/>
      </c>
      <c r="I26" s="544">
        <f>'_calc_Dane'!N6-'_calc_Dane'!N13</f>
        <v/>
      </c>
      <c r="J26" s="547">
        <f>F26^2+G26^2</f>
        <v/>
      </c>
      <c r="K26" s="547">
        <f>H26^2+I26^2</f>
        <v/>
      </c>
      <c r="L26" s="546">
        <f>IF(ATAN2(F26,G26)*200/PI()&lt;0,ATAN2(F26,G26)*200/PI()+400,ATAN2(F26,G26)*200/PI())</f>
        <v/>
      </c>
      <c r="M26" s="546">
        <f>IF(ATAN2(H26,I26)*200/PI()&lt;0,ATAN2(H26,I26)*200/PI()+400,ATAN2(H26,I26)*200/PI())</f>
        <v/>
      </c>
      <c r="N26" s="548">
        <f>IF(M26-L26&lt;0,M26-L26+400,M26-L26)</f>
        <v/>
      </c>
      <c r="O26" s="587">
        <f>'_calc_Dane'!$M$15</f>
        <v/>
      </c>
      <c r="P26" s="588">
        <f>N26-E26</f>
        <v/>
      </c>
      <c r="Q26" s="543">
        <f>F26/J26*(2000000/PI())</f>
        <v/>
      </c>
      <c r="R26" s="544">
        <f>G26/J26*2000000/PI()</f>
        <v/>
      </c>
      <c r="S26" s="543">
        <f>H26/K26*2000000/PI()</f>
        <v/>
      </c>
      <c r="T26" s="61">
        <f>I26/K26*2000000/PI()</f>
        <v/>
      </c>
      <c r="U26" s="543" t="n"/>
      <c r="V26" s="544" t="n"/>
      <c r="W26" s="543" t="n"/>
      <c r="X26" s="544" t="n"/>
      <c r="Y26" s="546" t="n"/>
      <c r="Z26" s="586" t="n"/>
      <c r="AA26" s="548" t="n"/>
    </row>
    <row r="27">
      <c r="B27" s="724">
        <f>'_calc_Dane'!F26</f>
        <v/>
      </c>
      <c r="C27" s="724">
        <f>'_calc_Dane'!G26</f>
        <v/>
      </c>
      <c r="D27" s="553">
        <f>'_calc_Dane'!H26</f>
        <v/>
      </c>
      <c r="E27" s="553">
        <f>'_calc_Dane'!I26</f>
        <v/>
      </c>
      <c r="F27" s="543">
        <f>'_calc_Dane'!M6-'_calc_Dane'!M13</f>
        <v/>
      </c>
      <c r="G27" s="1">
        <f>'_calc_Dane'!N6-'_calc_Dane'!N13</f>
        <v/>
      </c>
      <c r="H27" s="543">
        <f>'_calc_Dane'!M8-'_calc_Dane'!M13</f>
        <v/>
      </c>
      <c r="I27" s="544">
        <f>'_calc_Dane'!N8-'_calc_Dane'!N13</f>
        <v/>
      </c>
      <c r="J27" s="547">
        <f>F27^2+G27^2</f>
        <v/>
      </c>
      <c r="K27" s="547">
        <f>H27^2+I27^2</f>
        <v/>
      </c>
      <c r="L27" s="546">
        <f>IF(ATAN2(F27,G27)*200/PI()&lt;0,ATAN2(F27,G27)*200/PI()+400,ATAN2(F27,G27)*200/PI())</f>
        <v/>
      </c>
      <c r="M27" s="546">
        <f>IF(ATAN2(H27,I27)*200/PI()&lt;0,ATAN2(H27,I27)*200/PI()+400,ATAN2(H27,I27)*200/PI())</f>
        <v/>
      </c>
      <c r="N27" s="548">
        <f>IF(M27-L27&lt;0,M27-L27+400,M27-L27)</f>
        <v/>
      </c>
      <c r="O27" s="587">
        <f>'_calc_Dane'!$M$15</f>
        <v/>
      </c>
      <c r="P27" s="588">
        <f>N27-E27</f>
        <v/>
      </c>
      <c r="Q27" s="543">
        <f>F27/J27*(2000000/PI())</f>
        <v/>
      </c>
      <c r="R27" s="544">
        <f>G27/J27*2000000/PI()</f>
        <v/>
      </c>
      <c r="S27" s="543">
        <f>H27/K27*2000000/PI()</f>
        <v/>
      </c>
      <c r="T27" s="12">
        <f>I27/K27*2000000/PI()</f>
        <v/>
      </c>
      <c r="U27" s="543" t="n"/>
      <c r="V27" s="544" t="n"/>
      <c r="W27" s="543" t="n"/>
      <c r="X27" s="544" t="n"/>
      <c r="Y27" s="546" t="n"/>
      <c r="Z27" s="586" t="n"/>
      <c r="AA27" s="548" t="n"/>
    </row>
    <row r="28">
      <c r="B28" s="724">
        <f>'_calc_Dane'!F27</f>
        <v/>
      </c>
      <c r="C28" s="724">
        <f>'_calc_Dane'!G27</f>
        <v/>
      </c>
      <c r="D28" s="553">
        <f>'_calc_Dane'!H27</f>
        <v/>
      </c>
      <c r="E28" s="553">
        <f>'_calc_Dane'!I27</f>
        <v/>
      </c>
      <c r="F28" s="543">
        <f>'_calc_Dane'!M8-'_calc_Dane'!M13</f>
        <v/>
      </c>
      <c r="G28" s="1">
        <f>'_calc_Dane'!N8-'_calc_Dane'!N13</f>
        <v/>
      </c>
      <c r="H28" s="543">
        <f>'_calc_Dane'!M9-'_calc_Dane'!M13</f>
        <v/>
      </c>
      <c r="I28" s="544">
        <f>'_calc_Dane'!N9-'_calc_Dane'!N13</f>
        <v/>
      </c>
      <c r="J28" s="547">
        <f>F28^2+G28^2</f>
        <v/>
      </c>
      <c r="K28" s="547">
        <f>H28^2+I28^2</f>
        <v/>
      </c>
      <c r="L28" s="546">
        <f>IF(ATAN2(F28,G28)*200/PI()&lt;0,ATAN2(F28,G28)*200/PI()+400,ATAN2(F28,G28)*200/PI())</f>
        <v/>
      </c>
      <c r="M28" s="546">
        <f>IF(ATAN2(H28,I28)*200/PI()&lt;0,ATAN2(H28,I28)*200/PI()+400,ATAN2(H28,I28)*200/PI())</f>
        <v/>
      </c>
      <c r="N28" s="548">
        <f>IF(M28-L28&lt;0,M28-L28+400,M28-L28)</f>
        <v/>
      </c>
      <c r="O28" s="587">
        <f>'_calc_Dane'!$M$15</f>
        <v/>
      </c>
      <c r="P28" s="588">
        <f>N28-E28</f>
        <v/>
      </c>
      <c r="Q28" s="543">
        <f>F28/J28*(2000000/PI())</f>
        <v/>
      </c>
      <c r="R28" s="544">
        <f>G28/J28*2000000/PI()</f>
        <v/>
      </c>
      <c r="S28" s="543">
        <f>H28/K28*2000000/PI()</f>
        <v/>
      </c>
      <c r="T28" s="12">
        <f>I28/K28*2000000/PI()</f>
        <v/>
      </c>
      <c r="U28" s="543" t="n"/>
      <c r="V28" s="544" t="n"/>
      <c r="W28" s="543" t="n"/>
      <c r="X28" s="544" t="n"/>
      <c r="Y28" s="546" t="n"/>
      <c r="Z28" s="586" t="n"/>
      <c r="AA28" s="548" t="n"/>
    </row>
    <row r="29">
      <c r="B29" s="724">
        <f>'_calc_Dane'!F28</f>
        <v/>
      </c>
      <c r="C29" s="724">
        <f>'_calc_Dane'!G28</f>
        <v/>
      </c>
      <c r="D29" s="553">
        <f>'_calc_Dane'!H28</f>
        <v/>
      </c>
      <c r="E29" s="553">
        <f>'_calc_Dane'!I28</f>
        <v/>
      </c>
      <c r="F29" s="543">
        <f>'_calc_Dane'!M9-'_calc_Dane'!M13</f>
        <v/>
      </c>
      <c r="G29" s="1">
        <f>'_calc_Dane'!N9-'_calc_Dane'!N13</f>
        <v/>
      </c>
      <c r="H29" s="543">
        <f>'_calc_Dane'!M11-'_calc_Dane'!M13</f>
        <v/>
      </c>
      <c r="I29" s="544">
        <f>'_calc_Dane'!N11-'_calc_Dane'!N13</f>
        <v/>
      </c>
      <c r="J29" s="547">
        <f>F29^2+G29^2</f>
        <v/>
      </c>
      <c r="K29" s="547">
        <f>H29^2+I29^2</f>
        <v/>
      </c>
      <c r="L29" s="546">
        <f>IF(ATAN2(F29,G29)*200/PI()&lt;0,ATAN2(F29,G29)*200/PI()+400,ATAN2(F29,G29)*200/PI())</f>
        <v/>
      </c>
      <c r="M29" s="546">
        <f>IF(ATAN2(H29,I29)*200/PI()&lt;0,ATAN2(H29,I29)*200/PI()+400,ATAN2(H29,I29)*200/PI())</f>
        <v/>
      </c>
      <c r="N29" s="548">
        <f>IF(M29-L29&lt;0,M29-L29+400,M29-L29)</f>
        <v/>
      </c>
      <c r="O29" s="587">
        <f>'_calc_Dane'!$M$15</f>
        <v/>
      </c>
      <c r="P29" s="588">
        <f>N29-E29</f>
        <v/>
      </c>
      <c r="Q29" s="543">
        <f>F29/J29*(2000000/PI())</f>
        <v/>
      </c>
      <c r="R29" s="544">
        <f>G29/J29*2000000/PI()</f>
        <v/>
      </c>
      <c r="S29" s="543">
        <f>H29/K29*2000000/PI()</f>
        <v/>
      </c>
      <c r="T29" s="12">
        <f>I29/K29*2000000/PI()</f>
        <v/>
      </c>
      <c r="U29" s="543" t="n"/>
      <c r="V29" s="544" t="n"/>
      <c r="W29" s="543" t="n"/>
      <c r="X29" s="544" t="n"/>
      <c r="Y29" s="546" t="n"/>
      <c r="Z29" s="586" t="n"/>
      <c r="AA29" s="548" t="n"/>
    </row>
    <row r="30">
      <c r="B30" s="724">
        <f>'_calc_Dane'!F29</f>
        <v/>
      </c>
      <c r="C30" s="724">
        <f>'_calc_Dane'!G29</f>
        <v/>
      </c>
      <c r="D30" s="553">
        <f>'_calc_Dane'!H29</f>
        <v/>
      </c>
      <c r="E30" s="553">
        <f>'_calc_Dane'!I29</f>
        <v/>
      </c>
      <c r="F30" s="543">
        <f>'_calc_Dane'!M11-'_calc_Dane'!M13</f>
        <v/>
      </c>
      <c r="G30" s="1">
        <f>'_calc_Dane'!N11-'_calc_Dane'!N13</f>
        <v/>
      </c>
      <c r="H30" s="543">
        <f>'_calc_Dane'!M12-'_calc_Dane'!M13</f>
        <v/>
      </c>
      <c r="I30" s="544">
        <f>'_calc_Dane'!N12-'_calc_Dane'!N13</f>
        <v/>
      </c>
      <c r="J30" s="547">
        <f>F30^2+G30^2</f>
        <v/>
      </c>
      <c r="K30" s="547">
        <f>H30^2+I30^2</f>
        <v/>
      </c>
      <c r="L30" s="546">
        <f>IF(ATAN2(F30,G30)*200/PI()&lt;0,ATAN2(F30,G30)*200/PI()+400,ATAN2(F30,G30)*200/PI())</f>
        <v/>
      </c>
      <c r="M30" s="546">
        <f>IF(ATAN2(H30,I30)*200/PI()&lt;0,ATAN2(H30,I30)*200/PI()+400,ATAN2(H30,I30)*200/PI())</f>
        <v/>
      </c>
      <c r="N30" s="548">
        <f>IF(M30-L30&lt;0,M30-L30+400,M30-L30)</f>
        <v/>
      </c>
      <c r="O30" s="587">
        <f>'_calc_Dane'!$M$15</f>
        <v/>
      </c>
      <c r="P30" s="588">
        <f>N30-E30</f>
        <v/>
      </c>
      <c r="Q30" s="543">
        <f>F30/J30*(2000000/PI())</f>
        <v/>
      </c>
      <c r="R30" s="544">
        <f>G30/J30*2000000/PI()</f>
        <v/>
      </c>
      <c r="S30" s="543">
        <f>H30/K30*2000000/PI()</f>
        <v/>
      </c>
      <c r="T30" s="12">
        <f>I30/K30*2000000/PI()</f>
        <v/>
      </c>
      <c r="U30" s="543" t="n"/>
      <c r="V30" s="544" t="n"/>
      <c r="W30" s="543" t="n"/>
      <c r="X30" s="544" t="n"/>
      <c r="Y30" s="546" t="n"/>
      <c r="Z30" s="586" t="n"/>
      <c r="AA30" s="548" t="n"/>
    </row>
    <row r="31">
      <c r="B31" s="724">
        <f>'_calc_Dane'!F30</f>
        <v/>
      </c>
      <c r="C31" s="724">
        <f>'_calc_Dane'!G30</f>
        <v/>
      </c>
      <c r="D31" s="553">
        <f>'_calc_Dane'!H30</f>
        <v/>
      </c>
      <c r="E31" s="553">
        <f>'_calc_Dane'!I30</f>
        <v/>
      </c>
      <c r="F31" s="543">
        <f>'_calc_Dane'!M12-'_calc_Dane'!M13</f>
        <v/>
      </c>
      <c r="G31" s="1">
        <f>'_calc_Dane'!N12-'_calc_Dane'!N13</f>
        <v/>
      </c>
      <c r="H31" s="543">
        <f>'_calc_Dane'!M5-'_calc_Dane'!M13</f>
        <v/>
      </c>
      <c r="I31" s="544">
        <f>'_calc_Dane'!N5-'_calc_Dane'!N13</f>
        <v/>
      </c>
      <c r="J31" s="547">
        <f>F31^2+G31^2</f>
        <v/>
      </c>
      <c r="K31" s="547">
        <f>H31^2+I31^2</f>
        <v/>
      </c>
      <c r="L31" s="546">
        <f>IF(ATAN2(F31,G31)*200/PI()&lt;0,ATAN2(F31,G31)*200/PI()+400,ATAN2(F31,G31)*200/PI())</f>
        <v/>
      </c>
      <c r="M31" s="546">
        <f>IF(ATAN2(H31,I31)*200/PI()&lt;0,ATAN2(H31,I31)*200/PI()+400,ATAN2(H31,I31)*200/PI())</f>
        <v/>
      </c>
      <c r="N31" s="548">
        <f>IF(M31-L31&lt;0,M31-L31+400,M31-L31)</f>
        <v/>
      </c>
      <c r="O31" s="587">
        <f>'_calc_Dane'!$M$15</f>
        <v/>
      </c>
      <c r="P31" s="588">
        <f>N31-E31</f>
        <v/>
      </c>
      <c r="Q31" s="543">
        <f>F31/J31*(2000000/PI())</f>
        <v/>
      </c>
      <c r="R31" s="544">
        <f>G31/J31*2000000/PI()</f>
        <v/>
      </c>
      <c r="S31" s="543">
        <f>H31/K31*2000000/PI()</f>
        <v/>
      </c>
      <c r="T31" s="12">
        <f>I31/K31*2000000/PI()</f>
        <v/>
      </c>
      <c r="U31" s="543" t="n"/>
      <c r="V31" s="544" t="n"/>
      <c r="W31" s="543" t="n"/>
      <c r="X31" s="544" t="n"/>
      <c r="Y31" s="546" t="n"/>
      <c r="Z31" s="586" t="n"/>
      <c r="AA31" s="548" t="n"/>
    </row>
    <row r="32">
      <c r="B32" s="724">
        <f>'_calc_Dane'!F31</f>
        <v/>
      </c>
      <c r="C32" s="724">
        <f>'_calc_Dane'!G31</f>
        <v/>
      </c>
      <c r="D32" s="553">
        <f>'_calc_Dane'!H31</f>
        <v/>
      </c>
      <c r="E32" s="553">
        <f>'_calc_Dane'!I31</f>
        <v/>
      </c>
      <c r="F32" s="543">
        <f>'_calc_Dane'!M12-'_calc_Dane'!M10</f>
        <v/>
      </c>
      <c r="G32" s="1">
        <f>'_calc_Dane'!N12-'_calc_Dane'!N10</f>
        <v/>
      </c>
      <c r="H32" s="543">
        <f>'_calc_Dane'!M11-'_calc_Dane'!M10</f>
        <v/>
      </c>
      <c r="I32" s="544">
        <f>'_calc_Dane'!N11-'_calc_Dane'!N10</f>
        <v/>
      </c>
      <c r="J32" s="547">
        <f>F32^2+G32^2</f>
        <v/>
      </c>
      <c r="K32" s="547">
        <f>H32^2+I32^2</f>
        <v/>
      </c>
      <c r="L32" s="546">
        <f>IF(ATAN2(F32,G32)*200/PI()&lt;0,ATAN2(F32,G32)*200/PI()+400,ATAN2(F32,G32)*200/PI())</f>
        <v/>
      </c>
      <c r="M32" s="546">
        <f>IF(ATAN2(H32,I32)*200/PI()&lt;0,ATAN2(H32,I32)*200/PI()+400,ATAN2(H32,I32)*200/PI())</f>
        <v/>
      </c>
      <c r="N32" s="548">
        <f>IF(M32-L32&lt;0,M32-L32+400,M32-L32)</f>
        <v/>
      </c>
      <c r="O32" s="587">
        <f>'_calc_Dane'!$M$15</f>
        <v/>
      </c>
      <c r="P32" s="588">
        <f>N32-E32</f>
        <v/>
      </c>
      <c r="Q32" s="543">
        <f>F32/J32*(2000000/PI())</f>
        <v/>
      </c>
      <c r="R32" s="544">
        <f>G32/J32*2000000/PI()</f>
        <v/>
      </c>
      <c r="S32" s="543">
        <f>H32/K32*2000000/PI()</f>
        <v/>
      </c>
      <c r="T32" s="12">
        <f>I32/K32*2000000/PI()</f>
        <v/>
      </c>
      <c r="U32" s="543" t="n"/>
      <c r="V32" s="544" t="n"/>
      <c r="W32" s="543" t="n"/>
      <c r="X32" s="544" t="n"/>
      <c r="Y32" s="546" t="n"/>
      <c r="Z32" s="586" t="n"/>
      <c r="AA32" s="548" t="n"/>
    </row>
    <row r="33">
      <c r="B33" s="724">
        <f>'_calc_Dane'!F32</f>
        <v/>
      </c>
      <c r="C33" s="724">
        <f>'_calc_Dane'!G32</f>
        <v/>
      </c>
      <c r="D33" s="553">
        <f>'_calc_Dane'!H32</f>
        <v/>
      </c>
      <c r="E33" s="553">
        <f>'_calc_Dane'!I32</f>
        <v/>
      </c>
      <c r="F33" s="543">
        <f>'_calc_Dane'!M11-'_calc_Dane'!M10</f>
        <v/>
      </c>
      <c r="G33" s="1">
        <f>'_calc_Dane'!N11-'_calc_Dane'!N10</f>
        <v/>
      </c>
      <c r="H33" s="543">
        <f>'_calc_Dane'!M13-'_calc_Dane'!M10</f>
        <v/>
      </c>
      <c r="I33" s="544">
        <f>'_calc_Dane'!N13-'_calc_Dane'!N10</f>
        <v/>
      </c>
      <c r="J33" s="547">
        <f>F33^2+G33^2</f>
        <v/>
      </c>
      <c r="K33" s="547">
        <f>H33^2+I33^2</f>
        <v/>
      </c>
      <c r="L33" s="546">
        <f>IF(ATAN2(F33,G33)*200/PI()&lt;0,ATAN2(F33,G33)*200/PI()+400,ATAN2(F33,G33)*200/PI())</f>
        <v/>
      </c>
      <c r="M33" s="546">
        <f>IF(ATAN2(H33,I33)*200/PI()&lt;0,ATAN2(H33,I33)*200/PI()+400,ATAN2(H33,I33)*200/PI())</f>
        <v/>
      </c>
      <c r="N33" s="548">
        <f>IF(M33-L33&lt;0,M33-L33+400,M33-L33)</f>
        <v/>
      </c>
      <c r="O33" s="587">
        <f>'_calc_Dane'!$M$15</f>
        <v/>
      </c>
      <c r="P33" s="588">
        <f>N33-E33</f>
        <v/>
      </c>
      <c r="Q33" s="543">
        <f>F33/J33*(2000000/PI())</f>
        <v/>
      </c>
      <c r="R33" s="544">
        <f>G33/J33*2000000/PI()</f>
        <v/>
      </c>
      <c r="S33" s="543">
        <f>H33/K33*2000000/PI()</f>
        <v/>
      </c>
      <c r="T33" s="12">
        <f>I33/K33*2000000/PI()</f>
        <v/>
      </c>
      <c r="U33" s="543" t="n"/>
      <c r="V33" s="544" t="n"/>
      <c r="W33" s="543" t="n"/>
      <c r="X33" s="544" t="n"/>
      <c r="Y33" s="546" t="n"/>
      <c r="Z33" s="586" t="n"/>
      <c r="AA33" s="548" t="n"/>
    </row>
    <row r="34">
      <c r="B34" s="724">
        <f>'_calc_Dane'!F33</f>
        <v/>
      </c>
      <c r="C34" s="724">
        <f>'_calc_Dane'!G33</f>
        <v/>
      </c>
      <c r="D34" s="553">
        <f>'_calc_Dane'!H33</f>
        <v/>
      </c>
      <c r="E34" s="553">
        <f>'_calc_Dane'!I33</f>
        <v/>
      </c>
      <c r="F34" s="543">
        <f>'_calc_Dane'!M13-'_calc_Dane'!M10</f>
        <v/>
      </c>
      <c r="G34" s="1">
        <f>'_calc_Dane'!N13-'_calc_Dane'!N10</f>
        <v/>
      </c>
      <c r="H34" s="543">
        <f>'_calc_Dane'!M9-'_calc_Dane'!M10</f>
        <v/>
      </c>
      <c r="I34" s="544">
        <f>'_calc_Dane'!N9-'_calc_Dane'!N10</f>
        <v/>
      </c>
      <c r="J34" s="547">
        <f>F34^2+G34^2</f>
        <v/>
      </c>
      <c r="K34" s="547">
        <f>H34^2+I34^2</f>
        <v/>
      </c>
      <c r="L34" s="546">
        <f>IF(ATAN2(F34,G34)*200/PI()&lt;0,ATAN2(F34,G34)*200/PI()+400,ATAN2(F34,G34)*200/PI())</f>
        <v/>
      </c>
      <c r="M34" s="546">
        <f>IF(ATAN2(H34,I34)*200/PI()&lt;0,ATAN2(H34,I34)*200/PI()+400,ATAN2(H34,I34)*200/PI())</f>
        <v/>
      </c>
      <c r="N34" s="548">
        <f>IF(M34-L34&lt;0,M34-L34+400,M34-L34)</f>
        <v/>
      </c>
      <c r="O34" s="587">
        <f>'_calc_Dane'!$M$15</f>
        <v/>
      </c>
      <c r="P34" s="588">
        <f>N34-E34</f>
        <v/>
      </c>
      <c r="Q34" s="543">
        <f>F34/J34*(2000000/PI())</f>
        <v/>
      </c>
      <c r="R34" s="544">
        <f>G34/J34*2000000/PI()</f>
        <v/>
      </c>
      <c r="S34" s="543">
        <f>H34/K34*2000000/PI()</f>
        <v/>
      </c>
      <c r="T34" s="12">
        <f>I34/K34*2000000/PI()</f>
        <v/>
      </c>
      <c r="U34" s="543" t="n"/>
      <c r="V34" s="544" t="n"/>
      <c r="W34" s="543" t="n"/>
      <c r="X34" s="544" t="n"/>
      <c r="Y34" s="546" t="n"/>
      <c r="Z34" s="586" t="n"/>
      <c r="AA34" s="548" t="n"/>
    </row>
    <row r="35">
      <c r="B35" s="724">
        <f>'_calc_Dane'!F34</f>
        <v/>
      </c>
      <c r="C35" s="724">
        <f>'_calc_Dane'!G34</f>
        <v/>
      </c>
      <c r="D35" s="553">
        <f>'_calc_Dane'!H34</f>
        <v/>
      </c>
      <c r="E35" s="553">
        <f>'_calc_Dane'!I34</f>
        <v/>
      </c>
      <c r="F35" s="543">
        <f>'_calc_Dane'!M10-'_calc_Dane'!M9</f>
        <v/>
      </c>
      <c r="G35" s="1">
        <f>'_calc_Dane'!N10-'_calc_Dane'!N9</f>
        <v/>
      </c>
      <c r="H35" s="543">
        <f>'_calc_Dane'!M11-'_calc_Dane'!M9</f>
        <v/>
      </c>
      <c r="I35" s="544">
        <f>'_calc_Dane'!N11-'_calc_Dane'!N9</f>
        <v/>
      </c>
      <c r="J35" s="547">
        <f>F35^2+G35^2</f>
        <v/>
      </c>
      <c r="K35" s="547">
        <f>H35^2+I35^2</f>
        <v/>
      </c>
      <c r="L35" s="546">
        <f>IF(ATAN2(F35,G35)*200/PI()&lt;0,ATAN2(F35,G35)*200/PI()+400,ATAN2(F35,G35)*200/PI())</f>
        <v/>
      </c>
      <c r="M35" s="546">
        <f>IF(ATAN2(H35,I35)*200/PI()&lt;0,ATAN2(H35,I35)*200/PI()+400,ATAN2(H35,I35)*200/PI())</f>
        <v/>
      </c>
      <c r="N35" s="548">
        <f>IF(M35-L35&lt;0,M35-L35+400,M35-L35)</f>
        <v/>
      </c>
      <c r="O35" s="587">
        <f>'_calc_Dane'!$M$15</f>
        <v/>
      </c>
      <c r="P35" s="588">
        <f>N35-E35</f>
        <v/>
      </c>
      <c r="Q35" s="543">
        <f>F35/J35*(2000000/PI())</f>
        <v/>
      </c>
      <c r="R35" s="544">
        <f>G35/J35*2000000/PI()</f>
        <v/>
      </c>
      <c r="S35" s="543">
        <f>H35/K35*2000000/PI()</f>
        <v/>
      </c>
      <c r="T35" s="12">
        <f>I35/K35*2000000/PI()</f>
        <v/>
      </c>
      <c r="U35" s="543" t="n"/>
      <c r="V35" s="544" t="n"/>
      <c r="W35" s="543" t="n"/>
      <c r="X35" s="544" t="n"/>
      <c r="Y35" s="546" t="n"/>
      <c r="Z35" s="586" t="n"/>
      <c r="AA35" s="548" t="n"/>
    </row>
    <row r="36">
      <c r="B36" s="728">
        <f>'_calc_Dane'!F35</f>
        <v/>
      </c>
      <c r="C36" s="728">
        <f>'_calc_Dane'!G35</f>
        <v/>
      </c>
      <c r="D36" s="566">
        <f>'_calc_Dane'!H35</f>
        <v/>
      </c>
      <c r="E36" s="566">
        <f>'_calc_Dane'!I35</f>
        <v/>
      </c>
      <c r="F36" s="567">
        <f>'_calc_Dane'!M11-'_calc_Dane'!M9</f>
        <v/>
      </c>
      <c r="G36" s="590">
        <f>'_calc_Dane'!N11-'_calc_Dane'!N9</f>
        <v/>
      </c>
      <c r="H36" s="567">
        <f>'_calc_Dane'!M13-'_calc_Dane'!M9</f>
        <v/>
      </c>
      <c r="I36" s="568">
        <f>'_calc_Dane'!N13-'_calc_Dane'!N9</f>
        <v/>
      </c>
      <c r="J36" s="571">
        <f>F36^2+G36^2</f>
        <v/>
      </c>
      <c r="K36" s="571">
        <f>H36^2+I36^2</f>
        <v/>
      </c>
      <c r="L36" s="570">
        <f>IF(ATAN2(F36,G36)*200/PI()&lt;0,ATAN2(F36,G36)*200/PI()+400,ATAN2(F36,G36)*200/PI())</f>
        <v/>
      </c>
      <c r="M36" s="570">
        <f>IF(ATAN2(H36,I36)*200/PI()&lt;0,ATAN2(H36,I36)*200/PI()+400,ATAN2(H36,I36)*200/PI())</f>
        <v/>
      </c>
      <c r="N36" s="572">
        <f>IF(M36-L36&lt;0,M36-L36+400,M36-L36)</f>
        <v/>
      </c>
      <c r="O36" s="591">
        <f>'_calc_Dane'!$M$15</f>
        <v/>
      </c>
      <c r="P36" s="592">
        <f>N36-E36</f>
        <v/>
      </c>
      <c r="Q36" s="567">
        <f>F36/J36*(2000000/PI())</f>
        <v/>
      </c>
      <c r="R36" s="568">
        <f>G36/J36*2000000/PI()</f>
        <v/>
      </c>
      <c r="S36" s="567">
        <f>H36/K36*2000000/PI()</f>
        <v/>
      </c>
      <c r="T36" s="590">
        <f>I36/K36*2000000/PI()</f>
        <v/>
      </c>
      <c r="U36" s="567" t="n"/>
      <c r="V36" s="568" t="n"/>
      <c r="W36" s="567" t="n"/>
      <c r="X36" s="568" t="n"/>
      <c r="Y36" s="570" t="n"/>
      <c r="Z36" s="593" t="n"/>
      <c r="AA36" s="572" t="n"/>
    </row>
    <row r="37">
      <c r="B37" s="114">
        <f>'_calc_Dane'!F36</f>
        <v/>
      </c>
      <c r="C37" s="115">
        <f>'_calc_Dane'!G36</f>
        <v/>
      </c>
      <c r="D37" s="116">
        <f>'_calc_Dane'!H36</f>
        <v/>
      </c>
      <c r="E37" s="116">
        <f>'_calc_Dane'!I36</f>
        <v/>
      </c>
      <c r="F37" s="14">
        <f>'_calc_Dane'!M13-'_calc_Dane'!M9</f>
        <v/>
      </c>
      <c r="G37" s="14">
        <f>'_calc_Dane'!N13-'_calc_Dane'!N9</f>
        <v/>
      </c>
      <c r="H37" s="14">
        <f>'_calc_Dane'!M8-'_calc_Dane'!M9</f>
        <v/>
      </c>
      <c r="I37" s="14">
        <f>'_calc_Dane'!N8-'_calc_Dane'!N9</f>
        <v/>
      </c>
      <c r="J37" s="14">
        <f>F37^2+G37^2</f>
        <v/>
      </c>
      <c r="K37" s="14">
        <f>H37^2+I37^2</f>
        <v/>
      </c>
      <c r="L37" s="14">
        <f>IF(ATAN2(F37,G37)*200/PI()&lt;0,ATAN2(F37,G37)*200/PI()+400,ATAN2(F37,G37)*200/PI())</f>
        <v/>
      </c>
      <c r="M37" s="14">
        <f>IF(ATAN2(H37,I37)*200/PI()&lt;0,ATAN2(H37,I37)*200/PI()+400,ATAN2(H37,I37)*200/PI())</f>
        <v/>
      </c>
      <c r="N37" s="14">
        <f>IF(M37-L37&lt;0,M37-L37+400,M37-L37)</f>
        <v/>
      </c>
      <c r="O37" s="14">
        <f>'_calc_Dane'!$M$15</f>
        <v/>
      </c>
      <c r="P37" s="594">
        <f>N37-E37</f>
        <v/>
      </c>
      <c r="Q37" s="116">
        <f>F37/J37*(2000000/PI())</f>
        <v/>
      </c>
      <c r="R37" s="14">
        <f>G37/J37*2000000/PI()</f>
        <v/>
      </c>
      <c r="S37" s="14">
        <f>H37/K37*2000000/PI()</f>
        <v/>
      </c>
      <c r="T37" s="15">
        <f>I37/K37*2000000/PI()</f>
        <v/>
      </c>
    </row>
    <row r="38"/>
    <row r="39" ht="15.95" customHeight="1">
      <c r="B39" s="595" t="inlineStr">
        <is>
          <t>a</t>
        </is>
      </c>
      <c r="C39" s="596" t="n"/>
      <c r="D39" s="596" t="n"/>
      <c r="E39" s="596" t="n"/>
      <c r="F39" s="596" t="n"/>
      <c r="G39" s="596" t="n"/>
      <c r="H39" s="596" t="n"/>
      <c r="I39" s="596" t="n"/>
      <c r="J39" s="596" t="n"/>
      <c r="K39" s="596" t="n"/>
      <c r="L39" s="596" t="n"/>
      <c r="M39" s="596" t="n"/>
      <c r="N39" s="596" t="n"/>
      <c r="O39" s="596" t="n"/>
      <c r="P39" s="596" t="n"/>
      <c r="Q39" s="597" t="n"/>
      <c r="S39" s="595" t="inlineStr">
        <is>
          <t>l [m/cc]</t>
        </is>
      </c>
    </row>
    <row r="40" ht="18" customHeight="1">
      <c r="B40" s="598" t="inlineStr">
        <is>
          <t>dx</t>
        </is>
      </c>
      <c r="C40" s="599" t="inlineStr">
        <is>
          <t>dy</t>
        </is>
      </c>
      <c r="D40" s="599" t="inlineStr">
        <is>
          <t>dx</t>
        </is>
      </c>
      <c r="E40" s="599" t="inlineStr">
        <is>
          <t>dy</t>
        </is>
      </c>
      <c r="F40" s="599" t="inlineStr">
        <is>
          <t>dx</t>
        </is>
      </c>
      <c r="G40" s="599" t="inlineStr">
        <is>
          <t>dy</t>
        </is>
      </c>
      <c r="H40" s="599" t="inlineStr">
        <is>
          <t>dx</t>
        </is>
      </c>
      <c r="I40" s="599" t="inlineStr">
        <is>
          <t>dy</t>
        </is>
      </c>
      <c r="J40" s="599" t="inlineStr">
        <is>
          <t>dx</t>
        </is>
      </c>
      <c r="K40" s="599" t="inlineStr">
        <is>
          <t>dy</t>
        </is>
      </c>
      <c r="L40" s="599" t="inlineStr">
        <is>
          <t>dx</t>
        </is>
      </c>
      <c r="M40" s="599" t="inlineStr">
        <is>
          <t>dy</t>
        </is>
      </c>
      <c r="N40" s="599" t="inlineStr">
        <is>
          <t>dx</t>
        </is>
      </c>
      <c r="O40" s="599" t="inlineStr">
        <is>
          <t>dy</t>
        </is>
      </c>
      <c r="P40" s="599" t="inlineStr">
        <is>
          <t>dx</t>
        </is>
      </c>
      <c r="Q40" s="600" t="inlineStr">
        <is>
          <t>dy</t>
        </is>
      </c>
      <c r="S40" s="601" t="n"/>
    </row>
    <row r="41" ht="14.1" customHeight="1">
      <c r="B41" s="729" t="n">
        <v>1</v>
      </c>
      <c r="C41" s="730" t="n">
        <v>1</v>
      </c>
      <c r="D41" s="730" t="n">
        <v>2</v>
      </c>
      <c r="E41" s="730" t="n">
        <v>2</v>
      </c>
      <c r="F41" s="730" t="n">
        <v>4</v>
      </c>
      <c r="G41" s="730" t="n">
        <v>4</v>
      </c>
      <c r="H41" s="730" t="n">
        <v>5</v>
      </c>
      <c r="I41" s="730" t="n">
        <v>5</v>
      </c>
      <c r="J41" s="730" t="n">
        <v>6</v>
      </c>
      <c r="K41" s="730" t="n">
        <v>6</v>
      </c>
      <c r="L41" s="730" t="n">
        <v>7</v>
      </c>
      <c r="M41" s="730" t="n">
        <v>7</v>
      </c>
      <c r="N41" s="730" t="n">
        <v>8</v>
      </c>
      <c r="O41" s="730" t="n">
        <v>8</v>
      </c>
      <c r="P41" s="730" t="n">
        <v>9</v>
      </c>
      <c r="Q41" s="731" t="n">
        <v>9</v>
      </c>
      <c r="R41" s="605" t="n"/>
      <c r="S41" s="606" t="n"/>
      <c r="T41" s="607" t="n"/>
    </row>
    <row r="42">
      <c r="B42" s="732">
        <f>IF(B$41=$B4,IF(B$40="dx",-$K4,-$J4),IF(B$41=$C4,IF(B$40="dx",$K4,$J4),0))</f>
        <v/>
      </c>
      <c r="C42" s="733">
        <f>IF(C$41=$B4,IF(C$40="dx",-$K4,-$J4),IF(C$41=$C4,IF(C$40="dx",$K4,$J4),0))</f>
        <v/>
      </c>
      <c r="D42" s="733">
        <f>IF(D$41=$B4,IF(D$40="dx",-$K4,-$J4),IF(D$41=$C4,IF(D$40="dx",$K4,$J4),0))</f>
        <v/>
      </c>
      <c r="E42" s="733">
        <f>IF(E$41=$B4,IF(E$40="dx",-$K4,-$J4),IF(E$41=$C4,IF(E$40="dx",$K4,$J4),0))</f>
        <v/>
      </c>
      <c r="F42" s="733">
        <f>IF(F$41=$B4,IF(F$40="dx",-$K4,-$J4),IF(F$41=$C4,IF(F$40="dx",$K4,$J4),0))</f>
        <v/>
      </c>
      <c r="G42" s="733">
        <f>IF(G$41=$B4,IF(G$40="dx",-$K4,-$J4),IF(G$41=$C4,IF(G$40="dx",$K4,$J4),0))</f>
        <v/>
      </c>
      <c r="H42" s="610">
        <f>IF(H$41=$B4,IF(H$40="dx",-$K4,-$J4),IF(H$41=$C4,IF(H$40="dx",$K4,$J4),0))</f>
        <v/>
      </c>
      <c r="I42" s="610">
        <f>IF(I$41=$B4,IF(I$40="dx",-$K4,-$J4),IF(I$41=$C4,IF(I$40="dx",$K4,$J4),0))</f>
        <v/>
      </c>
      <c r="J42" s="733">
        <f>IF(J$41=$B4,IF(J$40="dx",-$K4,-$J4),IF(J$41=$C4,IF(J$40="dx",$K4,$J4),0))</f>
        <v/>
      </c>
      <c r="K42" s="733">
        <f>IF(K$41=$B4,IF(K$40="dx",-$K4,-$J4),IF(K$41=$C4,IF(K$40="dx",$K4,$J4),0))</f>
        <v/>
      </c>
      <c r="L42" s="733">
        <f>IF(L$41=$B4,IF(L$40="dx",-$K4,-$J4),IF(L$41=$C4,IF(L$40="dx",$K4,$J4),0))</f>
        <v/>
      </c>
      <c r="M42" s="733">
        <f>IF(M$41=$B4,IF(M$40="dx",-$K4,-$J4),IF(M$41=$C4,IF(M$40="dx",$K4,$J4),0))</f>
        <v/>
      </c>
      <c r="N42" s="733">
        <f>IF(N$41=$B4,IF(N$40="dx",-$K4,-$J4),IF(N$41=$C4,IF(N$40="dx",$K4,$J4),0))</f>
        <v/>
      </c>
      <c r="O42" s="733">
        <f>IF(O$41=$B4,IF(O$40="dx",-$K4,-$J4),IF(O$41=$C4,IF(O$40="dx",$K4,$J4),0))</f>
        <v/>
      </c>
      <c r="P42" s="733">
        <f>IF(P$41=$B4,IF(P$40="dx",-$K4,-$J4),IF(P$41=$C4,IF(P$40="dx",$K4,$J4),0))</f>
        <v/>
      </c>
      <c r="Q42" s="734">
        <f>IF(Q$41=$B4,IF(Q$40="dx",-$K4,-$J4),IF(Q$41=$C4,IF(Q$40="dx",$K4,$J4),0))</f>
        <v/>
      </c>
      <c r="R42" s="568" t="n"/>
      <c r="S42" s="72">
        <f>M4</f>
        <v/>
      </c>
      <c r="T42" s="571" t="n"/>
    </row>
    <row r="43">
      <c r="A43" s="612" t="n"/>
      <c r="B43" s="613">
        <f>IF(B$41=$B5,IF(B$40="dx",-$K5,-$J5),IF(B$41=$C5,IF(B$40="dx",$K5,$J5),0))</f>
        <v/>
      </c>
      <c r="C43" s="614">
        <f>IF(C$41=$B5,IF(C$40="dx",-$K5,-$J5),IF(C$41=$C5,IF(C$40="dx",$K5,$J5),0))</f>
        <v/>
      </c>
      <c r="D43" s="614">
        <f>IF(D$41=$B5,IF(D$40="dx",-$K5,-$J5),IF(D$41=$C5,IF(D$40="dx",$K5,$J5),0))</f>
        <v/>
      </c>
      <c r="E43" s="614">
        <f>IF(E$41=$B5,IF(E$40="dx",-$K5,-$J5),IF(E$41=$C5,IF(E$40="dx",$K5,$J5),0))</f>
        <v/>
      </c>
      <c r="F43" s="614">
        <f>IF(F$41=$B5,IF(F$40="dx",-$K5,-$J5),IF(F$41=$C5,IF(F$40="dx",$K5,$J5),0))</f>
        <v/>
      </c>
      <c r="G43" s="614">
        <f>IF(G$41=$B5,IF(G$40="dx",-$K5,-$J5),IF(G$41=$C5,IF(G$40="dx",$K5,$J5),0))</f>
        <v/>
      </c>
      <c r="H43" s="614">
        <f>IF(H$41=$B5,IF(H$40="dx",-$K5,-$J5),IF(H$41=$C5,IF(H$40="dx",$K5,$J5),0))</f>
        <v/>
      </c>
      <c r="I43" s="614">
        <f>IF(I$41=$B5,IF(I$40="dx",-$K5,-$J5),IF(I$41=$C5,IF(I$40="dx",$K5,$J5),0))</f>
        <v/>
      </c>
      <c r="J43" s="614">
        <f>IF(J$41=$B5,IF(J$40="dx",-$K5,-$J5),IF(J$41=$C5,IF(J$40="dx",$K5,$J5),0))</f>
        <v/>
      </c>
      <c r="K43" s="614">
        <f>IF(K$41=$B5,IF(K$40="dx",-$K5,-$J5),IF(K$41=$C5,IF(K$40="dx",$K5,$J5),0))</f>
        <v/>
      </c>
      <c r="L43" s="614">
        <f>IF(L$41=$B5,IF(L$40="dx",-$K5,-$J5),IF(L$41=$C5,IF(L$40="dx",$K5,$J5),0))</f>
        <v/>
      </c>
      <c r="M43" s="614">
        <f>IF(M$41=$B5,IF(M$40="dx",-$K5,-$J5),IF(M$41=$C5,IF(M$40="dx",$K5,$J5),0))</f>
        <v/>
      </c>
      <c r="N43" s="614">
        <f>IF(N$41=$B5,IF(N$40="dx",-$K5,-$J5),IF(N$41=$C5,IF(N$40="dx",$K5,$J5),0))</f>
        <v/>
      </c>
      <c r="O43" s="614">
        <f>IF(O$41=$B5,IF(O$40="dx",-$K5,-$J5),IF(O$41=$C5,IF(O$40="dx",$K5,$J5),0))</f>
        <v/>
      </c>
      <c r="P43" s="614">
        <f>IF(P$41=$B5,IF(P$40="dx",-$K5,-$J5),IF(P$41=$C5,IF(P$40="dx",$K5,$J5),0))</f>
        <v/>
      </c>
      <c r="Q43" s="615">
        <f>IF(Q$41=$B5,IF(Q$40="dx",-$K5,-$J5),IF(Q$41=$C5,IF(Q$40="dx",$K5,$J5),0))</f>
        <v/>
      </c>
      <c r="R43" s="616" t="n"/>
      <c r="S43" s="72">
        <f>M5</f>
        <v/>
      </c>
      <c r="T43" s="617" t="n"/>
    </row>
    <row r="44">
      <c r="A44" s="612" t="n"/>
      <c r="B44" s="618">
        <f>IF(B$41=$B6,IF(B$40="dx",-$K6,-$J6),IF(B$41=$C6,IF(B$40="dx",$K6,$J6),0))</f>
        <v/>
      </c>
      <c r="C44" s="552">
        <f>IF(C$41=$B6,IF(C$40="dx",-$K6,-$J6),IF(C$41=$C6,IF(C$40="dx",$K6,$J6),0))</f>
        <v/>
      </c>
      <c r="D44" s="552">
        <f>IF(D$41=$B6,IF(D$40="dx",-$K6,-$J6),IF(D$41=$C6,IF(D$40="dx",$K6,$J6),0))</f>
        <v/>
      </c>
      <c r="E44" s="552">
        <f>IF(E$41=$B6,IF(E$40="dx",-$K6,-$J6),IF(E$41=$C6,IF(E$40="dx",$K6,$J6),0))</f>
        <v/>
      </c>
      <c r="F44" s="552">
        <f>IF(F$41=$B6,IF(F$40="dx",-$K6,-$J6),IF(F$41=$C6,IF(F$40="dx",$K6,$J6),0))</f>
        <v/>
      </c>
      <c r="G44" s="552">
        <f>IF(G$41=$B6,IF(G$40="dx",-$K6,-$J6),IF(G$41=$C6,IF(G$40="dx",$K6,$J6),0))</f>
        <v/>
      </c>
      <c r="H44" s="552">
        <f>IF(H$41=$B6,IF(H$40="dx",-$K6,-$J6),IF(H$41=$C6,IF(H$40="dx",$K6,$J6),0))</f>
        <v/>
      </c>
      <c r="I44" s="552">
        <f>IF(I$41=$B6,IF(I$40="dx",-$K6,-$J6),IF(I$41=$C6,IF(I$40="dx",$K6,$J6),0))</f>
        <v/>
      </c>
      <c r="J44" s="552">
        <f>IF(J$41=$B6,IF(J$40="dx",-$K6,-$J6),IF(J$41=$C6,IF(J$40="dx",$K6,$J6),0))</f>
        <v/>
      </c>
      <c r="K44" s="552">
        <f>IF(K$41=$B6,IF(K$40="dx",-$K6,-$J6),IF(K$41=$C6,IF(K$40="dx",$K6,$J6),0))</f>
        <v/>
      </c>
      <c r="L44" s="552">
        <f>IF(L$41=$B6,IF(L$40="dx",-$K6,-$J6),IF(L$41=$C6,IF(L$40="dx",$K6,$J6),0))</f>
        <v/>
      </c>
      <c r="M44" s="552">
        <f>IF(M$41=$B6,IF(M$40="dx",-$K6,-$J6),IF(M$41=$C6,IF(M$40="dx",$K6,$J6),0))</f>
        <v/>
      </c>
      <c r="N44" s="552">
        <f>IF(N$41=$B6,IF(N$40="dx",-$K6,-$J6),IF(N$41=$C6,IF(N$40="dx",$K6,$J6),0))</f>
        <v/>
      </c>
      <c r="O44" s="552">
        <f>IF(O$41=$B6,IF(O$40="dx",-$K6,-$J6),IF(O$41=$C6,IF(O$40="dx",$K6,$J6),0))</f>
        <v/>
      </c>
      <c r="P44" s="552">
        <f>IF(P$41=$B6,IF(P$40="dx",-$K6,-$J6),IF(P$41=$C6,IF(P$40="dx",$K6,$J6),0))</f>
        <v/>
      </c>
      <c r="Q44" s="619">
        <f>IF(Q$41=$B6,IF(Q$40="dx",-$K6,-$J6),IF(Q$41=$C6,IF(Q$40="dx",$K6,$J6),0))</f>
        <v/>
      </c>
      <c r="R44" s="620" t="n"/>
      <c r="S44" s="72">
        <f>M6</f>
        <v/>
      </c>
      <c r="T44" s="542" t="n"/>
    </row>
    <row r="45">
      <c r="A45" s="612" t="n"/>
      <c r="B45" s="618">
        <f>IF(B$41=$B7,IF(B$40="dx",-$K7,-$J7),IF(B$41=$C7,IF(B$40="dx",$K7,$J7),0))</f>
        <v/>
      </c>
      <c r="C45" s="552">
        <f>IF(C$41=$B7,IF(C$40="dx",-$K7,-$J7),IF(C$41=$C7,IF(C$40="dx",$K7,$J7),0))</f>
        <v/>
      </c>
      <c r="D45" s="552">
        <f>IF(D$41=$B7,IF(D$40="dx",-$K7,-$J7),IF(D$41=$C7,IF(D$40="dx",$K7,$J7),0))</f>
        <v/>
      </c>
      <c r="E45" s="552">
        <f>IF(E$41=$B7,IF(E$40="dx",-$K7,-$J7),IF(E$41=$C7,IF(E$40="dx",$K7,$J7),0))</f>
        <v/>
      </c>
      <c r="F45" s="552">
        <f>IF(F$41=$B7,IF(F$40="dx",-$K7,-$J7),IF(F$41=$C7,IF(F$40="dx",$K7,$J7),0))</f>
        <v/>
      </c>
      <c r="G45" s="552">
        <f>IF(G$41=$B7,IF(G$40="dx",-$K7,-$J7),IF(G$41=$C7,IF(G$40="dx",$K7,$J7),0))</f>
        <v/>
      </c>
      <c r="H45" s="552">
        <f>IF(H$41=$B7,IF(H$40="dx",-$K7,-$J7),IF(H$41=$C7,IF(H$40="dx",$K7,$J7),0))</f>
        <v/>
      </c>
      <c r="I45" s="552">
        <f>IF(I$41=$B7,IF(I$40="dx",-$K7,-$J7),IF(I$41=$C7,IF(I$40="dx",$K7,$J7),0))</f>
        <v/>
      </c>
      <c r="J45" s="552">
        <f>IF(J$41=$B7,IF(J$40="dx",-$K7,-$J7),IF(J$41=$C7,IF(J$40="dx",$K7,$J7),0))</f>
        <v/>
      </c>
      <c r="K45" s="552">
        <f>IF(K$41=$B7,IF(K$40="dx",-$K7,-$J7),IF(K$41=$C7,IF(K$40="dx",$K7,$J7),0))</f>
        <v/>
      </c>
      <c r="L45" s="552">
        <f>IF(L$41=$B7,IF(L$40="dx",-$K7,-$J7),IF(L$41=$C7,IF(L$40="dx",$K7,$J7),0))</f>
        <v/>
      </c>
      <c r="M45" s="552">
        <f>IF(M$41=$B7,IF(M$40="dx",-$K7,-$J7),IF(M$41=$C7,IF(M$40="dx",$K7,$J7),0))</f>
        <v/>
      </c>
      <c r="N45" s="552">
        <f>IF(N$41=$B7,IF(N$40="dx",-$K7,-$J7),IF(N$41=$C7,IF(N$40="dx",$K7,$J7),0))</f>
        <v/>
      </c>
      <c r="O45" s="552">
        <f>IF(O$41=$B7,IF(O$40="dx",-$K7,-$J7),IF(O$41=$C7,IF(O$40="dx",$K7,$J7),0))</f>
        <v/>
      </c>
      <c r="P45" s="552">
        <f>IF(P$41=$B7,IF(P$40="dx",-$K7,-$J7),IF(P$41=$C7,IF(P$40="dx",$K7,$J7),0))</f>
        <v/>
      </c>
      <c r="Q45" s="619">
        <f>IF(Q$41=$B7,IF(Q$40="dx",-$K7,-$J7),IF(Q$41=$C7,IF(Q$40="dx",$K7,$J7),0))</f>
        <v/>
      </c>
      <c r="R45" s="620" t="n"/>
      <c r="S45" s="72">
        <f>M7</f>
        <v/>
      </c>
      <c r="T45" s="542" t="n"/>
    </row>
    <row r="46">
      <c r="A46" s="612" t="n"/>
      <c r="B46" s="618">
        <f>IF(B$41=$B8,IF(B$40="dx",-$K8,-$J8),IF(B$41=$C8,IF(B$40="dx",$K8,$J8),0))</f>
        <v/>
      </c>
      <c r="C46" s="552">
        <f>IF(C$41=$B8,IF(C$40="dx",-$K8,-$J8),IF(C$41=$C8,IF(C$40="dx",$K8,$J8),0))</f>
        <v/>
      </c>
      <c r="D46" s="552">
        <f>IF(D$41=$B8,IF(D$40="dx",-$K8,-$J8),IF(D$41=$C8,IF(D$40="dx",$K8,$J8),0))</f>
        <v/>
      </c>
      <c r="E46" s="552">
        <f>IF(E$41=$B8,IF(E$40="dx",-$K8,-$J8),IF(E$41=$C8,IF(E$40="dx",$K8,$J8),0))</f>
        <v/>
      </c>
      <c r="F46" s="552">
        <f>IF(F$41=$B8,IF(F$40="dx",-$K8,-$J8),IF(F$41=$C8,IF(F$40="dx",$K8,$J8),0))</f>
        <v/>
      </c>
      <c r="G46" s="552">
        <f>IF(G$41=$B8,IF(G$40="dx",-$K8,-$J8),IF(G$41=$C8,IF(G$40="dx",$K8,$J8),0))</f>
        <v/>
      </c>
      <c r="H46" s="552">
        <f>IF(H$41=$B8,IF(H$40="dx",-$K8,-$J8),IF(H$41=$C8,IF(H$40="dx",$K8,$J8),0))</f>
        <v/>
      </c>
      <c r="I46" s="552">
        <f>IF(I$41=$B8,IF(I$40="dx",-$K8,-$J8),IF(I$41=$C8,IF(I$40="dx",$K8,$J8),0))</f>
        <v/>
      </c>
      <c r="J46" s="552">
        <f>IF(J$41=$B8,IF(J$40="dx",-$K8,-$J8),IF(J$41=$C8,IF(J$40="dx",$K8,$J8),0))</f>
        <v/>
      </c>
      <c r="K46" s="552">
        <f>IF(K$41=$B8,IF(K$40="dx",-$K8,-$J8),IF(K$41=$C8,IF(K$40="dx",$K8,$J8),0))</f>
        <v/>
      </c>
      <c r="L46" s="552">
        <f>IF(L$41=$B8,IF(L$40="dx",-$K8,-$J8),IF(L$41=$C8,IF(L$40="dx",$K8,$J8),0))</f>
        <v/>
      </c>
      <c r="M46" s="552">
        <f>IF(M$41=$B8,IF(M$40="dx",-$K8,-$J8),IF(M$41=$C8,IF(M$40="dx",$K8,$J8),0))</f>
        <v/>
      </c>
      <c r="N46" s="552">
        <f>IF(N$41=$B8,IF(N$40="dx",-$K8,-$J8),IF(N$41=$C8,IF(N$40="dx",$K8,$J8),0))</f>
        <v/>
      </c>
      <c r="O46" s="552">
        <f>IF(O$41=$B8,IF(O$40="dx",-$K8,-$J8),IF(O$41=$C8,IF(O$40="dx",$K8,$J8),0))</f>
        <v/>
      </c>
      <c r="P46" s="552">
        <f>IF(P$41=$B8,IF(P$40="dx",-$K8,-$J8),IF(P$41=$C8,IF(P$40="dx",$K8,$J8),0))</f>
        <v/>
      </c>
      <c r="Q46" s="619">
        <f>IF(Q$41=$B8,IF(Q$40="dx",-$K8,-$J8),IF(Q$41=$C8,IF(Q$40="dx",$K8,$J8),0))</f>
        <v/>
      </c>
      <c r="R46" s="620" t="n"/>
      <c r="S46" s="72">
        <f>M8</f>
        <v/>
      </c>
      <c r="T46" s="542" t="n"/>
    </row>
    <row r="47">
      <c r="A47" s="612" t="n"/>
      <c r="B47" s="618">
        <f>IF(B$41=$B9,IF(B$40="dx",-$K9,-$J9),IF(B$41=$C9,IF(B$40="dx",$K9,$J9),0))</f>
        <v/>
      </c>
      <c r="C47" s="552">
        <f>IF(C$41=$B9,IF(C$40="dx",-$K9,-$J9),IF(C$41=$C9,IF(C$40="dx",$K9,$J9),0))</f>
        <v/>
      </c>
      <c r="D47" s="552">
        <f>IF(D$41=$B9,IF(D$40="dx",-$K9,-$J9),IF(D$41=$C9,IF(D$40="dx",$K9,$J9),0))</f>
        <v/>
      </c>
      <c r="E47" s="552">
        <f>IF(E$41=$B9,IF(E$40="dx",-$K9,-$J9),IF(E$41=$C9,IF(E$40="dx",$K9,$J9),0))</f>
        <v/>
      </c>
      <c r="F47" s="552">
        <f>IF(F$41=$B9,IF(F$40="dx",-$K9,-$J9),IF(F$41=$C9,IF(F$40="dx",$K9,$J9),0))</f>
        <v/>
      </c>
      <c r="G47" s="552">
        <f>IF(G$41=$B9,IF(G$40="dx",-$K9,-$J9),IF(G$41=$C9,IF(G$40="dx",$K9,$J9),0))</f>
        <v/>
      </c>
      <c r="H47" s="552">
        <f>IF(H$41=$B9,IF(H$40="dx",-$K9,-$J9),IF(H$41=$C9,IF(H$40="dx",$K9,$J9),0))</f>
        <v/>
      </c>
      <c r="I47" s="552">
        <f>IF(I$41=$B9,IF(I$40="dx",-$K9,-$J9),IF(I$41=$C9,IF(I$40="dx",$K9,$J9),0))</f>
        <v/>
      </c>
      <c r="J47" s="552">
        <f>IF(J$41=$B9,IF(J$40="dx",-$K9,-$J9),IF(J$41=$C9,IF(J$40="dx",$K9,$J9),0))</f>
        <v/>
      </c>
      <c r="K47" s="552">
        <f>IF(K$41=$B9,IF(K$40="dx",-$K9,-$J9),IF(K$41=$C9,IF(K$40="dx",$K9,$J9),0))</f>
        <v/>
      </c>
      <c r="L47" s="552">
        <f>IF(L$41=$B9,IF(L$40="dx",-$K9,-$J9),IF(L$41=$C9,IF(L$40="dx",$K9,$J9),0))</f>
        <v/>
      </c>
      <c r="M47" s="552">
        <f>IF(M$41=$B9,IF(M$40="dx",-$K9,-$J9),IF(M$41=$C9,IF(M$40="dx",$K9,$J9),0))</f>
        <v/>
      </c>
      <c r="N47" s="552">
        <f>IF(N$41=$B9,IF(N$40="dx",-$K9,-$J9),IF(N$41=$C9,IF(N$40="dx",$K9,$J9),0))</f>
        <v/>
      </c>
      <c r="O47" s="552">
        <f>IF(O$41=$B9,IF(O$40="dx",-$K9,-$J9),IF(O$41=$C9,IF(O$40="dx",$K9,$J9),0))</f>
        <v/>
      </c>
      <c r="P47" s="552">
        <f>IF(P$41=$B9,IF(P$40="dx",-$K9,-$J9),IF(P$41=$C9,IF(P$40="dx",$K9,$J9),0))</f>
        <v/>
      </c>
      <c r="Q47" s="619">
        <f>IF(Q$41=$B9,IF(Q$40="dx",-$K9,-$J9),IF(Q$41=$C9,IF(Q$40="dx",$K9,$J9),0))</f>
        <v/>
      </c>
      <c r="R47" s="620" t="n"/>
      <c r="S47" s="72">
        <f>M9</f>
        <v/>
      </c>
      <c r="T47" s="542" t="n"/>
    </row>
    <row r="48">
      <c r="A48" s="612" t="n"/>
      <c r="B48" s="618">
        <f>IF(B$41=$B10,IF(B$40="dx",-$K10,-$J10),IF(B$41=$C10,IF(B$40="dx",$K10,$J10),0))</f>
        <v/>
      </c>
      <c r="C48" s="552">
        <f>IF(C$41=$B10,IF(C$40="dx",-$K10,-$J10),IF(C$41=$C10,IF(C$40="dx",$K10,$J10),0))</f>
        <v/>
      </c>
      <c r="D48" s="552">
        <f>IF(D$41=$B10,IF(D$40="dx",-$K10,-$J10),IF(D$41=$C10,IF(D$40="dx",$K10,$J10),0))</f>
        <v/>
      </c>
      <c r="E48" s="552">
        <f>IF(E$41=$B10,IF(E$40="dx",-$K10,-$J10),IF(E$41=$C10,IF(E$40="dx",$K10,$J10),0))</f>
        <v/>
      </c>
      <c r="F48" s="552">
        <f>IF(F$41=$B10,IF(F$40="dx",-$K10,-$J10),IF(F$41=$C10,IF(F$40="dx",$K10,$J10),0))</f>
        <v/>
      </c>
      <c r="G48" s="552">
        <f>IF(G$41=$B10,IF(G$40="dx",-$K10,-$J10),IF(G$41=$C10,IF(G$40="dx",$K10,$J10),0))</f>
        <v/>
      </c>
      <c r="H48" s="552">
        <f>IF(H$41=$B10,IF(H$40="dx",-$K10,-$J10),IF(H$41=$C10,IF(H$40="dx",$K10,$J10),0))</f>
        <v/>
      </c>
      <c r="I48" s="552">
        <f>IF(I$41=$B10,IF(I$40="dx",-$K10,-$J10),IF(I$41=$C10,IF(I$40="dx",$K10,$J10),0))</f>
        <v/>
      </c>
      <c r="J48" s="552">
        <f>IF(J$41=$B10,IF(J$40="dx",-$K10,-$J10),IF(J$41=$C10,IF(J$40="dx",$K10,$J10),0))</f>
        <v/>
      </c>
      <c r="K48" s="552">
        <f>IF(K$41=$B10,IF(K$40="dx",-$K10,-$J10),IF(K$41=$C10,IF(K$40="dx",$K10,$J10),0))</f>
        <v/>
      </c>
      <c r="L48" s="552">
        <f>IF(L$41=$B10,IF(L$40="dx",-$K10,-$J10),IF(L$41=$C10,IF(L$40="dx",$K10,$J10),0))</f>
        <v/>
      </c>
      <c r="M48" s="552">
        <f>IF(M$41=$B10,IF(M$40="dx",-$K10,-$J10),IF(M$41=$C10,IF(M$40="dx",$K10,$J10),0))</f>
        <v/>
      </c>
      <c r="N48" s="552">
        <f>IF(N$41=$B10,IF(N$40="dx",-$K10,-$J10),IF(N$41=$C10,IF(N$40="dx",$K10,$J10),0))</f>
        <v/>
      </c>
      <c r="O48" s="552">
        <f>IF(O$41=$B10,IF(O$40="dx",-$K10,-$J10),IF(O$41=$C10,IF(O$40="dx",$K10,$J10),0))</f>
        <v/>
      </c>
      <c r="P48" s="552">
        <f>IF(P$41=$B10,IF(P$40="dx",-$K10,-$J10),IF(P$41=$C10,IF(P$40="dx",$K10,$J10),0))</f>
        <v/>
      </c>
      <c r="Q48" s="619">
        <f>IF(Q$41=$B10,IF(Q$40="dx",-$K10,-$J10),IF(Q$41=$C10,IF(Q$40="dx",$K10,$J10),0))</f>
        <v/>
      </c>
      <c r="R48" s="620" t="n"/>
      <c r="S48" s="72">
        <f>M10</f>
        <v/>
      </c>
      <c r="T48" s="542" t="n"/>
    </row>
    <row r="49">
      <c r="A49" s="612" t="n"/>
      <c r="B49" s="618">
        <f>IF(B$41=$B11,IF(B$40="dx",-$K11,-$J11),IF(B$41=$C11,IF(B$40="dx",$K11,$J11),0))</f>
        <v/>
      </c>
      <c r="C49" s="552">
        <f>IF(C$41=$B11,IF(C$40="dx",-$K11,-$J11),IF(C$41=$C11,IF(C$40="dx",$K11,$J11),0))</f>
        <v/>
      </c>
      <c r="D49" s="552">
        <f>IF(D$41=$B11,IF(D$40="dx",-$K11,-$J11),IF(D$41=$C11,IF(D$40="dx",$K11,$J11),0))</f>
        <v/>
      </c>
      <c r="E49" s="552">
        <f>IF(E$41=$B11,IF(E$40="dx",-$K11,-$J11),IF(E$41=$C11,IF(E$40="dx",$K11,$J11),0))</f>
        <v/>
      </c>
      <c r="F49" s="552">
        <f>IF(F$41=$B11,IF(F$40="dx",-$K11,-$J11),IF(F$41=$C11,IF(F$40="dx",$K11,$J11),0))</f>
        <v/>
      </c>
      <c r="G49" s="552">
        <f>IF(G$41=$B11,IF(G$40="dx",-$K11,-$J11),IF(G$41=$C11,IF(G$40="dx",$K11,$J11),0))</f>
        <v/>
      </c>
      <c r="H49" s="552">
        <f>IF(H$41=$B11,IF(H$40="dx",-$K11,-$J11),IF(H$41=$C11,IF(H$40="dx",$K11,$J11),0))</f>
        <v/>
      </c>
      <c r="I49" s="552">
        <f>IF(I$41=$B11,IF(I$40="dx",-$K11,-$J11),IF(I$41=$C11,IF(I$40="dx",$K11,$J11),0))</f>
        <v/>
      </c>
      <c r="J49" s="552">
        <f>IF(J$41=$B11,IF(J$40="dx",-$K11,-$J11),IF(J$41=$C11,IF(J$40="dx",$K11,$J11),0))</f>
        <v/>
      </c>
      <c r="K49" s="552">
        <f>IF(K$41=$B11,IF(K$40="dx",-$K11,-$J11),IF(K$41=$C11,IF(K$40="dx",$K11,$J11),0))</f>
        <v/>
      </c>
      <c r="L49" s="552">
        <f>IF(L$41=$B11,IF(L$40="dx",-$K11,-$J11),IF(L$41=$C11,IF(L$40="dx",$K11,$J11),0))</f>
        <v/>
      </c>
      <c r="M49" s="552">
        <f>IF(M$41=$B11,IF(M$40="dx",-$K11,-$J11),IF(M$41=$C11,IF(M$40="dx",$K11,$J11),0))</f>
        <v/>
      </c>
      <c r="N49" s="552">
        <f>IF(N$41=$B11,IF(N$40="dx",-$K11,-$J11),IF(N$41=$C11,IF(N$40="dx",$K11,$J11),0))</f>
        <v/>
      </c>
      <c r="O49" s="552">
        <f>IF(O$41=$B11,IF(O$40="dx",-$K11,-$J11),IF(O$41=$C11,IF(O$40="dx",$K11,$J11),0))</f>
        <v/>
      </c>
      <c r="P49" s="552">
        <f>IF(P$41=$B11,IF(P$40="dx",-$K11,-$J11),IF(P$41=$C11,IF(P$40="dx",$K11,$J11),0))</f>
        <v/>
      </c>
      <c r="Q49" s="619">
        <f>IF(Q$41=$B11,IF(Q$40="dx",-$K11,-$J11),IF(Q$41=$C11,IF(Q$40="dx",$K11,$J11),0))</f>
        <v/>
      </c>
      <c r="R49" s="620" t="n"/>
      <c r="S49" s="72">
        <f>M11</f>
        <v/>
      </c>
      <c r="T49" s="542" t="n"/>
    </row>
    <row r="50">
      <c r="A50" s="612" t="n"/>
      <c r="B50" s="618">
        <f>IF(B$41=$B12,IF(B$40="dx",-$K12,-$J12),IF(B$41=$C12,IF(B$40="dx",$K12,$J12),0))</f>
        <v/>
      </c>
      <c r="C50" s="552">
        <f>IF(C$41=$B12,IF(C$40="dx",-$K12,-$J12),IF(C$41=$C12,IF(C$40="dx",$K12,$J12),0))</f>
        <v/>
      </c>
      <c r="D50" s="552">
        <f>IF(D$41=$B12,IF(D$40="dx",-$K12,-$J12),IF(D$41=$C12,IF(D$40="dx",$K12,$J12),0))</f>
        <v/>
      </c>
      <c r="E50" s="552">
        <f>IF(E$41=$B12,IF(E$40="dx",-$K12,-$J12),IF(E$41=$C12,IF(E$40="dx",$K12,$J12),0))</f>
        <v/>
      </c>
      <c r="F50" s="552">
        <f>IF(F$41=$B12,IF(F$40="dx",-$K12,-$J12),IF(F$41=$C12,IF(F$40="dx",$K12,$J12),0))</f>
        <v/>
      </c>
      <c r="G50" s="552">
        <f>IF(G$41=$B12,IF(G$40="dx",-$K12,-$J12),IF(G$41=$C12,IF(G$40="dx",$K12,$J12),0))</f>
        <v/>
      </c>
      <c r="H50" s="552">
        <f>IF(H$41=$B12,IF(H$40="dx",-$K12,-$J12),IF(H$41=$C12,IF(H$40="dx",$K12,$J12),0))</f>
        <v/>
      </c>
      <c r="I50" s="552">
        <f>IF(I$41=$B12,IF(I$40="dx",-$K12,-$J12),IF(I$41=$C12,IF(I$40="dx",$K12,$J12),0))</f>
        <v/>
      </c>
      <c r="J50" s="552">
        <f>IF(J$41=$B12,IF(J$40="dx",-$K12,-$J12),IF(J$41=$C12,IF(J$40="dx",$K12,$J12),0))</f>
        <v/>
      </c>
      <c r="K50" s="552">
        <f>IF(K$41=$B12,IF(K$40="dx",-$K12,-$J12),IF(K$41=$C12,IF(K$40="dx",$K12,$J12),0))</f>
        <v/>
      </c>
      <c r="L50" s="552">
        <f>IF(L$41=$B12,IF(L$40="dx",-$K12,-$J12),IF(L$41=$C12,IF(L$40="dx",$K12,$J12),0))</f>
        <v/>
      </c>
      <c r="M50" s="552">
        <f>IF(M$41=$B12,IF(M$40="dx",-$K12,-$J12),IF(M$41=$C12,IF(M$40="dx",$K12,$J12),0))</f>
        <v/>
      </c>
      <c r="N50" s="552">
        <f>IF(N$41=$B12,IF(N$40="dx",-$K12,-$J12),IF(N$41=$C12,IF(N$40="dx",$K12,$J12),0))</f>
        <v/>
      </c>
      <c r="O50" s="552">
        <f>IF(O$41=$B12,IF(O$40="dx",-$K12,-$J12),IF(O$41=$C12,IF(O$40="dx",$K12,$J12),0))</f>
        <v/>
      </c>
      <c r="P50" s="552">
        <f>IF(P$41=$B12,IF(P$40="dx",-$K12,-$J12),IF(P$41=$C12,IF(P$40="dx",$K12,$J12),0))</f>
        <v/>
      </c>
      <c r="Q50" s="619">
        <f>IF(Q$41=$B12,IF(Q$40="dx",-$K12,-$J12),IF(Q$41=$C12,IF(Q$40="dx",$K12,$J12),0))</f>
        <v/>
      </c>
      <c r="R50" s="620" t="n"/>
      <c r="S50" s="72">
        <f>M12</f>
        <v/>
      </c>
      <c r="T50" s="542" t="n"/>
    </row>
    <row r="51">
      <c r="A51" s="612" t="n"/>
      <c r="B51" s="618">
        <f>IF(B$41=$B13,IF(B$40="dx",-$K13,-$J13),IF(B$41=$C13,IF(B$40="dx",$K13,$J13),0))</f>
        <v/>
      </c>
      <c r="C51" s="552">
        <f>IF(C$41=$B13,IF(C$40="dx",-$K13,-$J13),IF(C$41=$C13,IF(C$40="dx",$K13,$J13),0))</f>
        <v/>
      </c>
      <c r="D51" s="552">
        <f>IF(D$41=$B13,IF(D$40="dx",-$K13,-$J13),IF(D$41=$C13,IF(D$40="dx",$K13,$J13),0))</f>
        <v/>
      </c>
      <c r="E51" s="552">
        <f>IF(E$41=$B13,IF(E$40="dx",-$K13,-$J13),IF(E$41=$C13,IF(E$40="dx",$K13,$J13),0))</f>
        <v/>
      </c>
      <c r="F51" s="552">
        <f>IF(F$41=$B13,IF(F$40="dx",-$K13,-$J13),IF(F$41=$C13,IF(F$40="dx",$K13,$J13),0))</f>
        <v/>
      </c>
      <c r="G51" s="552">
        <f>IF(G$41=$B13,IF(G$40="dx",-$K13,-$J13),IF(G$41=$C13,IF(G$40="dx",$K13,$J13),0))</f>
        <v/>
      </c>
      <c r="H51" s="552">
        <f>IF(H$41=$B13,IF(H$40="dx",-$K13,-$J13),IF(H$41=$C13,IF(H$40="dx",$K13,$J13),0))</f>
        <v/>
      </c>
      <c r="I51" s="552">
        <f>IF(I$41=$B13,IF(I$40="dx",-$K13,-$J13),IF(I$41=$C13,IF(I$40="dx",$K13,$J13),0))</f>
        <v/>
      </c>
      <c r="J51" s="552">
        <f>IF(J$41=$B13,IF(J$40="dx",-$K13,-$J13),IF(J$41=$C13,IF(J$40="dx",$K13,$J13),0))</f>
        <v/>
      </c>
      <c r="K51" s="552">
        <f>IF(K$41=$B13,IF(K$40="dx",-$K13,-$J13),IF(K$41=$C13,IF(K$40="dx",$K13,$J13),0))</f>
        <v/>
      </c>
      <c r="L51" s="552">
        <f>IF(L$41=$B13,IF(L$40="dx",-$K13,-$J13),IF(L$41=$C13,IF(L$40="dx",$K13,$J13),0))</f>
        <v/>
      </c>
      <c r="M51" s="552">
        <f>IF(M$41=$B13,IF(M$40="dx",-$K13,-$J13),IF(M$41=$C13,IF(M$40="dx",$K13,$J13),0))</f>
        <v/>
      </c>
      <c r="N51" s="552">
        <f>IF(N$41=$B13,IF(N$40="dx",-$K13,-$J13),IF(N$41=$C13,IF(N$40="dx",$K13,$J13),0))</f>
        <v/>
      </c>
      <c r="O51" s="552">
        <f>IF(O$41=$B13,IF(O$40="dx",-$K13,-$J13),IF(O$41=$C13,IF(O$40="dx",$K13,$J13),0))</f>
        <v/>
      </c>
      <c r="P51" s="552">
        <f>IF(P$41=$B13,IF(P$40="dx",-$K13,-$J13),IF(P$41=$C13,IF(P$40="dx",$K13,$J13),0))</f>
        <v/>
      </c>
      <c r="Q51" s="619">
        <f>IF(Q$41=$B13,IF(Q$40="dx",-$K13,-$J13),IF(Q$41=$C13,IF(Q$40="dx",$K13,$J13),0))</f>
        <v/>
      </c>
      <c r="R51" s="620" t="n"/>
      <c r="S51" s="72">
        <f>M13</f>
        <v/>
      </c>
      <c r="T51" s="542" t="n"/>
    </row>
    <row r="52">
      <c r="A52" s="612" t="n"/>
      <c r="B52" s="618">
        <f>IF(B$41=$B14,IF(B$40="dx",-$K14,-$J14),IF(B$41=$C14,IF(B$40="dx",$K14,$J14),0))</f>
        <v/>
      </c>
      <c r="C52" s="552">
        <f>IF(C$41=$B14,IF(C$40="dx",-$K14,-$J14),IF(C$41=$C14,IF(C$40="dx",$K14,$J14),0))</f>
        <v/>
      </c>
      <c r="D52" s="552">
        <f>IF(D$41=$B14,IF(D$40="dx",-$K14,-$J14),IF(D$41=$C14,IF(D$40="dx",$K14,$J14),0))</f>
        <v/>
      </c>
      <c r="E52" s="552">
        <f>IF(E$41=$B14,IF(E$40="dx",-$K14,-$J14),IF(E$41=$C14,IF(E$40="dx",$K14,$J14),0))</f>
        <v/>
      </c>
      <c r="F52" s="552">
        <f>IF(F$41=$B14,IF(F$40="dx",-$K14,-$J14),IF(F$41=$C14,IF(F$40="dx",$K14,$J14),0))</f>
        <v/>
      </c>
      <c r="G52" s="552">
        <f>IF(G$41=$B14,IF(G$40="dx",-$K14,-$J14),IF(G$41=$C14,IF(G$40="dx",$K14,$J14),0))</f>
        <v/>
      </c>
      <c r="H52" s="552">
        <f>IF(H$41=$B14,IF(H$40="dx",-$K14,-$J14),IF(H$41=$C14,IF(H$40="dx",$K14,$J14),0))</f>
        <v/>
      </c>
      <c r="I52" s="552">
        <f>IF(I$41=$B14,IF(I$40="dx",-$K14,-$J14),IF(I$41=$C14,IF(I$40="dx",$K14,$J14),0))</f>
        <v/>
      </c>
      <c r="J52" s="552">
        <f>IF(J$41=$B14,IF(J$40="dx",-$K14,-$J14),IF(J$41=$C14,IF(J$40="dx",$K14,$J14),0))</f>
        <v/>
      </c>
      <c r="K52" s="552">
        <f>IF(K$41=$B14,IF(K$40="dx",-$K14,-$J14),IF(K$41=$C14,IF(K$40="dx",$K14,$J14),0))</f>
        <v/>
      </c>
      <c r="L52" s="552">
        <f>IF(L$41=$B14,IF(L$40="dx",-$K14,-$J14),IF(L$41=$C14,IF(L$40="dx",$K14,$J14),0))</f>
        <v/>
      </c>
      <c r="M52" s="552">
        <f>IF(M$41=$B14,IF(M$40="dx",-$K14,-$J14),IF(M$41=$C14,IF(M$40="dx",$K14,$J14),0))</f>
        <v/>
      </c>
      <c r="N52" s="552">
        <f>IF(N$41=$B14,IF(N$40="dx",-$K14,-$J14),IF(N$41=$C14,IF(N$40="dx",$K14,$J14),0))</f>
        <v/>
      </c>
      <c r="O52" s="552">
        <f>IF(O$41=$B14,IF(O$40="dx",-$K14,-$J14),IF(O$41=$C14,IF(O$40="dx",$K14,$J14),0))</f>
        <v/>
      </c>
      <c r="P52" s="552">
        <f>IF(P$41=$B14,IF(P$40="dx",-$K14,-$J14),IF(P$41=$C14,IF(P$40="dx",$K14,$J14),0))</f>
        <v/>
      </c>
      <c r="Q52" s="619">
        <f>IF(Q$41=$B14,IF(Q$40="dx",-$K14,-$J14),IF(Q$41=$C14,IF(Q$40="dx",$K14,$J14),0))</f>
        <v/>
      </c>
      <c r="R52" s="620" t="n"/>
      <c r="S52" s="72">
        <f>M14</f>
        <v/>
      </c>
      <c r="T52" s="542" t="n"/>
    </row>
    <row r="53">
      <c r="A53" s="612" t="n"/>
      <c r="B53" s="618">
        <f>IF(B$41=$B15,IF(B$40="dx",-$K15,-$J15),IF(B$41=$C15,IF(B$40="dx",$K15,$J15),0))</f>
        <v/>
      </c>
      <c r="C53" s="552">
        <f>IF(C$41=$B15,IF(C$40="dx",-$K15,-$J15),IF(C$41=$C15,IF(C$40="dx",$K15,$J15),0))</f>
        <v/>
      </c>
      <c r="D53" s="552">
        <f>IF(D$41=$B15,IF(D$40="dx",-$K15,-$J15),IF(D$41=$C15,IF(D$40="dx",$K15,$J15),0))</f>
        <v/>
      </c>
      <c r="E53" s="552">
        <f>IF(E$41=$B15,IF(E$40="dx",-$K15,-$J15),IF(E$41=$C15,IF(E$40="dx",$K15,$J15),0))</f>
        <v/>
      </c>
      <c r="F53" s="552">
        <f>IF(F$41=$B15,IF(F$40="dx",-$K15,-$J15),IF(F$41=$C15,IF(F$40="dx",$K15,$J15),0))</f>
        <v/>
      </c>
      <c r="G53" s="552">
        <f>IF(G$41=$B15,IF(G$40="dx",-$K15,-$J15),IF(G$41=$C15,IF(G$40="dx",$K15,$J15),0))</f>
        <v/>
      </c>
      <c r="H53" s="552">
        <f>IF(H$41=$B15,IF(H$40="dx",-$K15,-$J15),IF(H$41=$C15,IF(H$40="dx",$K15,$J15),0))</f>
        <v/>
      </c>
      <c r="I53" s="552">
        <f>IF(I$41=$B15,IF(I$40="dx",-$K15,-$J15),IF(I$41=$C15,IF(I$40="dx",$K15,$J15),0))</f>
        <v/>
      </c>
      <c r="J53" s="552">
        <f>IF(J$41=$B15,IF(J$40="dx",-$K15,-$J15),IF(J$41=$C15,IF(J$40="dx",$K15,$J15),0))</f>
        <v/>
      </c>
      <c r="K53" s="552">
        <f>IF(K$41=$B15,IF(K$40="dx",-$K15,-$J15),IF(K$41=$C15,IF(K$40="dx",$K15,$J15),0))</f>
        <v/>
      </c>
      <c r="L53" s="552">
        <f>IF(L$41=$B15,IF(L$40="dx",-$K15,-$J15),IF(L$41=$C15,IF(L$40="dx",$K15,$J15),0))</f>
        <v/>
      </c>
      <c r="M53" s="552">
        <f>IF(M$41=$B15,IF(M$40="dx",-$K15,-$J15),IF(M$41=$C15,IF(M$40="dx",$K15,$J15),0))</f>
        <v/>
      </c>
      <c r="N53" s="552">
        <f>IF(N$41=$B15,IF(N$40="dx",-$K15,-$J15),IF(N$41=$C15,IF(N$40="dx",$K15,$J15),0))</f>
        <v/>
      </c>
      <c r="O53" s="552">
        <f>IF(O$41=$B15,IF(O$40="dx",-$K15,-$J15),IF(O$41=$C15,IF(O$40="dx",$K15,$J15),0))</f>
        <v/>
      </c>
      <c r="P53" s="552">
        <f>IF(P$41=$B15,IF(P$40="dx",-$K15,-$J15),IF(P$41=$C15,IF(P$40="dx",$K15,$J15),0))</f>
        <v/>
      </c>
      <c r="Q53" s="619">
        <f>IF(Q$41=$B15,IF(Q$40="dx",-$K15,-$J15),IF(Q$41=$C15,IF(Q$40="dx",$K15,$J15),0))</f>
        <v/>
      </c>
      <c r="R53" s="620" t="n"/>
      <c r="S53" s="72">
        <f>M15</f>
        <v/>
      </c>
      <c r="T53" s="542" t="n"/>
    </row>
    <row r="54">
      <c r="A54" s="612" t="n"/>
      <c r="B54" s="618">
        <f>IF(B$41=$B16,IF(B$40="dx",-$K16,-$J16),IF(B$41=$C16,IF(B$40="dx",$K16,$J16),0))</f>
        <v/>
      </c>
      <c r="C54" s="552">
        <f>IF(C$41=$B16,IF(C$40="dx",-$K16,-$J16),IF(C$41=$C16,IF(C$40="dx",$K16,$J16),0))</f>
        <v/>
      </c>
      <c r="D54" s="552">
        <f>IF(D$41=$B16,IF(D$40="dx",-$K16,-$J16),IF(D$41=$C16,IF(D$40="dx",$K16,$J16),0))</f>
        <v/>
      </c>
      <c r="E54" s="552">
        <f>IF(E$41=$B16,IF(E$40="dx",-$K16,-$J16),IF(E$41=$C16,IF(E$40="dx",$K16,$J16),0))</f>
        <v/>
      </c>
      <c r="F54" s="552">
        <f>IF(F$41=$B16,IF(F$40="dx",-$K16,-$J16),IF(F$41=$C16,IF(F$40="dx",$K16,$J16),0))</f>
        <v/>
      </c>
      <c r="G54" s="552">
        <f>IF(G$41=$B16,IF(G$40="dx",-$K16,-$J16),IF(G$41=$C16,IF(G$40="dx",$K16,$J16),0))</f>
        <v/>
      </c>
      <c r="H54" s="552">
        <f>IF(H$41=$B16,IF(H$40="dx",-$K16,-$J16),IF(H$41=$C16,IF(H$40="dx",$K16,$J16),0))</f>
        <v/>
      </c>
      <c r="I54" s="552">
        <f>IF(I$41=$B16,IF(I$40="dx",-$K16,-$J16),IF(I$41=$C16,IF(I$40="dx",$K16,$J16),0))</f>
        <v/>
      </c>
      <c r="J54" s="552">
        <f>IF(J$41=$B16,IF(J$40="dx",-$K16,-$J16),IF(J$41=$C16,IF(J$40="dx",$K16,$J16),0))</f>
        <v/>
      </c>
      <c r="K54" s="552">
        <f>IF(K$41=$B16,IF(K$40="dx",-$K16,-$J16),IF(K$41=$C16,IF(K$40="dx",$K16,$J16),0))</f>
        <v/>
      </c>
      <c r="L54" s="552">
        <f>IF(L$41=$B16,IF(L$40="dx",-$K16,-$J16),IF(L$41=$C16,IF(L$40="dx",$K16,$J16),0))</f>
        <v/>
      </c>
      <c r="M54" s="552">
        <f>IF(M$41=$B16,IF(M$40="dx",-$K16,-$J16),IF(M$41=$C16,IF(M$40="dx",$K16,$J16),0))</f>
        <v/>
      </c>
      <c r="N54" s="552">
        <f>IF(N$41=$B16,IF(N$40="dx",-$K16,-$J16),IF(N$41=$C16,IF(N$40="dx",$K16,$J16),0))</f>
        <v/>
      </c>
      <c r="O54" s="552">
        <f>IF(O$41=$B16,IF(O$40="dx",-$K16,-$J16),IF(O$41=$C16,IF(O$40="dx",$K16,$J16),0))</f>
        <v/>
      </c>
      <c r="P54" s="552">
        <f>IF(P$41=$B16,IF(P$40="dx",-$K16,-$J16),IF(P$41=$C16,IF(P$40="dx",$K16,$J16),0))</f>
        <v/>
      </c>
      <c r="Q54" s="619">
        <f>IF(Q$41=$B16,IF(Q$40="dx",-$K16,-$J16),IF(Q$41=$C16,IF(Q$40="dx",$K16,$J16),0))</f>
        <v/>
      </c>
      <c r="R54" s="620" t="n"/>
      <c r="S54" s="72">
        <f>M16</f>
        <v/>
      </c>
      <c r="T54" s="542" t="n"/>
    </row>
    <row r="55">
      <c r="A55" s="612" t="n"/>
      <c r="B55" s="618">
        <f>IF(B$41=$B17,IF(B$40="dx",-$K17,-$J17),IF(B$41=$C17,IF(B$40="dx",$K17,$J17),0))</f>
        <v/>
      </c>
      <c r="C55" s="552">
        <f>IF(C$41=$B17,IF(C$40="dx",-$K17,-$J17),IF(C$41=$C17,IF(C$40="dx",$K17,$J17),0))</f>
        <v/>
      </c>
      <c r="D55" s="552">
        <f>IF(D$41=$B17,IF(D$40="dx",-$K17,-$J17),IF(D$41=$C17,IF(D$40="dx",$K17,$J17),0))</f>
        <v/>
      </c>
      <c r="E55" s="552">
        <f>IF(E$41=$B17,IF(E$40="dx",-$K17,-$J17),IF(E$41=$C17,IF(E$40="dx",$K17,$J17),0))</f>
        <v/>
      </c>
      <c r="F55" s="552">
        <f>IF(F$41=$B17,IF(F$40="dx",-$K17,-$J17),IF(F$41=$C17,IF(F$40="dx",$K17,$J17),0))</f>
        <v/>
      </c>
      <c r="G55" s="552">
        <f>IF(G$41=$B17,IF(G$40="dx",-$K17,-$J17),IF(G$41=$C17,IF(G$40="dx",$K17,$J17),0))</f>
        <v/>
      </c>
      <c r="H55" s="552">
        <f>IF(H$41=$B17,IF(H$40="dx",-$K17,-$J17),IF(H$41=$C17,IF(H$40="dx",$K17,$J17),0))</f>
        <v/>
      </c>
      <c r="I55" s="552">
        <f>IF(I$41=$B17,IF(I$40="dx",-$K17,-$J17),IF(I$41=$C17,IF(I$40="dx",$K17,$J17),0))</f>
        <v/>
      </c>
      <c r="J55" s="552">
        <f>IF(J$41=$B17,IF(J$40="dx",-$K17,-$J17),IF(J$41=$C17,IF(J$40="dx",$K17,$J17),0))</f>
        <v/>
      </c>
      <c r="K55" s="552">
        <f>IF(K$41=$B17,IF(K$40="dx",-$K17,-$J17),IF(K$41=$C17,IF(K$40="dx",$K17,$J17),0))</f>
        <v/>
      </c>
      <c r="L55" s="552">
        <f>IF(L$41=$B17,IF(L$40="dx",-$K17,-$J17),IF(L$41=$C17,IF(L$40="dx",$K17,$J17),0))</f>
        <v/>
      </c>
      <c r="M55" s="552">
        <f>IF(M$41=$B17,IF(M$40="dx",-$K17,-$J17),IF(M$41=$C17,IF(M$40="dx",$K17,$J17),0))</f>
        <v/>
      </c>
      <c r="N55" s="552">
        <f>IF(N$41=$B17,IF(N$40="dx",-$K17,-$J17),IF(N$41=$C17,IF(N$40="dx",$K17,$J17),0))</f>
        <v/>
      </c>
      <c r="O55" s="552">
        <f>IF(O$41=$B17,IF(O$40="dx",-$K17,-$J17),IF(O$41=$C17,IF(O$40="dx",$K17,$J17),0))</f>
        <v/>
      </c>
      <c r="P55" s="552">
        <f>IF(P$41=$B17,IF(P$40="dx",-$K17,-$J17),IF(P$41=$C17,IF(P$40="dx",$K17,$J17),0))</f>
        <v/>
      </c>
      <c r="Q55" s="619">
        <f>IF(Q$41=$B17,IF(Q$40="dx",-$K17,-$J17),IF(Q$41=$C17,IF(Q$40="dx",$K17,$J17),0))</f>
        <v/>
      </c>
      <c r="R55" s="620" t="n"/>
      <c r="S55" s="72">
        <f>M17</f>
        <v/>
      </c>
      <c r="T55" s="542" t="n"/>
    </row>
    <row r="56">
      <c r="A56" s="612" t="n"/>
      <c r="B56" s="618">
        <f>IF(B$41=$B18,IF(B$40="dx",-$K18,-$J18),IF(B$41=$C18,IF(B$40="dx",$K18,$J18),0))</f>
        <v/>
      </c>
      <c r="C56" s="552">
        <f>IF(C$41=$B18,IF(C$40="dx",-$K18,-$J18),IF(C$41=$C18,IF(C$40="dx",$K18,$J18),0))</f>
        <v/>
      </c>
      <c r="D56" s="552">
        <f>IF(D$41=$B18,IF(D$40="dx",-$K18,-$J18),IF(D$41=$C18,IF(D$40="dx",$K18,$J18),0))</f>
        <v/>
      </c>
      <c r="E56" s="552">
        <f>IF(E$41=$B18,IF(E$40="dx",-$K18,-$J18),IF(E$41=$C18,IF(E$40="dx",$K18,$J18),0))</f>
        <v/>
      </c>
      <c r="F56" s="552">
        <f>IF(F$41=$B18,IF(F$40="dx",-$K18,-$J18),IF(F$41=$C18,IF(F$40="dx",$K18,$J18),0))</f>
        <v/>
      </c>
      <c r="G56" s="552">
        <f>IF(G$41=$B18,IF(G$40="dx",-$K18,-$J18),IF(G$41=$C18,IF(G$40="dx",$K18,$J18),0))</f>
        <v/>
      </c>
      <c r="H56" s="552">
        <f>IF(H$41=$B18,IF(H$40="dx",-$K18,-$J18),IF(H$41=$C18,IF(H$40="dx",$K18,$J18),0))</f>
        <v/>
      </c>
      <c r="I56" s="552">
        <f>IF(I$41=$B18,IF(I$40="dx",-$K18,-$J18),IF(I$41=$C18,IF(I$40="dx",$K18,$J18),0))</f>
        <v/>
      </c>
      <c r="J56" s="552">
        <f>IF(J$41=$B18,IF(J$40="dx",-$K18,-$J18),IF(J$41=$C18,IF(J$40="dx",$K18,$J18),0))</f>
        <v/>
      </c>
      <c r="K56" s="552">
        <f>IF(K$41=$B18,IF(K$40="dx",-$K18,-$J18),IF(K$41=$C18,IF(K$40="dx",$K18,$J18),0))</f>
        <v/>
      </c>
      <c r="L56" s="552">
        <f>IF(L$41=$B18,IF(L$40="dx",-$K18,-$J18),IF(L$41=$C18,IF(L$40="dx",$K18,$J18),0))</f>
        <v/>
      </c>
      <c r="M56" s="552">
        <f>IF(M$41=$B18,IF(M$40="dx",-$K18,-$J18),IF(M$41=$C18,IF(M$40="dx",$K18,$J18),0))</f>
        <v/>
      </c>
      <c r="N56" s="552">
        <f>IF(N$41=$B18,IF(N$40="dx",-$K18,-$J18),IF(N$41=$C18,IF(N$40="dx",$K18,$J18),0))</f>
        <v/>
      </c>
      <c r="O56" s="552">
        <f>IF(O$41=$B18,IF(O$40="dx",-$K18,-$J18),IF(O$41=$C18,IF(O$40="dx",$K18,$J18),0))</f>
        <v/>
      </c>
      <c r="P56" s="552">
        <f>IF(P$41=$B18,IF(P$40="dx",-$K18,-$J18),IF(P$41=$C18,IF(P$40="dx",$K18,$J18),0))</f>
        <v/>
      </c>
      <c r="Q56" s="619">
        <f>IF(Q$41=$B18,IF(Q$40="dx",-$K18,-$J18),IF(Q$41=$C18,IF(Q$40="dx",$K18,$J18),0))</f>
        <v/>
      </c>
      <c r="R56" s="620" t="n"/>
      <c r="S56" s="72">
        <f>M18</f>
        <v/>
      </c>
      <c r="T56" s="542" t="n"/>
    </row>
    <row r="57">
      <c r="A57" s="612" t="n"/>
      <c r="B57" s="618">
        <f>IF(B$41=$B19,IF(B$40="dx",-$K19,-$J19),IF(B$41=$C19,IF(B$40="dx",$K19,$J19),0))</f>
        <v/>
      </c>
      <c r="C57" s="552">
        <f>IF(C$41=$B19,IF(C$40="dx",-$K19,-$J19),IF(C$41=$C19,IF(C$40="dx",$K19,$J19),0))</f>
        <v/>
      </c>
      <c r="D57" s="552">
        <f>IF(D$41=$B19,IF(D$40="dx",-$K19,-$J19),IF(D$41=$C19,IF(D$40="dx",$K19,$J19),0))</f>
        <v/>
      </c>
      <c r="E57" s="552">
        <f>IF(E$41=$B19,IF(E$40="dx",-$K19,-$J19),IF(E$41=$C19,IF(E$40="dx",$K19,$J19),0))</f>
        <v/>
      </c>
      <c r="F57" s="552">
        <f>IF(F$41=$B19,IF(F$40="dx",-$K19,-$J19),IF(F$41=$C19,IF(F$40="dx",$K19,$J19),0))</f>
        <v/>
      </c>
      <c r="G57" s="552">
        <f>IF(G$41=$B19,IF(G$40="dx",-$K19,-$J19),IF(G$41=$C19,IF(G$40="dx",$K19,$J19),0))</f>
        <v/>
      </c>
      <c r="H57" s="552">
        <f>IF(H$41=$B19,IF(H$40="dx",-$K19,-$J19),IF(H$41=$C19,IF(H$40="dx",$K19,$J19),0))</f>
        <v/>
      </c>
      <c r="I57" s="552">
        <f>IF(I$41=$B19,IF(I$40="dx",-$K19,-$J19),IF(I$41=$C19,IF(I$40="dx",$K19,$J19),0))</f>
        <v/>
      </c>
      <c r="J57" s="552">
        <f>IF(J$41=$B19,IF(J$40="dx",-$K19,-$J19),IF(J$41=$C19,IF(J$40="dx",$K19,$J19),0))</f>
        <v/>
      </c>
      <c r="K57" s="552">
        <f>IF(K$41=$B19,IF(K$40="dx",-$K19,-$J19),IF(K$41=$C19,IF(K$40="dx",$K19,$J19),0))</f>
        <v/>
      </c>
      <c r="L57" s="552">
        <f>IF(L$41=$B19,IF(L$40="dx",-$K19,-$J19),IF(L$41=$C19,IF(L$40="dx",$K19,$J19),0))</f>
        <v/>
      </c>
      <c r="M57" s="552">
        <f>IF(M$41=$B19,IF(M$40="dx",-$K19,-$J19),IF(M$41=$C19,IF(M$40="dx",$K19,$J19),0))</f>
        <v/>
      </c>
      <c r="N57" s="552">
        <f>IF(N$41=$B19,IF(N$40="dx",-$K19,-$J19),IF(N$41=$C19,IF(N$40="dx",$K19,$J19),0))</f>
        <v/>
      </c>
      <c r="O57" s="552">
        <f>IF(O$41=$B19,IF(O$40="dx",-$K19,-$J19),IF(O$41=$C19,IF(O$40="dx",$K19,$J19),0))</f>
        <v/>
      </c>
      <c r="P57" s="552">
        <f>IF(P$41=$B19,IF(P$40="dx",-$K19,-$J19),IF(P$41=$C19,IF(P$40="dx",$K19,$J19),0))</f>
        <v/>
      </c>
      <c r="Q57" s="619">
        <f>IF(Q$41=$B19,IF(Q$40="dx",-$K19,-$J19),IF(Q$41=$C19,IF(Q$40="dx",$K19,$J19),0))</f>
        <v/>
      </c>
      <c r="R57" s="620" t="n"/>
      <c r="S57" s="72">
        <f>M19</f>
        <v/>
      </c>
      <c r="T57" s="542" t="n"/>
    </row>
    <row r="58">
      <c r="A58" s="612" t="n"/>
      <c r="B58" s="618">
        <f>IF(B$41=$B20,IF(B$40="dx",-$K20,-$J20),IF(B$41=$C20,IF(B$40="dx",$K20,$J20),0))</f>
        <v/>
      </c>
      <c r="C58" s="552">
        <f>IF(C$41=$B20,IF(C$40="dx",-$K20,-$J20),IF(C$41=$C20,IF(C$40="dx",$K20,$J20),0))</f>
        <v/>
      </c>
      <c r="D58" s="552">
        <f>IF(D$41=$B20,IF(D$40="dx",-$K20,-$J20),IF(D$41=$C20,IF(D$40="dx",$K20,$J20),0))</f>
        <v/>
      </c>
      <c r="E58" s="552">
        <f>IF(E$41=$B20,IF(E$40="dx",-$K20,-$J20),IF(E$41=$C20,IF(E$40="dx",$K20,$J20),0))</f>
        <v/>
      </c>
      <c r="F58" s="552">
        <f>IF(F$41=$B20,IF(F$40="dx",-$K20,-$J20),IF(F$41=$C20,IF(F$40="dx",$K20,$J20),0))</f>
        <v/>
      </c>
      <c r="G58" s="552">
        <f>IF(G$41=$B20,IF(G$40="dx",-$K20,-$J20),IF(G$41=$C20,IF(G$40="dx",$K20,$J20),0))</f>
        <v/>
      </c>
      <c r="H58" s="552">
        <f>IF(H$41=$B20,IF(H$40="dx",-$K20,-$J20),IF(H$41=$C20,IF(H$40="dx",$K20,$J20),0))</f>
        <v/>
      </c>
      <c r="I58" s="552">
        <f>IF(I$41=$B20,IF(I$40="dx",-$K20,-$J20),IF(I$41=$C20,IF(I$40="dx",$K20,$J20),0))</f>
        <v/>
      </c>
      <c r="J58" s="552">
        <f>IF(J$41=$B20,IF(J$40="dx",-$K20,-$J20),IF(J$41=$C20,IF(J$40="dx",$K20,$J20),0))</f>
        <v/>
      </c>
      <c r="K58" s="552">
        <f>IF(K$41=$B20,IF(K$40="dx",-$K20,-$J20),IF(K$41=$C20,IF(K$40="dx",$K20,$J20),0))</f>
        <v/>
      </c>
      <c r="L58" s="552">
        <f>IF(L$41=$B20,IF(L$40="dx",-$K20,-$J20),IF(L$41=$C20,IF(L$40="dx",$K20,$J20),0))</f>
        <v/>
      </c>
      <c r="M58" s="552">
        <f>IF(M$41=$B20,IF(M$40="dx",-$K20,-$J20),IF(M$41=$C20,IF(M$40="dx",$K20,$J20),0))</f>
        <v/>
      </c>
      <c r="N58" s="552">
        <f>IF(N$41=$B20,IF(N$40="dx",-$K20,-$J20),IF(N$41=$C20,IF(N$40="dx",$K20,$J20),0))</f>
        <v/>
      </c>
      <c r="O58" s="552">
        <f>IF(O$41=$B20,IF(O$40="dx",-$K20,-$J20),IF(O$41=$C20,IF(O$40="dx",$K20,$J20),0))</f>
        <v/>
      </c>
      <c r="P58" s="552">
        <f>IF(P$41=$B20,IF(P$40="dx",-$K20,-$J20),IF(P$41=$C20,IF(P$40="dx",$K20,$J20),0))</f>
        <v/>
      </c>
      <c r="Q58" s="619">
        <f>IF(Q$41=$B20,IF(Q$40="dx",-$K20,-$J20),IF(Q$41=$C20,IF(Q$40="dx",$K20,$J20),0))</f>
        <v/>
      </c>
      <c r="R58" s="620" t="n"/>
      <c r="S58" s="72">
        <f>M20</f>
        <v/>
      </c>
      <c r="T58" s="542" t="n"/>
    </row>
    <row r="59">
      <c r="A59" s="612" t="n"/>
      <c r="B59" s="618">
        <f>IF(B$41=$B21,IF(B$40="dx",-$K21,-$J21),IF(B$41=$C21,IF(B$40="dx",$K21,$J21),0))</f>
        <v/>
      </c>
      <c r="C59" s="552">
        <f>IF(C$41=$B21,IF(C$40="dx",-$K21,-$J21),IF(C$41=$C21,IF(C$40="dx",$K21,$J21),0))</f>
        <v/>
      </c>
      <c r="D59" s="552">
        <f>IF(D$41=$B21,IF(D$40="dx",-$K21,-$J21),IF(D$41=$C21,IF(D$40="dx",$K21,$J21),0))</f>
        <v/>
      </c>
      <c r="E59" s="552">
        <f>IF(E$41=$B21,IF(E$40="dx",-$K21,-$J21),IF(E$41=$C21,IF(E$40="dx",$K21,$J21),0))</f>
        <v/>
      </c>
      <c r="F59" s="552">
        <f>IF(F$41=$B21,IF(F$40="dx",-$K21,-$J21),IF(F$41=$C21,IF(F$40="dx",$K21,$J21),0))</f>
        <v/>
      </c>
      <c r="G59" s="552">
        <f>IF(G$41=$B21,IF(G$40="dx",-$K21,-$J21),IF(G$41=$C21,IF(G$40="dx",$K21,$J21),0))</f>
        <v/>
      </c>
      <c r="H59" s="552">
        <f>IF(H$41=$B21,IF(H$40="dx",-$K21,-$J21),IF(H$41=$C21,IF(H$40="dx",$K21,$J21),0))</f>
        <v/>
      </c>
      <c r="I59" s="552">
        <f>IF(I$41=$B21,IF(I$40="dx",-$K21,-$J21),IF(I$41=$C21,IF(I$40="dx",$K21,$J21),0))</f>
        <v/>
      </c>
      <c r="J59" s="552">
        <f>IF(J$41=$B21,IF(J$40="dx",-$K21,-$J21),IF(J$41=$C21,IF(J$40="dx",$K21,$J21),0))</f>
        <v/>
      </c>
      <c r="K59" s="552">
        <f>IF(K$41=$B21,IF(K$40="dx",-$K21,-$J21),IF(K$41=$C21,IF(K$40="dx",$K21,$J21),0))</f>
        <v/>
      </c>
      <c r="L59" s="552">
        <f>IF(L$41=$B21,IF(L$40="dx",-$K21,-$J21),IF(L$41=$C21,IF(L$40="dx",$K21,$J21),0))</f>
        <v/>
      </c>
      <c r="M59" s="552">
        <f>IF(M$41=$B21,IF(M$40="dx",-$K21,-$J21),IF(M$41=$C21,IF(M$40="dx",$K21,$J21),0))</f>
        <v/>
      </c>
      <c r="N59" s="552">
        <f>IF(N$41=$B21,IF(N$40="dx",-$K21,-$J21),IF(N$41=$C21,IF(N$40="dx",$K21,$J21),0))</f>
        <v/>
      </c>
      <c r="O59" s="552">
        <f>IF(O$41=$B21,IF(O$40="dx",-$K21,-$J21),IF(O$41=$C21,IF(O$40="dx",$K21,$J21),0))</f>
        <v/>
      </c>
      <c r="P59" s="552">
        <f>IF(P$41=$B21,IF(P$40="dx",-$K21,-$J21),IF(P$41=$C21,IF(P$40="dx",$K21,$J21),0))</f>
        <v/>
      </c>
      <c r="Q59" s="619">
        <f>IF(Q$41=$B21,IF(Q$40="dx",-$K21,-$J21),IF(Q$41=$C21,IF(Q$40="dx",$K21,$J21),0))</f>
        <v/>
      </c>
      <c r="R59" s="620" t="n"/>
      <c r="S59" s="72">
        <f>M21</f>
        <v/>
      </c>
      <c r="T59" s="542" t="n"/>
    </row>
    <row r="60">
      <c r="A60" s="612" t="n"/>
      <c r="B60" s="618">
        <f>IF(B$41=$B22,IF(B$40="dx",-$K22,-$J22),IF(B$41=$C22,IF(B$40="dx",$K22,$J22),0))</f>
        <v/>
      </c>
      <c r="C60" s="552">
        <f>IF(C$41=$B22,IF(C$40="dx",-$K22,-$J22),IF(C$41=$C22,IF(C$40="dx",$K22,$J22),0))</f>
        <v/>
      </c>
      <c r="D60" s="552">
        <f>IF(D$41=$B22,IF(D$40="dx",-$K22,-$J22),IF(D$41=$C22,IF(D$40="dx",$K22,$J22),0))</f>
        <v/>
      </c>
      <c r="E60" s="552">
        <f>IF(E$41=$B22,IF(E$40="dx",-$K22,-$J22),IF(E$41=$C22,IF(E$40="dx",$K22,$J22),0))</f>
        <v/>
      </c>
      <c r="F60" s="552">
        <f>IF(F$41=$B22,IF(F$40="dx",-$K22,-$J22),IF(F$41=$C22,IF(F$40="dx",$K22,$J22),0))</f>
        <v/>
      </c>
      <c r="G60" s="552">
        <f>IF(G$41=$B22,IF(G$40="dx",-$K22,-$J22),IF(G$41=$C22,IF(G$40="dx",$K22,$J22),0))</f>
        <v/>
      </c>
      <c r="H60" s="552">
        <f>IF(H$41=$B22,IF(H$40="dx",-$K22,-$J22),IF(H$41=$C22,IF(H$40="dx",$K22,$J22),0))</f>
        <v/>
      </c>
      <c r="I60" s="552">
        <f>IF(I$41=$B22,IF(I$40="dx",-$K22,-$J22),IF(I$41=$C22,IF(I$40="dx",$K22,$J22),0))</f>
        <v/>
      </c>
      <c r="J60" s="552">
        <f>IF(J$41=$B22,IF(J$40="dx",-$K22,-$J22),IF(J$41=$C22,IF(J$40="dx",$K22,$J22),0))</f>
        <v/>
      </c>
      <c r="K60" s="552">
        <f>IF(K$41=$B22,IF(K$40="dx",-$K22,-$J22),IF(K$41=$C22,IF(K$40="dx",$K22,$J22),0))</f>
        <v/>
      </c>
      <c r="L60" s="552">
        <f>IF(L$41=$B22,IF(L$40="dx",-$K22,-$J22),IF(L$41=$C22,IF(L$40="dx",$K22,$J22),0))</f>
        <v/>
      </c>
      <c r="M60" s="552">
        <f>IF(M$41=$B22,IF(M$40="dx",-$K22,-$J22),IF(M$41=$C22,IF(M$40="dx",$K22,$J22),0))</f>
        <v/>
      </c>
      <c r="N60" s="552">
        <f>IF(N$41=$B22,IF(N$40="dx",-$K22,-$J22),IF(N$41=$C22,IF(N$40="dx",$K22,$J22),0))</f>
        <v/>
      </c>
      <c r="O60" s="552">
        <f>IF(O$41=$B22,IF(O$40="dx",-$K22,-$J22),IF(O$41=$C22,IF(O$40="dx",$K22,$J22),0))</f>
        <v/>
      </c>
      <c r="P60" s="552">
        <f>IF(P$41=$B22,IF(P$40="dx",-$K22,-$J22),IF(P$41=$C22,IF(P$40="dx",$K22,$J22),0))</f>
        <v/>
      </c>
      <c r="Q60" s="619">
        <f>IF(Q$41=$B22,IF(Q$40="dx",-$K22,-$J22),IF(Q$41=$C22,IF(Q$40="dx",$K22,$J22),0))</f>
        <v/>
      </c>
      <c r="R60" s="620" t="n"/>
      <c r="S60" s="72">
        <f>M22</f>
        <v/>
      </c>
      <c r="T60" s="542" t="n"/>
    </row>
    <row r="61">
      <c r="A61" s="612" t="n"/>
      <c r="B61" s="618">
        <f>IF(B$41=$B23,IF(B$40="dx",-$K23,-$J23),IF(B$41=$C23,IF(B$40="dx",$K23,$J23),0))</f>
        <v/>
      </c>
      <c r="C61" s="552">
        <f>IF(C$41=$B23,IF(C$40="dx",-$K23,-$J23),IF(C$41=$C23,IF(C$40="dx",$K23,$J23),0))</f>
        <v/>
      </c>
      <c r="D61" s="552">
        <f>IF(D$41=$B23,IF(D$40="dx",-$K23,-$J23),IF(D$41=$C23,IF(D$40="dx",$K23,$J23),0))</f>
        <v/>
      </c>
      <c r="E61" s="552">
        <f>IF(E$41=$B23,IF(E$40="dx",-$K23,-$J23),IF(E$41=$C23,IF(E$40="dx",$K23,$J23),0))</f>
        <v/>
      </c>
      <c r="F61" s="552">
        <f>IF(F$41=$B23,IF(F$40="dx",-$K23,-$J23),IF(F$41=$C23,IF(F$40="dx",$K23,$J23),0))</f>
        <v/>
      </c>
      <c r="G61" s="552">
        <f>IF(G$41=$B23,IF(G$40="dx",-$K23,-$J23),IF(G$41=$C23,IF(G$40="dx",$K23,$J23),0))</f>
        <v/>
      </c>
      <c r="H61" s="552">
        <f>IF(H$41=$B23,IF(H$40="dx",-$K23,-$J23),IF(H$41=$C23,IF(H$40="dx",$K23,$J23),0))</f>
        <v/>
      </c>
      <c r="I61" s="552">
        <f>IF(I$41=$B23,IF(I$40="dx",-$K23,-$J23),IF(I$41=$C23,IF(I$40="dx",$K23,$J23),0))</f>
        <v/>
      </c>
      <c r="J61" s="552">
        <f>IF(J$41=$B23,IF(J$40="dx",-$K23,-$J23),IF(J$41=$C23,IF(J$40="dx",$K23,$J23),0))</f>
        <v/>
      </c>
      <c r="K61" s="552">
        <f>IF(K$41=$B23,IF(K$40="dx",-$K23,-$J23),IF(K$41=$C23,IF(K$40="dx",$K23,$J23),0))</f>
        <v/>
      </c>
      <c r="L61" s="552">
        <f>IF(L$41=$B23,IF(L$40="dx",-$K23,-$J23),IF(L$41=$C23,IF(L$40="dx",$K23,$J23),0))</f>
        <v/>
      </c>
      <c r="M61" s="552">
        <f>IF(M$41=$B23,IF(M$40="dx",-$K23,-$J23),IF(M$41=$C23,IF(M$40="dx",$K23,$J23),0))</f>
        <v/>
      </c>
      <c r="N61" s="552">
        <f>IF(N$41=$B23,IF(N$40="dx",-$K23,-$J23),IF(N$41=$C23,IF(N$40="dx",$K23,$J23),0))</f>
        <v/>
      </c>
      <c r="O61" s="552">
        <f>IF(O$41=$B23,IF(O$40="dx",-$K23,-$J23),IF(O$41=$C23,IF(O$40="dx",$K23,$J23),0))</f>
        <v/>
      </c>
      <c r="P61" s="552">
        <f>IF(P$41=$B23,IF(P$40="dx",-$K23,-$J23),IF(P$41=$C23,IF(P$40="dx",$K23,$J23),0))</f>
        <v/>
      </c>
      <c r="Q61" s="619">
        <f>IF(Q$41=$B23,IF(Q$40="dx",-$K23,-$J23),IF(Q$41=$C23,IF(Q$40="dx",$K23,$J23),0))</f>
        <v/>
      </c>
      <c r="R61" s="620" t="n"/>
      <c r="S61" s="72">
        <f>M23</f>
        <v/>
      </c>
      <c r="T61" s="542" t="n"/>
    </row>
    <row r="62">
      <c r="A62" s="612" t="n"/>
      <c r="B62" s="621">
        <f>IF(B$41=$C26,IF(B$40="dx",$R26,-$Q26),IF(B$41=$D26,IF(B$40="dx",-$T26,$S26),IF(B$41=$B26,IF(B$40="dx",($T26-$R26),($Q26-$S26)),0)))</f>
        <v/>
      </c>
      <c r="C62" s="622">
        <f>IF(C$41=$C26,IF(C$40="dx",$R26,-$Q26),IF(C$41=$D26,IF(C$40="dx",-$T26,$S26),IF(C$41=$B26,IF(C$40="dx",($T26-$R26),($Q26-$S26)),0)))</f>
        <v/>
      </c>
      <c r="D62" s="622">
        <f>IF(D$41=$C26,IF(D$40="dx",$R26,-$Q26),IF(D$41=$D26,IF(D$40="dx",-$T26,$S26),IF(D$41=$B26,IF(D$40="dx",($T26-$R26),($Q26-$S26)),0)))</f>
        <v/>
      </c>
      <c r="E62" s="622">
        <f>IF(E$41=$C26,IF(E$40="dx",$R26,-$Q26),IF(E$41=$D26,IF(E$40="dx",-$T26,$S26),IF(E$41=$B26,IF(E$40="dx",($T26-$R26),($Q26-$S26)),0)))</f>
        <v/>
      </c>
      <c r="F62" s="622">
        <f>IF(F$41=$C26,IF(F$40="dx",$R26,-$Q26),IF(F$41=$D26,IF(F$40="dx",-$T26,$S26),IF(F$41=$B26,IF(F$40="dx",($T26-$R26),($Q26-$S26)),0)))</f>
        <v/>
      </c>
      <c r="G62" s="622">
        <f>IF(G$41=$C26,IF(G$40="dx",$R26,-$Q26),IF(G$41=$D26,IF(G$40="dx",-$T26,$S26),IF(G$41=$B26,IF(G$40="dx",($T26-$R26),($Q26-$S26)),0)))</f>
        <v/>
      </c>
      <c r="H62" s="622">
        <f>IF(H$41=$C26,IF(H$40="dx",$R26,-$Q26),IF(H$41=$D26,IF(H$40="dx",-$T26,$S26),IF(H$41=$B26,IF(H$40="dx",($T26-$R26),($Q26-$S26)),0)))</f>
        <v/>
      </c>
      <c r="I62" s="622">
        <f>IF(I$41=$C26,IF(I$40="dx",$R26,-$Q26),IF(I$41=$D26,IF(I$40="dx",-$T26,$S26),IF(I$41=$B26,IF(I$40="dx",($T26-$R26),($Q26-$S26)),0)))</f>
        <v/>
      </c>
      <c r="J62" s="622">
        <f>IF(J$41=$C26,IF(J$40="dx",$R26,-$Q26),IF(J$41=$D26,IF(J$40="dx",-$T26,$S26),IF(J$41=$B26,IF(J$40="dx",($T26-$R26),($Q26-$S26)),0)))</f>
        <v/>
      </c>
      <c r="K62" s="622">
        <f>IF(K$41=$C26,IF(K$40="dx",$R26,-$Q26),IF(K$41=$D26,IF(K$40="dx",-$T26,$S26),IF(K$41=$B26,IF(K$40="dx",($T26-$R26),($Q26-$S26)),0)))</f>
        <v/>
      </c>
      <c r="L62" s="622">
        <f>IF(L$41=$C26,IF(L$40="dx",$R26,-$Q26),IF(L$41=$D26,IF(L$40="dx",-$T26,$S26),IF(L$41=$B26,IF(L$40="dx",($T26-$R26),($Q26-$S26)),0)))</f>
        <v/>
      </c>
      <c r="M62" s="622">
        <f>IF(M$41=$C26,IF(M$40="dx",$R26,-$Q26),IF(M$41=$D26,IF(M$40="dx",-$T26,$S26),IF(M$41=$B26,IF(M$40="dx",($T26-$R26),($Q26-$S26)),0)))</f>
        <v/>
      </c>
      <c r="N62" s="622">
        <f>IF(N$41=$C26,IF(N$40="dx",$R26,-$Q26),IF(N$41=$D26,IF(N$40="dx",-$T26,$S26),IF(N$41=$B26,IF(N$40="dx",($T26-$R26),($Q26-$S26)),0)))</f>
        <v/>
      </c>
      <c r="O62" s="622">
        <f>IF(O$41=$C26,IF(O$40="dx",$R26,-$Q26),IF(O$41=$D26,IF(O$40="dx",-$T26,$S26),IF(O$41=$B26,IF(O$40="dx",($T26-$R26),($Q26-$S26)),0)))</f>
        <v/>
      </c>
      <c r="P62" s="622">
        <f>IF(P$41=$C26,IF(P$40="dx",$R26,-$Q26),IF(P$41=$D26,IF(P$40="dx",-$T26,$S26),IF(P$41=$B26,IF(P$40="dx",($T26-$R26),($Q26-$S26)),0)))</f>
        <v/>
      </c>
      <c r="Q62" s="623">
        <f>IF(Q$41=$C26,IF(Q$40="dx",$R26,-$Q26),IF(Q$41=$D26,IF(Q$40="dx",-$T26,$S26),IF(Q$41=$B26,IF(Q$40="dx",($T26-$R26),($Q26-$S26)),0)))</f>
        <v/>
      </c>
      <c r="R62" s="624" t="n"/>
      <c r="S62" s="89">
        <f>P26*10000</f>
        <v/>
      </c>
      <c r="T62" s="589" t="n"/>
    </row>
    <row r="63">
      <c r="A63" s="612" t="n"/>
      <c r="B63" s="618">
        <f>IF(B$41=$C27,IF(B$40="dx",$R27,-$Q27),IF(B$41=$D27,IF(B$40="dx",-$T27,$S27),IF(B$41=$B27,IF(B$40="dx",($T27-$R27),($Q27-$S27)),0)))</f>
        <v/>
      </c>
      <c r="C63" s="552">
        <f>IF(C$41=$C27,IF(C$40="dx",$R27,-$Q27),IF(C$41=$D27,IF(C$40="dx",-$T27,$S27),IF(C$41=$B27,IF(C$40="dx",($T27-$R27),($Q27-$S27)),0)))</f>
        <v/>
      </c>
      <c r="D63" s="552">
        <f>IF(D$41=$C27,IF(D$40="dx",$R27,-$Q27),IF(D$41=$D27,IF(D$40="dx",-$T27,$S27),IF(D$41=$B27,IF(D$40="dx",($T27-$R27),($Q27-$S27)),0)))</f>
        <v/>
      </c>
      <c r="E63" s="552">
        <f>IF(E$41=$C27,IF(E$40="dx",$R27,-$Q27),IF(E$41=$D27,IF(E$40="dx",-$T27,$S27),IF(E$41=$B27,IF(E$40="dx",($T27-$R27),($Q27-$S27)),0)))</f>
        <v/>
      </c>
      <c r="F63" s="1">
        <f>IF(F$41=$C27,IF(F$40="dx",$R27,-$Q27),IF(F$41=$D27,IF(F$40="dx",-$T27,$S27),IF(F$41=$B27,IF(F$40="dx",($T27-$R27),($Q27-$S27)),0)))</f>
        <v/>
      </c>
      <c r="G63" s="1">
        <f>IF(G$41=$C27,IF(G$40="dx",$R27,-$Q27),IF(G$41=$D27,IF(G$40="dx",-$T27,$S27),IF(G$41=$B27,IF(G$40="dx",($T27-$R27),($Q27-$S27)),0)))</f>
        <v/>
      </c>
      <c r="H63" s="1">
        <f>IF(H$41=$C27,IF(H$40="dx",$R27,-$Q27),IF(H$41=$D27,IF(H$40="dx",-$T27,$S27),IF(H$41=$B27,IF(H$40="dx",($T27-$R27),($Q27-$S27)),0)))</f>
        <v/>
      </c>
      <c r="I63" s="1">
        <f>IF(I$41=$C27,IF(I$40="dx",$R27,-$Q27),IF(I$41=$D27,IF(I$40="dx",-$T27,$S27),IF(I$41=$B27,IF(I$40="dx",($T27-$R27),($Q27-$S27)),0)))</f>
        <v/>
      </c>
      <c r="J63" s="1">
        <f>IF(J$41=$C27,IF(J$40="dx",$R27,-$Q27),IF(J$41=$D27,IF(J$40="dx",-$T27,$S27),IF(J$41=$B27,IF(J$40="dx",($T27-$R27),($Q27-$S27)),0)))</f>
        <v/>
      </c>
      <c r="K63" s="1">
        <f>IF(K$41=$C27,IF(K$40="dx",$R27,-$Q27),IF(K$41=$D27,IF(K$40="dx",-$T27,$S27),IF(K$41=$B27,IF(K$40="dx",($T27-$R27),($Q27-$S27)),0)))</f>
        <v/>
      </c>
      <c r="L63" s="1">
        <f>IF(L$41=$C27,IF(L$40="dx",$R27,-$Q27),IF(L$41=$D27,IF(L$40="dx",-$T27,$S27),IF(L$41=$B27,IF(L$40="dx",($T27-$R27),($Q27-$S27)),0)))</f>
        <v/>
      </c>
      <c r="M63" s="1">
        <f>IF(M$41=$C27,IF(M$40="dx",$R27,-$Q27),IF(M$41=$D27,IF(M$40="dx",-$T27,$S27),IF(M$41=$B27,IF(M$40="dx",($T27-$R27),($Q27-$S27)),0)))</f>
        <v/>
      </c>
      <c r="N63" s="1">
        <f>IF(N$41=$C27,IF(N$40="dx",$R27,-$Q27),IF(N$41=$D27,IF(N$40="dx",-$T27,$S27),IF(N$41=$B27,IF(N$40="dx",($T27-$R27),($Q27-$S27)),0)))</f>
        <v/>
      </c>
      <c r="O63" s="1">
        <f>IF(O$41=$C27,IF(O$40="dx",$R27,-$Q27),IF(O$41=$D27,IF(O$40="dx",-$T27,$S27),IF(O$41=$B27,IF(O$40="dx",($T27-$R27),($Q27-$S27)),0)))</f>
        <v/>
      </c>
      <c r="P63" s="552">
        <f>IF(P$41=$C27,IF(P$40="dx",$R27,-$Q27),IF(P$41=$D27,IF(P$40="dx",-$T27,$S27),IF(P$41=$B27,IF(P$40="dx",($T27-$R27),($Q27-$S27)),0)))</f>
        <v/>
      </c>
      <c r="Q63" s="619">
        <f>IF(Q$41=$C27,IF(Q$40="dx",$R27,-$Q27),IF(Q$41=$D27,IF(Q$40="dx",-$T27,$S27),IF(Q$41=$B27,IF(Q$40="dx",($T27-$R27),($Q27-$S27)),0)))</f>
        <v/>
      </c>
      <c r="R63" s="625" t="n"/>
      <c r="S63" s="90">
        <f>P27*10000</f>
        <v/>
      </c>
      <c r="T63" s="626" t="n"/>
    </row>
    <row r="64">
      <c r="A64" s="612" t="n"/>
      <c r="B64" s="627">
        <f>IF(B$41=$C28,IF(B$40="dx",$R28,-$Q28),IF(B$41=$D28,IF(B$40="dx",-$T28,$S28),IF(B$41=$B28,IF(B$40="dx",($T28-$R28),($Q28-$S28)),0)))</f>
        <v/>
      </c>
      <c r="C64" s="1">
        <f>IF(C$41=$C28,IF(C$40="dx",$R28,-$Q28),IF(C$41=$D28,IF(C$40="dx",-$T28,$S28),IF(C$41=$B28,IF(C$40="dx",($T28-$R28),($Q28-$S28)),0)))</f>
        <v/>
      </c>
      <c r="D64" s="552">
        <f>IF(D$41=$C28,IF(D$40="dx",$R28,-$Q28),IF(D$41=$D28,IF(D$40="dx",-$T28,$S28),IF(D$41=$B28,IF(D$40="dx",($T28-$R28),($Q28-$S28)),0)))</f>
        <v/>
      </c>
      <c r="E64" s="552">
        <f>IF(E$41=$C28,IF(E$40="dx",$R28,-$Q28),IF(E$41=$D28,IF(E$40="dx",-$T28,$S28),IF(E$41=$B28,IF(E$40="dx",($T28-$R28),($Q28-$S28)),0)))</f>
        <v/>
      </c>
      <c r="F64" s="552">
        <f>IF(F$41=$C28,IF(F$40="dx",$R28,-$Q28),IF(F$41=$D28,IF(F$40="dx",-$T28,$S28),IF(F$41=$B28,IF(F$40="dx",($T28-$R28),($Q28-$S28)),0)))</f>
        <v/>
      </c>
      <c r="G64" s="552">
        <f>IF(G$41=$C28,IF(G$40="dx",$R28,-$Q28),IF(G$41=$D28,IF(G$40="dx",-$T28,$S28),IF(G$41=$B28,IF(G$40="dx",($T28-$R28),($Q28-$S28)),0)))</f>
        <v/>
      </c>
      <c r="H64" s="1">
        <f>IF(H$41=$C28,IF(H$40="dx",$R28,-$Q28),IF(H$41=$D28,IF(H$40="dx",-$T28,$S28),IF(H$41=$B28,IF(H$40="dx",($T28-$R28),($Q28-$S28)),0)))</f>
        <v/>
      </c>
      <c r="I64" s="1">
        <f>IF(I$41=$C28,IF(I$40="dx",$R28,-$Q28),IF(I$41=$D28,IF(I$40="dx",-$T28,$S28),IF(I$41=$B28,IF(I$40="dx",($T28-$R28),($Q28-$S28)),0)))</f>
        <v/>
      </c>
      <c r="J64" s="1">
        <f>IF(J$41=$C28,IF(J$40="dx",$R28,-$Q28),IF(J$41=$D28,IF(J$40="dx",-$T28,$S28),IF(J$41=$B28,IF(J$40="dx",($T28-$R28),($Q28-$S28)),0)))</f>
        <v/>
      </c>
      <c r="K64" s="1">
        <f>IF(K$41=$C28,IF(K$40="dx",$R28,-$Q28),IF(K$41=$D28,IF(K$40="dx",-$T28,$S28),IF(K$41=$B28,IF(K$40="dx",($T28-$R28),($Q28-$S28)),0)))</f>
        <v/>
      </c>
      <c r="L64" s="1">
        <f>IF(L$41=$C28,IF(L$40="dx",$R28,-$Q28),IF(L$41=$D28,IF(L$40="dx",-$T28,$S28),IF(L$41=$B28,IF(L$40="dx",($T28-$R28),($Q28-$S28)),0)))</f>
        <v/>
      </c>
      <c r="M64" s="1">
        <f>IF(M$41=$C28,IF(M$40="dx",$R28,-$Q28),IF(M$41=$D28,IF(M$40="dx",-$T28,$S28),IF(M$41=$B28,IF(M$40="dx",($T28-$R28),($Q28-$S28)),0)))</f>
        <v/>
      </c>
      <c r="N64" s="1">
        <f>IF(N$41=$C28,IF(N$40="dx",$R28,-$Q28),IF(N$41=$D28,IF(N$40="dx",-$T28,$S28),IF(N$41=$B28,IF(N$40="dx",($T28-$R28),($Q28-$S28)),0)))</f>
        <v/>
      </c>
      <c r="O64" s="1">
        <f>IF(O$41=$C28,IF(O$40="dx",$R28,-$Q28),IF(O$41=$D28,IF(O$40="dx",-$T28,$S28),IF(O$41=$B28,IF(O$40="dx",($T28-$R28),($Q28-$S28)),0)))</f>
        <v/>
      </c>
      <c r="P64" s="552">
        <f>IF(P$41=$C28,IF(P$40="dx",$R28,-$Q28),IF(P$41=$D28,IF(P$40="dx",-$T28,$S28),IF(P$41=$B28,IF(P$40="dx",($T28-$R28),($Q28-$S28)),0)))</f>
        <v/>
      </c>
      <c r="Q64" s="619">
        <f>IF(Q$41=$C28,IF(Q$40="dx",$R28,-$Q28),IF(Q$41=$D28,IF(Q$40="dx",-$T28,$S28),IF(Q$41=$B28,IF(Q$40="dx",($T28-$R28),($Q28-$S28)),0)))</f>
        <v/>
      </c>
      <c r="R64" s="628" t="n"/>
      <c r="S64" s="90">
        <f>P28*10000</f>
        <v/>
      </c>
      <c r="T64" s="629" t="n"/>
    </row>
    <row r="65">
      <c r="B65" s="627">
        <f>IF(B$41=$C29,IF(B$40="dx",$R29,-$Q29),IF(B$41=$D29,IF(B$40="dx",-$T29,$S29),IF(B$41=$B29,IF(B$40="dx",($T29-$R29),($Q29-$S29)),0)))</f>
        <v/>
      </c>
      <c r="C65" s="1">
        <f>IF(C$41=$C29,IF(C$40="dx",$R29,-$Q29),IF(C$41=$D29,IF(C$40="dx",-$T29,$S29),IF(C$41=$B29,IF(C$40="dx",($T29-$R29),($Q29-$S29)),0)))</f>
        <v/>
      </c>
      <c r="D65" s="1">
        <f>IF(D$41=$C29,IF(D$40="dx",$R29,-$Q29),IF(D$41=$D29,IF(D$40="dx",-$T29,$S29),IF(D$41=$B29,IF(D$40="dx",($T29-$R29),($Q29-$S29)),0)))</f>
        <v/>
      </c>
      <c r="E65" s="1">
        <f>IF(E$41=$C29,IF(E$40="dx",$R29,-$Q29),IF(E$41=$D29,IF(E$40="dx",-$T29,$S29),IF(E$41=$B29,IF(E$40="dx",($T29-$R29),($Q29-$S29)),0)))</f>
        <v/>
      </c>
      <c r="F65" s="552">
        <f>IF(F$41=$C29,IF(F$40="dx",$R29,-$Q29),IF(F$41=$D29,IF(F$40="dx",-$T29,$S29),IF(F$41=$B29,IF(F$40="dx",($T29-$R29),($Q29-$S29)),0)))</f>
        <v/>
      </c>
      <c r="G65" s="552">
        <f>IF(G$41=$C29,IF(G$40="dx",$R29,-$Q29),IF(G$41=$D29,IF(G$40="dx",-$T29,$S29),IF(G$41=$B29,IF(G$40="dx",($T29-$R29),($Q29-$S29)),0)))</f>
        <v/>
      </c>
      <c r="H65" s="552">
        <f>IF(H$41=$C29,IF(H$40="dx",$R29,-$Q29),IF(H$41=$D29,IF(H$40="dx",-$T29,$S29),IF(H$41=$B29,IF(H$40="dx",($T29-$R29),($Q29-$S29)),0)))</f>
        <v/>
      </c>
      <c r="I65" s="552">
        <f>IF(I$41=$C29,IF(I$40="dx",$R29,-$Q29),IF(I$41=$D29,IF(I$40="dx",-$T29,$S29),IF(I$41=$B29,IF(I$40="dx",($T29-$R29),($Q29-$S29)),0)))</f>
        <v/>
      </c>
      <c r="J65" s="1">
        <f>IF(J$41=$C29,IF(J$40="dx",$R29,-$Q29),IF(J$41=$D29,IF(J$40="dx",-$T29,$S29),IF(J$41=$B29,IF(J$40="dx",($T29-$R29),($Q29-$S29)),0)))</f>
        <v/>
      </c>
      <c r="K65" s="1">
        <f>IF(K$41=$C29,IF(K$40="dx",$R29,-$Q29),IF(K$41=$D29,IF(K$40="dx",-$T29,$S29),IF(K$41=$B29,IF(K$40="dx",($T29-$R29),($Q29-$S29)),0)))</f>
        <v/>
      </c>
      <c r="L65" s="1">
        <f>IF(L$41=$C29,IF(L$40="dx",$R29,-$Q29),IF(L$41=$D29,IF(L$40="dx",-$T29,$S29),IF(L$41=$B29,IF(L$40="dx",($T29-$R29),($Q29-$S29)),0)))</f>
        <v/>
      </c>
      <c r="M65" s="1">
        <f>IF(M$41=$C29,IF(M$40="dx",$R29,-$Q29),IF(M$41=$D29,IF(M$40="dx",-$T29,$S29),IF(M$41=$B29,IF(M$40="dx",($T29-$R29),($Q29-$S29)),0)))</f>
        <v/>
      </c>
      <c r="N65" s="1">
        <f>IF(N$41=$C29,IF(N$40="dx",$R29,-$Q29),IF(N$41=$D29,IF(N$40="dx",-$T29,$S29),IF(N$41=$B29,IF(N$40="dx",($T29-$R29),($Q29-$S29)),0)))</f>
        <v/>
      </c>
      <c r="O65" s="1">
        <f>IF(O$41=$C29,IF(O$40="dx",$R29,-$Q29),IF(O$41=$D29,IF(O$40="dx",-$T29,$S29),IF(O$41=$B29,IF(O$40="dx",($T29-$R29),($Q29-$S29)),0)))</f>
        <v/>
      </c>
      <c r="P65" s="552">
        <f>IF(P$41=$C29,IF(P$40="dx",$R29,-$Q29),IF(P$41=$D29,IF(P$40="dx",-$T29,$S29),IF(P$41=$B29,IF(P$40="dx",($T29-$R29),($Q29-$S29)),0)))</f>
        <v/>
      </c>
      <c r="Q65" s="619">
        <f>IF(Q$41=$C29,IF(Q$40="dx",$R29,-$Q29),IF(Q$41=$D29,IF(Q$40="dx",-$T29,$S29),IF(Q$41=$B29,IF(Q$40="dx",($T29-$R29),($Q29-$S29)),0)))</f>
        <v/>
      </c>
      <c r="R65" s="628" t="n"/>
      <c r="S65" s="90">
        <f>P29*10000</f>
        <v/>
      </c>
      <c r="T65" s="629" t="n"/>
    </row>
    <row r="66">
      <c r="B66" s="627">
        <f>IF(B$41=$C30,IF(B$40="dx",$R30,-$Q30),IF(B$41=$D30,IF(B$40="dx",-$T30,$S30),IF(B$41=$B30,IF(B$40="dx",($T30-$R30),($Q30-$S30)),0)))</f>
        <v/>
      </c>
      <c r="C66" s="1">
        <f>IF(C$41=$C30,IF(C$40="dx",$R30,-$Q30),IF(C$41=$D30,IF(C$40="dx",-$T30,$S30),IF(C$41=$B30,IF(C$40="dx",($T30-$R30),($Q30-$S30)),0)))</f>
        <v/>
      </c>
      <c r="D66" s="1">
        <f>IF(D$41=$C30,IF(D$40="dx",$R30,-$Q30),IF(D$41=$D30,IF(D$40="dx",-$T30,$S30),IF(D$41=$B30,IF(D$40="dx",($T30-$R30),($Q30-$S30)),0)))</f>
        <v/>
      </c>
      <c r="E66" s="1">
        <f>IF(E$41=$C30,IF(E$40="dx",$R30,-$Q30),IF(E$41=$D30,IF(E$40="dx",-$T30,$S30),IF(E$41=$B30,IF(E$40="dx",($T30-$R30),($Q30-$S30)),0)))</f>
        <v/>
      </c>
      <c r="F66" s="1">
        <f>IF(F$41=$C30,IF(F$40="dx",$R30,-$Q30),IF(F$41=$D30,IF(F$40="dx",-$T30,$S30),IF(F$41=$B30,IF(F$40="dx",($T30-$R30),($Q30-$S30)),0)))</f>
        <v/>
      </c>
      <c r="G66" s="1">
        <f>IF(G$41=$C30,IF(G$40="dx",$R30,-$Q30),IF(G$41=$D30,IF(G$40="dx",-$T30,$S30),IF(G$41=$B30,IF(G$40="dx",($T30-$R30),($Q30-$S30)),0)))</f>
        <v/>
      </c>
      <c r="H66" s="552">
        <f>IF(H$41=$C30,IF(H$40="dx",$R30,-$Q30),IF(H$41=$D30,IF(H$40="dx",-$T30,$S30),IF(H$41=$B30,IF(H$40="dx",($T30-$R30),($Q30-$S30)),0)))</f>
        <v/>
      </c>
      <c r="I66" s="552">
        <f>IF(I$41=$C30,IF(I$40="dx",$R30,-$Q30),IF(I$41=$D30,IF(I$40="dx",-$T30,$S30),IF(I$41=$B30,IF(I$40="dx",($T30-$R30),($Q30-$S30)),0)))</f>
        <v/>
      </c>
      <c r="J66" s="1">
        <f>IF(J$41=$C30,IF(J$40="dx",$R30,-$Q30),IF(J$41=$D30,IF(J$40="dx",-$T30,$S30),IF(J$41=$B30,IF(J$40="dx",($T30-$R30),($Q30-$S30)),0)))</f>
        <v/>
      </c>
      <c r="K66" s="1">
        <f>IF(K$41=$C30,IF(K$40="dx",$R30,-$Q30),IF(K$41=$D30,IF(K$40="dx",-$T30,$S30),IF(K$41=$B30,IF(K$40="dx",($T30-$R30),($Q30-$S30)),0)))</f>
        <v/>
      </c>
      <c r="L66" s="552">
        <f>IF(L$41=$C30,IF(L$40="dx",$R30,-$Q30),IF(L$41=$D30,IF(L$40="dx",-$T30,$S30),IF(L$41=$B30,IF(L$40="dx",($T30-$R30),($Q30-$S30)),0)))</f>
        <v/>
      </c>
      <c r="M66" s="552">
        <f>IF(M$41=$C30,IF(M$40="dx",$R30,-$Q30),IF(M$41=$D30,IF(M$40="dx",-$T30,$S30),IF(M$41=$B30,IF(M$40="dx",($T30-$R30),($Q30-$S30)),0)))</f>
        <v/>
      </c>
      <c r="N66" s="1">
        <f>IF(N$41=$C30,IF(N$40="dx",$R30,-$Q30),IF(N$41=$D30,IF(N$40="dx",-$T30,$S30),IF(N$41=$B30,IF(N$40="dx",($T30-$R30),($Q30-$S30)),0)))</f>
        <v/>
      </c>
      <c r="O66" s="1">
        <f>IF(O$41=$C30,IF(O$40="dx",$R30,-$Q30),IF(O$41=$D30,IF(O$40="dx",-$T30,$S30),IF(O$41=$B30,IF(O$40="dx",($T30-$R30),($Q30-$S30)),0)))</f>
        <v/>
      </c>
      <c r="P66" s="552">
        <f>IF(P$41=$C30,IF(P$40="dx",$R30,-$Q30),IF(P$41=$D30,IF(P$40="dx",-$T30,$S30),IF(P$41=$B30,IF(P$40="dx",($T30-$R30),($Q30-$S30)),0)))</f>
        <v/>
      </c>
      <c r="Q66" s="619">
        <f>IF(Q$41=$C30,IF(Q$40="dx",$R30,-$Q30),IF(Q$41=$D30,IF(Q$40="dx",-$T30,$S30),IF(Q$41=$B30,IF(Q$40="dx",($T30-$R30),($Q30-$S30)),0)))</f>
        <v/>
      </c>
      <c r="R66" s="628" t="n"/>
      <c r="S66" s="90">
        <f>P30*10000</f>
        <v/>
      </c>
      <c r="T66" s="629" t="n"/>
    </row>
    <row r="67">
      <c r="B67" s="627">
        <f>IF(B$41=$C31,IF(B$40="dx",$R31,-$Q31),IF(B$41=$D31,IF(B$40="dx",-$T31,$S31),IF(B$41=$B31,IF(B$40="dx",($T31-$R31),($Q31-$S31)),0)))</f>
        <v/>
      </c>
      <c r="C67" s="1">
        <f>IF(C$41=$C31,IF(C$40="dx",$R31,-$Q31),IF(C$41=$D31,IF(C$40="dx",-$T31,$S31),IF(C$41=$B31,IF(C$40="dx",($T31-$R31),($Q31-$S31)),0)))</f>
        <v/>
      </c>
      <c r="D67" s="1">
        <f>IF(D$41=$C31,IF(D$40="dx",$R31,-$Q31),IF(D$41=$D31,IF(D$40="dx",-$T31,$S31),IF(D$41=$B31,IF(D$40="dx",($T31-$R31),($Q31-$S31)),0)))</f>
        <v/>
      </c>
      <c r="E67" s="1">
        <f>IF(E$41=$C31,IF(E$40="dx",$R31,-$Q31),IF(E$41=$D31,IF(E$40="dx",-$T31,$S31),IF(E$41=$B31,IF(E$40="dx",($T31-$R31),($Q31-$S31)),0)))</f>
        <v/>
      </c>
      <c r="F67" s="1">
        <f>IF(F$41=$C31,IF(F$40="dx",$R31,-$Q31),IF(F$41=$D31,IF(F$40="dx",-$T31,$S31),IF(F$41=$B31,IF(F$40="dx",($T31-$R31),($Q31-$S31)),0)))</f>
        <v/>
      </c>
      <c r="G67" s="1">
        <f>IF(G$41=$C31,IF(G$40="dx",$R31,-$Q31),IF(G$41=$D31,IF(G$40="dx",-$T31,$S31),IF(G$41=$B31,IF(G$40="dx",($T31-$R31),($Q31-$S31)),0)))</f>
        <v/>
      </c>
      <c r="H67" s="1">
        <f>IF(H$41=$C31,IF(H$40="dx",$R31,-$Q31),IF(H$41=$D31,IF(H$40="dx",-$T31,$S31),IF(H$41=$B31,IF(H$40="dx",($T31-$R31),($Q31-$S31)),0)))</f>
        <v/>
      </c>
      <c r="I67" s="1">
        <f>IF(I$41=$C31,IF(I$40="dx",$R31,-$Q31),IF(I$41=$D31,IF(I$40="dx",-$T31,$S31),IF(I$41=$B31,IF(I$40="dx",($T31-$R31),($Q31-$S31)),0)))</f>
        <v/>
      </c>
      <c r="J67" s="1">
        <f>IF(J$41=$C31,IF(J$40="dx",$R31,-$Q31),IF(J$41=$D31,IF(J$40="dx",-$T31,$S31),IF(J$41=$B31,IF(J$40="dx",($T31-$R31),($Q31-$S31)),0)))</f>
        <v/>
      </c>
      <c r="K67" s="1">
        <f>IF(K$41=$C31,IF(K$40="dx",$R31,-$Q31),IF(K$41=$D31,IF(K$40="dx",-$T31,$S31),IF(K$41=$B31,IF(K$40="dx",($T31-$R31),($Q31-$S31)),0)))</f>
        <v/>
      </c>
      <c r="L67" s="552">
        <f>IF(L$41=$C31,IF(L$40="dx",$R31,-$Q31),IF(L$41=$D31,IF(L$40="dx",-$T31,$S31),IF(L$41=$B31,IF(L$40="dx",($T31-$R31),($Q31-$S31)),0)))</f>
        <v/>
      </c>
      <c r="M67" s="552">
        <f>IF(M$41=$C31,IF(M$40="dx",$R31,-$Q31),IF(M$41=$D31,IF(M$40="dx",-$T31,$S31),IF(M$41=$B31,IF(M$40="dx",($T31-$R31),($Q31-$S31)),0)))</f>
        <v/>
      </c>
      <c r="N67" s="552">
        <f>IF(N$41=$C31,IF(N$40="dx",$R31,-$Q31),IF(N$41=$D31,IF(N$40="dx",-$T31,$S31),IF(N$41=$B31,IF(N$40="dx",($T31-$R31),($Q31-$S31)),0)))</f>
        <v/>
      </c>
      <c r="O67" s="552">
        <f>IF(O$41=$C31,IF(O$40="dx",$R31,-$Q31),IF(O$41=$D31,IF(O$40="dx",-$T31,$S31),IF(O$41=$B31,IF(O$40="dx",($T31-$R31),($Q31-$S31)),0)))</f>
        <v/>
      </c>
      <c r="P67" s="552">
        <f>IF(P$41=$C31,IF(P$40="dx",$R31,-$Q31),IF(P$41=$D31,IF(P$40="dx",-$T31,$S31),IF(P$41=$B31,IF(P$40="dx",($T31-$R31),($Q31-$S31)),0)))</f>
        <v/>
      </c>
      <c r="Q67" s="619">
        <f>IF(Q$41=$C31,IF(Q$40="dx",$R31,-$Q31),IF(Q$41=$D31,IF(Q$40="dx",-$T31,$S31),IF(Q$41=$B31,IF(Q$40="dx",($T31-$R31),($Q31-$S31)),0)))</f>
        <v/>
      </c>
      <c r="R67" s="628" t="n"/>
      <c r="S67" s="90">
        <f>P31*10000</f>
        <v/>
      </c>
      <c r="T67" s="629" t="n"/>
    </row>
    <row r="68">
      <c r="B68" s="618">
        <f>IF(B$41=$C32,IF(B$40="dx",$R32,-$Q32),IF(B$41=$D32,IF(B$40="dx",-$T32,$S32),IF(B$41=$B32,IF(B$40="dx",($T32-$R32),($Q32-$S32)),0)))</f>
        <v/>
      </c>
      <c r="C68" s="552">
        <f>IF(C$41=$C32,IF(C$40="dx",$R32,-$Q32),IF(C$41=$D32,IF(C$40="dx",-$T32,$S32),IF(C$41=$B32,IF(C$40="dx",($T32-$R32),($Q32-$S32)),0)))</f>
        <v/>
      </c>
      <c r="D68" s="1">
        <f>IF(D$41=$C32,IF(D$40="dx",$R32,-$Q32),IF(D$41=$D32,IF(D$40="dx",-$T32,$S32),IF(D$41=$B32,IF(D$40="dx",($T32-$R32),($Q32-$S32)),0)))</f>
        <v/>
      </c>
      <c r="E68" s="1">
        <f>IF(E$41=$C32,IF(E$40="dx",$R32,-$Q32),IF(E$41=$D32,IF(E$40="dx",-$T32,$S32),IF(E$41=$B32,IF(E$40="dx",($T32-$R32),($Q32-$S32)),0)))</f>
        <v/>
      </c>
      <c r="F68" s="1">
        <f>IF(F$41=$C32,IF(F$40="dx",$R32,-$Q32),IF(F$41=$D32,IF(F$40="dx",-$T32,$S32),IF(F$41=$B32,IF(F$40="dx",($T32-$R32),($Q32-$S32)),0)))</f>
        <v/>
      </c>
      <c r="G68" s="1">
        <f>IF(G$41=$C32,IF(G$40="dx",$R32,-$Q32),IF(G$41=$D32,IF(G$40="dx",-$T32,$S32),IF(G$41=$B32,IF(G$40="dx",($T32-$R32),($Q32-$S32)),0)))</f>
        <v/>
      </c>
      <c r="H68" s="1">
        <f>IF(H$41=$C32,IF(H$40="dx",$R32,-$Q32),IF(H$41=$D32,IF(H$40="dx",-$T32,$S32),IF(H$41=$B32,IF(H$40="dx",($T32-$R32),($Q32-$S32)),0)))</f>
        <v/>
      </c>
      <c r="I68" s="1">
        <f>IF(I$41=$C32,IF(I$40="dx",$R32,-$Q32),IF(I$41=$D32,IF(I$40="dx",-$T32,$S32),IF(I$41=$B32,IF(I$40="dx",($T32-$R32),($Q32-$S32)),0)))</f>
        <v/>
      </c>
      <c r="J68" s="1">
        <f>IF(J$41=$C32,IF(J$40="dx",$R32,-$Q32),IF(J$41=$D32,IF(J$40="dx",-$T32,$S32),IF(J$41=$B32,IF(J$40="dx",($T32-$R32),($Q32-$S32)),0)))</f>
        <v/>
      </c>
      <c r="K68" s="1">
        <f>IF(K$41=$C32,IF(K$40="dx",$R32,-$Q32),IF(K$41=$D32,IF(K$40="dx",-$T32,$S32),IF(K$41=$B32,IF(K$40="dx",($T32-$R32),($Q32-$S32)),0)))</f>
        <v/>
      </c>
      <c r="L68" s="1">
        <f>IF(L$41=$C32,IF(L$40="dx",$R32,-$Q32),IF(L$41=$D32,IF(L$40="dx",-$T32,$S32),IF(L$41=$B32,IF(L$40="dx",($T32-$R32),($Q32-$S32)),0)))</f>
        <v/>
      </c>
      <c r="M68" s="1">
        <f>IF(M$41=$C32,IF(M$40="dx",$R32,-$Q32),IF(M$41=$D32,IF(M$40="dx",-$T32,$S32),IF(M$41=$B32,IF(M$40="dx",($T32-$R32),($Q32-$S32)),0)))</f>
        <v/>
      </c>
      <c r="N68" s="552">
        <f>IF(N$41=$C32,IF(N$40="dx",$R32,-$Q32),IF(N$41=$D32,IF(N$40="dx",-$T32,$S32),IF(N$41=$B32,IF(N$40="dx",($T32-$R32),($Q32-$S32)),0)))</f>
        <v/>
      </c>
      <c r="O68" s="552">
        <f>IF(O$41=$C32,IF(O$40="dx",$R32,-$Q32),IF(O$41=$D32,IF(O$40="dx",-$T32,$S32),IF(O$41=$B32,IF(O$40="dx",($T32-$R32),($Q32-$S32)),0)))</f>
        <v/>
      </c>
      <c r="P68" s="552">
        <f>IF(P$41=$C32,IF(P$40="dx",$R32,-$Q32),IF(P$41=$D32,IF(P$40="dx",-$T32,$S32),IF(P$41=$B32,IF(P$40="dx",($T32-$R32),($Q32-$S32)),0)))</f>
        <v/>
      </c>
      <c r="Q68" s="619">
        <f>IF(Q$41=$C32,IF(Q$40="dx",$R32,-$Q32),IF(Q$41=$D32,IF(Q$40="dx",-$T32,$S32),IF(Q$41=$B32,IF(Q$40="dx",($T32-$R32),($Q32-$S32)),0)))</f>
        <v/>
      </c>
      <c r="R68" s="628" t="n"/>
      <c r="S68" s="90">
        <f>P32*10000</f>
        <v/>
      </c>
      <c r="T68" s="629" t="n"/>
    </row>
    <row r="69">
      <c r="B69" s="627">
        <f>IF(B$41=$C33,IF(B$40="dx",$R33,-$Q33),IF(B$41=$D33,IF(B$40="dx",-$T33,$S33),IF(B$41=$B33,IF(B$40="dx",($T33-$R33),($Q33-$S33)),0)))</f>
        <v/>
      </c>
      <c r="C69" s="1">
        <f>IF(C$41=$C33,IF(C$40="dx",$R33,-$Q33),IF(C$41=$D33,IF(C$40="dx",-$T33,$S33),IF(C$41=$B33,IF(C$40="dx",($T33-$R33),($Q33-$S33)),0)))</f>
        <v/>
      </c>
      <c r="D69" s="1">
        <f>IF(D$41=$C33,IF(D$40="dx",$R33,-$Q33),IF(D$41=$D33,IF(D$40="dx",-$T33,$S33),IF(D$41=$B33,IF(D$40="dx",($T33-$R33),($Q33-$S33)),0)))</f>
        <v/>
      </c>
      <c r="E69" s="1">
        <f>IF(E$41=$C33,IF(E$40="dx",$R33,-$Q33),IF(E$41=$D33,IF(E$40="dx",-$T33,$S33),IF(E$41=$B33,IF(E$40="dx",($T33-$R33),($Q33-$S33)),0)))</f>
        <v/>
      </c>
      <c r="F69" s="1">
        <f>IF(F$41=$C33,IF(F$40="dx",$R33,-$Q33),IF(F$41=$D33,IF(F$40="dx",-$T33,$S33),IF(F$41=$B33,IF(F$40="dx",($T33-$R33),($Q33-$S33)),0)))</f>
        <v/>
      </c>
      <c r="G69" s="1">
        <f>IF(G$41=$C33,IF(G$40="dx",$R33,-$Q33),IF(G$41=$D33,IF(G$40="dx",-$T33,$S33),IF(G$41=$B33,IF(G$40="dx",($T33-$R33),($Q33-$S33)),0)))</f>
        <v/>
      </c>
      <c r="H69" s="1">
        <f>IF(H$41=$C33,IF(H$40="dx",$R33,-$Q33),IF(H$41=$D33,IF(H$40="dx",-$T33,$S33),IF(H$41=$B33,IF(H$40="dx",($T33-$R33),($Q33-$S33)),0)))</f>
        <v/>
      </c>
      <c r="I69" s="1">
        <f>IF(I$41=$C33,IF(I$40="dx",$R33,-$Q33),IF(I$41=$D33,IF(I$40="dx",-$T33,$S33),IF(I$41=$B33,IF(I$40="dx",($T33-$R33),($Q33-$S33)),0)))</f>
        <v/>
      </c>
      <c r="J69" s="552">
        <f>IF(J$41=$C33,IF(J$40="dx",$R33,-$Q33),IF(J$41=$D33,IF(J$40="dx",-$T33,$S33),IF(J$41=$B33,IF(J$40="dx",($T33-$R33),($Q33-$S33)),0)))</f>
        <v/>
      </c>
      <c r="K69" s="552">
        <f>IF(K$41=$C33,IF(K$40="dx",$R33,-$Q33),IF(K$41=$D33,IF(K$40="dx",-$T33,$S33),IF(K$41=$B33,IF(K$40="dx",($T33-$R33),($Q33-$S33)),0)))</f>
        <v/>
      </c>
      <c r="L69" s="552">
        <f>IF(L$41=$C33,IF(L$40="dx",$R33,-$Q33),IF(L$41=$D33,IF(L$40="dx",-$T33,$S33),IF(L$41=$B33,IF(L$40="dx",($T33-$R33),($Q33-$S33)),0)))</f>
        <v/>
      </c>
      <c r="M69" s="552">
        <f>IF(M$41=$C33,IF(M$40="dx",$R33,-$Q33),IF(M$41=$D33,IF(M$40="dx",-$T33,$S33),IF(M$41=$B33,IF(M$40="dx",($T33-$R33),($Q33-$S33)),0)))</f>
        <v/>
      </c>
      <c r="N69" s="552">
        <f>IF(N$41=$C33,IF(N$40="dx",$R33,-$Q33),IF(N$41=$D33,IF(N$40="dx",-$T33,$S33),IF(N$41=$B33,IF(N$40="dx",($T33-$R33),($Q33-$S33)),0)))</f>
        <v/>
      </c>
      <c r="O69" s="552">
        <f>IF(O$41=$C33,IF(O$40="dx",$R33,-$Q33),IF(O$41=$D33,IF(O$40="dx",-$T33,$S33),IF(O$41=$B33,IF(O$40="dx",($T33-$R33),($Q33-$S33)),0)))</f>
        <v/>
      </c>
      <c r="P69" s="1">
        <f>IF(P$41=$C33,IF(P$40="dx",$R33,-$Q33),IF(P$41=$D33,IF(P$40="dx",-$T33,$S33),IF(P$41=$B33,IF(P$40="dx",($T33-$R33),($Q33-$S33)),0)))</f>
        <v/>
      </c>
      <c r="Q69" s="630">
        <f>IF(Q$41=$C33,IF(Q$40="dx",$R33,-$Q33),IF(Q$41=$D33,IF(Q$40="dx",-$T33,$S33),IF(Q$41=$B33,IF(Q$40="dx",($T33-$R33),($Q33-$S33)),0)))</f>
        <v/>
      </c>
      <c r="R69" s="628" t="n"/>
      <c r="S69" s="90">
        <f>P33*10000</f>
        <v/>
      </c>
      <c r="T69" s="629" t="n"/>
    </row>
    <row r="70">
      <c r="B70" s="627">
        <f>IF(B$41=$C34,IF(B$40="dx",$R34,-$Q34),IF(B$41=$D34,IF(B$40="dx",-$T34,$S34),IF(B$41=$B34,IF(B$40="dx",($T34-$R34),($Q34-$S34)),0)))</f>
        <v/>
      </c>
      <c r="C70" s="1">
        <f>IF(C$41=$C34,IF(C$40="dx",$R34,-$Q34),IF(C$41=$D34,IF(C$40="dx",-$T34,$S34),IF(C$41=$B34,IF(C$40="dx",($T34-$R34),($Q34-$S34)),0)))</f>
        <v/>
      </c>
      <c r="D70" s="1">
        <f>IF(D$41=$C34,IF(D$40="dx",$R34,-$Q34),IF(D$41=$D34,IF(D$40="dx",-$T34,$S34),IF(D$41=$B34,IF(D$40="dx",($T34-$R34),($Q34-$S34)),0)))</f>
        <v/>
      </c>
      <c r="E70" s="1">
        <f>IF(E$41=$C34,IF(E$40="dx",$R34,-$Q34),IF(E$41=$D34,IF(E$40="dx",-$T34,$S34),IF(E$41=$B34,IF(E$40="dx",($T34-$R34),($Q34-$S34)),0)))</f>
        <v/>
      </c>
      <c r="F70" s="1">
        <f>IF(F$41=$C34,IF(F$40="dx",$R34,-$Q34),IF(F$41=$D34,IF(F$40="dx",-$T34,$S34),IF(F$41=$B34,IF(F$40="dx",($T34-$R34),($Q34-$S34)),0)))</f>
        <v/>
      </c>
      <c r="G70" s="1">
        <f>IF(G$41=$C34,IF(G$40="dx",$R34,-$Q34),IF(G$41=$D34,IF(G$40="dx",-$T34,$S34),IF(G$41=$B34,IF(G$40="dx",($T34-$R34),($Q34-$S34)),0)))</f>
        <v/>
      </c>
      <c r="H70" s="1">
        <f>IF(H$41=$C34,IF(H$40="dx",$R34,-$Q34),IF(H$41=$D34,IF(H$40="dx",-$T34,$S34),IF(H$41=$B34,IF(H$40="dx",($T34-$R34),($Q34-$S34)),0)))</f>
        <v/>
      </c>
      <c r="I70" s="1">
        <f>IF(I$41=$C34,IF(I$40="dx",$R34,-$Q34),IF(I$41=$D34,IF(I$40="dx",-$T34,$S34),IF(I$41=$B34,IF(I$40="dx",($T34-$R34),($Q34-$S34)),0)))</f>
        <v/>
      </c>
      <c r="J70" s="552">
        <f>IF(J$41=$C34,IF(J$40="dx",$R34,-$Q34),IF(J$41=$D34,IF(J$40="dx",-$T34,$S34),IF(J$41=$B34,IF(J$40="dx",($T34-$R34),($Q34-$S34)),0)))</f>
        <v/>
      </c>
      <c r="K70" s="552">
        <f>IF(K$41=$C34,IF(K$40="dx",$R34,-$Q34),IF(K$41=$D34,IF(K$40="dx",-$T34,$S34),IF(K$41=$B34,IF(K$40="dx",($T34-$R34),($Q34-$S34)),0)))</f>
        <v/>
      </c>
      <c r="L70" s="552">
        <f>IF(L$41=$C34,IF(L$40="dx",$R34,-$Q34),IF(L$41=$D34,IF(L$40="dx",-$T34,$S34),IF(L$41=$B34,IF(L$40="dx",($T34-$R34),($Q34-$S34)),0)))</f>
        <v/>
      </c>
      <c r="M70" s="552">
        <f>IF(M$41=$C34,IF(M$40="dx",$R34,-$Q34),IF(M$41=$D34,IF(M$40="dx",-$T34,$S34),IF(M$41=$B34,IF(M$40="dx",($T34-$R34),($Q34-$S34)),0)))</f>
        <v/>
      </c>
      <c r="N70" s="1">
        <f>IF(N$41=$C34,IF(N$40="dx",$R34,-$Q34),IF(N$41=$D34,IF(N$40="dx",-$T34,$S34),IF(N$41=$B34,IF(N$40="dx",($T34-$R34),($Q34-$S34)),0)))</f>
        <v/>
      </c>
      <c r="O70" s="1">
        <f>IF(O$41=$C34,IF(O$40="dx",$R34,-$Q34),IF(O$41=$D34,IF(O$40="dx",-$T34,$S34),IF(O$41=$B34,IF(O$40="dx",($T34-$R34),($Q34-$S34)),0)))</f>
        <v/>
      </c>
      <c r="P70" s="552">
        <f>IF(P$41=$C34,IF(P$40="dx",$R34,-$Q34),IF(P$41=$D34,IF(P$40="dx",-$T34,$S34),IF(P$41=$B34,IF(P$40="dx",($T34-$R34),($Q34-$S34)),0)))</f>
        <v/>
      </c>
      <c r="Q70" s="619">
        <f>IF(Q$41=$C34,IF(Q$40="dx",$R34,-$Q34),IF(Q$41=$D34,IF(Q$40="dx",-$T34,$S34),IF(Q$41=$B34,IF(Q$40="dx",($T34-$R34),($Q34-$S34)),0)))</f>
        <v/>
      </c>
      <c r="R70" s="628" t="n"/>
      <c r="S70" s="90">
        <f>P34*10000</f>
        <v/>
      </c>
      <c r="T70" s="629" t="n"/>
    </row>
    <row r="71">
      <c r="B71" s="627">
        <f>IF(B$41=$C35,IF(B$40="dx",$R35,-$Q35),IF(B$41=$D35,IF(B$40="dx",-$T35,$S35),IF(B$41=$B35,IF(B$40="dx",($T35-$R35),($Q35-$S35)),0)))</f>
        <v/>
      </c>
      <c r="C71" s="1">
        <f>IF(C$41=$C35,IF(C$40="dx",$R35,-$Q35),IF(C$41=$D35,IF(C$40="dx",-$T35,$S35),IF(C$41=$B35,IF(C$40="dx",($T35-$R35),($Q35-$S35)),0)))</f>
        <v/>
      </c>
      <c r="D71" s="1">
        <f>IF(D$41=$C35,IF(D$40="dx",$R35,-$Q35),IF(D$41=$D35,IF(D$40="dx",-$T35,$S35),IF(D$41=$B35,IF(D$40="dx",($T35-$R35),($Q35-$S35)),0)))</f>
        <v/>
      </c>
      <c r="E71" s="1">
        <f>IF(E$41=$C35,IF(E$40="dx",$R35,-$Q35),IF(E$41=$D35,IF(E$40="dx",-$T35,$S35),IF(E$41=$B35,IF(E$40="dx",($T35-$R35),($Q35-$S35)),0)))</f>
        <v/>
      </c>
      <c r="F71" s="1">
        <f>IF(F$41=$C35,IF(F$40="dx",$R35,-$Q35),IF(F$41=$D35,IF(F$40="dx",-$T35,$S35),IF(F$41=$B35,IF(F$40="dx",($T35-$R35),($Q35-$S35)),0)))</f>
        <v/>
      </c>
      <c r="G71" s="1">
        <f>IF(G$41=$C35,IF(G$40="dx",$R35,-$Q35),IF(G$41=$D35,IF(G$40="dx",-$T35,$S35),IF(G$41=$B35,IF(G$40="dx",($T35-$R35),($Q35-$S35)),0)))</f>
        <v/>
      </c>
      <c r="H71" s="552">
        <f>IF(H$41=$C35,IF(H$40="dx",$R35,-$Q35),IF(H$41=$D35,IF(H$40="dx",-$T35,$S35),IF(H$41=$B35,IF(H$40="dx",($T35-$R35),($Q35-$S35)),0)))</f>
        <v/>
      </c>
      <c r="I71" s="552">
        <f>IF(I$41=$C35,IF(I$40="dx",$R35,-$Q35),IF(I$41=$D35,IF(I$40="dx",-$T35,$S35),IF(I$41=$B35,IF(I$40="dx",($T35-$R35),($Q35-$S35)),0)))</f>
        <v/>
      </c>
      <c r="J71" s="552">
        <f>IF(J$41=$C35,IF(J$40="dx",$R35,-$Q35),IF(J$41=$D35,IF(J$40="dx",-$T35,$S35),IF(J$41=$B35,IF(J$40="dx",($T35-$R35),($Q35-$S35)),0)))</f>
        <v/>
      </c>
      <c r="K71" s="552">
        <f>IF(K$41=$C35,IF(K$40="dx",$R35,-$Q35),IF(K$41=$D35,IF(K$40="dx",-$T35,$S35),IF(K$41=$B35,IF(K$40="dx",($T35-$R35),($Q35-$S35)),0)))</f>
        <v/>
      </c>
      <c r="L71" s="1">
        <f>IF(L$41=$C35,IF(L$40="dx",$R35,-$Q35),IF(L$41=$D35,IF(L$40="dx",-$T35,$S35),IF(L$41=$B35,IF(L$40="dx",($T35-$R35),($Q35-$S35)),0)))</f>
        <v/>
      </c>
      <c r="M71" s="1">
        <f>IF(M$41=$C35,IF(M$40="dx",$R35,-$Q35),IF(M$41=$D35,IF(M$40="dx",-$T35,$S35),IF(M$41=$B35,IF(M$40="dx",($T35-$R35),($Q35-$S35)),0)))</f>
        <v/>
      </c>
      <c r="N71" s="1">
        <f>IF(N$41=$C35,IF(N$40="dx",$R35,-$Q35),IF(N$41=$D35,IF(N$40="dx",-$T35,$S35),IF(N$41=$B35,IF(N$40="dx",($T35-$R35),($Q35-$S35)),0)))</f>
        <v/>
      </c>
      <c r="O71" s="1">
        <f>IF(O$41=$C35,IF(O$40="dx",$R35,-$Q35),IF(O$41=$D35,IF(O$40="dx",-$T35,$S35),IF(O$41=$B35,IF(O$40="dx",($T35-$R35),($Q35-$S35)),0)))</f>
        <v/>
      </c>
      <c r="P71" s="552">
        <f>IF(P$41=$C35,IF(P$40="dx",$R35,-$Q35),IF(P$41=$D35,IF(P$40="dx",-$T35,$S35),IF(P$41=$B35,IF(P$40="dx",($T35-$R35),($Q35-$S35)),0)))</f>
        <v/>
      </c>
      <c r="Q71" s="619">
        <f>IF(Q$41=$C35,IF(Q$40="dx",$R35,-$Q35),IF(Q$41=$D35,IF(Q$40="dx",-$T35,$S35),IF(Q$41=$B35,IF(Q$40="dx",($T35-$R35),($Q35-$S35)),0)))</f>
        <v/>
      </c>
      <c r="R71" s="628" t="n"/>
      <c r="S71" s="90">
        <f>P35*10000</f>
        <v/>
      </c>
      <c r="T71" s="629" t="n"/>
    </row>
    <row r="72">
      <c r="B72" s="627">
        <f>IF(B$41=$C36,IF(B$40="dx",$R36,-$Q36),IF(B$41=$D36,IF(B$40="dx",-$T36,$S36),IF(B$41=$B36,IF(B$40="dx",($T36-$R36),($Q36-$S36)),0)))</f>
        <v/>
      </c>
      <c r="C72" s="1">
        <f>IF(C$41=$C36,IF(C$40="dx",$R36,-$Q36),IF(C$41=$D36,IF(C$40="dx",-$T36,$S36),IF(C$41=$B36,IF(C$40="dx",($T36-$R36),($Q36-$S36)),0)))</f>
        <v/>
      </c>
      <c r="D72" s="1">
        <f>IF(D$41=$C36,IF(D$40="dx",$R36,-$Q36),IF(D$41=$D36,IF(D$40="dx",-$T36,$S36),IF(D$41=$B36,IF(D$40="dx",($T36-$R36),($Q36-$S36)),0)))</f>
        <v/>
      </c>
      <c r="E72" s="1">
        <f>IF(E$41=$C36,IF(E$40="dx",$R36,-$Q36),IF(E$41=$D36,IF(E$40="dx",-$T36,$S36),IF(E$41=$B36,IF(E$40="dx",($T36-$R36),($Q36-$S36)),0)))</f>
        <v/>
      </c>
      <c r="F72" s="1">
        <f>IF(F$41=$C36,IF(F$40="dx",$R36,-$Q36),IF(F$41=$D36,IF(F$40="dx",-$T36,$S36),IF(F$41=$B36,IF(F$40="dx",($T36-$R36),($Q36-$S36)),0)))</f>
        <v/>
      </c>
      <c r="G72" s="1">
        <f>IF(G$41=$C36,IF(G$40="dx",$R36,-$Q36),IF(G$41=$D36,IF(G$40="dx",-$T36,$S36),IF(G$41=$B36,IF(G$40="dx",($T36-$R36),($Q36-$S36)),0)))</f>
        <v/>
      </c>
      <c r="H72" s="552">
        <f>IF(H$41=$C36,IF(H$40="dx",$R36,-$Q36),IF(H$41=$D36,IF(H$40="dx",-$T36,$S36),IF(H$41=$B36,IF(H$40="dx",($T36-$R36),($Q36-$S36)),0)))</f>
        <v/>
      </c>
      <c r="I72" s="552">
        <f>IF(I$41=$C36,IF(I$40="dx",$R36,-$Q36),IF(I$41=$D36,IF(I$40="dx",-$T36,$S36),IF(I$41=$B36,IF(I$40="dx",($T36-$R36),($Q36-$S36)),0)))</f>
        <v/>
      </c>
      <c r="J72" s="552">
        <f>IF(J$41=$C36,IF(J$40="dx",$R36,-$Q36),IF(J$41=$D36,IF(J$40="dx",-$T36,$S36),IF(J$41=$B36,IF(J$40="dx",($T36-$R36),($Q36-$S36)),0)))</f>
        <v/>
      </c>
      <c r="K72" s="552">
        <f>IF(K$41=$C36,IF(K$40="dx",$R36,-$Q36),IF(K$41=$D36,IF(K$40="dx",-$T36,$S36),IF(K$41=$B36,IF(K$40="dx",($T36-$R36),($Q36-$S36)),0)))</f>
        <v/>
      </c>
      <c r="L72" s="552">
        <f>IF(L$41=$C36,IF(L$40="dx",$R36,-$Q36),IF(L$41=$D36,IF(L$40="dx",-$T36,$S36),IF(L$41=$B36,IF(L$40="dx",($T36-$R36),($Q36-$S36)),0)))</f>
        <v/>
      </c>
      <c r="M72" s="552">
        <f>IF(M$41=$C36,IF(M$40="dx",$R36,-$Q36),IF(M$41=$D36,IF(M$40="dx",-$T36,$S36),IF(M$41=$B36,IF(M$40="dx",($T36-$R36),($Q36-$S36)),0)))</f>
        <v/>
      </c>
      <c r="N72" s="1">
        <f>IF(N$41=$C36,IF(N$40="dx",$R36,-$Q36),IF(N$41=$D36,IF(N$40="dx",-$T36,$S36),IF(N$41=$B36,IF(N$40="dx",($T36-$R36),($Q36-$S36)),0)))</f>
        <v/>
      </c>
      <c r="O72" s="1">
        <f>IF(O$41=$C36,IF(O$40="dx",$R36,-$Q36),IF(O$41=$D36,IF(O$40="dx",-$T36,$S36),IF(O$41=$B36,IF(O$40="dx",($T36-$R36),($Q36-$S36)),0)))</f>
        <v/>
      </c>
      <c r="P72" s="1">
        <f>IF(P$41=$C36,IF(P$40="dx",$R36,-$Q36),IF(P$41=$D36,IF(P$40="dx",-$T36,$S36),IF(P$41=$B36,IF(P$40="dx",($T36-$R36),($Q36-$S36)),0)))</f>
        <v/>
      </c>
      <c r="Q72" s="630">
        <f>IF(Q$41=$C36,IF(Q$40="dx",$R36,-$Q36),IF(Q$41=$D36,IF(Q$40="dx",-$T36,$S36),IF(Q$41=$B36,IF(Q$40="dx",($T36-$R36),($Q36-$S36)),0)))</f>
        <v/>
      </c>
      <c r="R72" s="628" t="n"/>
      <c r="S72" s="90">
        <f>P36*10000</f>
        <v/>
      </c>
      <c r="T72" s="629" t="n"/>
    </row>
    <row r="73">
      <c r="B73" s="627">
        <f>IF(B$41=$C37,IF(B$40="dx",$R37,-$Q37),IF(B$41=$D37,IF(B$40="dx",-$T37,$S37),IF(B$41=$B37,IF(B$40="dx",($T37-$R37),($Q37-$S37)),0)))</f>
        <v/>
      </c>
      <c r="C73" s="14">
        <f>IF(C$41=$C37,IF(C$40="dx",$R37,-$Q37),IF(C$41=$D37,IF(C$40="dx",-$T37,$S37),IF(C$41=$B37,IF(C$40="dx",($T37-$R37),($Q37-$S37)),0)))</f>
        <v/>
      </c>
      <c r="D73" s="14">
        <f>IF(D$41=$C37,IF(D$40="dx",$R37,-$Q37),IF(D$41=$D37,IF(D$40="dx",-$T37,$S37),IF(D$41=$B37,IF(D$40="dx",($T37-$R37),($Q37-$S37)),0)))</f>
        <v/>
      </c>
      <c r="E73" s="14">
        <f>IF(E$41=$C37,IF(E$40="dx",$R37,-$Q37),IF(E$41=$D37,IF(E$40="dx",-$T37,$S37),IF(E$41=$B37,IF(E$40="dx",($T37-$R37),($Q37-$S37)),0)))</f>
        <v/>
      </c>
      <c r="F73" s="14">
        <f>IF(F$41=$C37,IF(F$40="dx",$R37,-$Q37),IF(F$41=$D37,IF(F$40="dx",-$T37,$S37),IF(F$41=$B37,IF(F$40="dx",($T37-$R37),($Q37-$S37)),0)))</f>
        <v/>
      </c>
      <c r="G73" s="14">
        <f>IF(G$41=$C37,IF(G$40="dx",$R37,-$Q37),IF(G$41=$D37,IF(G$40="dx",-$T37,$S37),IF(G$41=$B37,IF(G$40="dx",($T37-$R37),($Q37-$S37)),0)))</f>
        <v/>
      </c>
      <c r="H73" s="552">
        <f>IF(H$41=$C37,IF(H$40="dx",$R37,-$Q37),IF(H$41=$D37,IF(H$40="dx",-$T37,$S37),IF(H$41=$B37,IF(H$40="dx",($T37-$R37),($Q37-$S37)),0)))</f>
        <v/>
      </c>
      <c r="I73" s="552">
        <f>IF(I$41=$C37,IF(I$40="dx",$R37,-$Q37),IF(I$41=$D37,IF(I$40="dx",-$T37,$S37),IF(I$41=$B37,IF(I$40="dx",($T37-$R37),($Q37-$S37)),0)))</f>
        <v/>
      </c>
      <c r="J73" s="14">
        <f>IF(J$41=$C37,IF(J$40="dx",$R37,-$Q37),IF(J$41=$D37,IF(J$40="dx",-$T37,$S37),IF(J$41=$B37,IF(J$40="dx",($T37-$R37),($Q37-$S37)),0)))</f>
        <v/>
      </c>
      <c r="K73" s="14">
        <f>IF(K$41=$C37,IF(K$40="dx",$R37,-$Q37),IF(K$41=$D37,IF(K$40="dx",-$T37,$S37),IF(K$41=$B37,IF(K$40="dx",($T37-$R37),($Q37-$S37)),0)))</f>
        <v/>
      </c>
      <c r="L73" s="552">
        <f>IF(L$41=$C37,IF(L$40="dx",$R37,-$Q37),IF(L$41=$D37,IF(L$40="dx",-$T37,$S37),IF(L$41=$B37,IF(L$40="dx",($T37-$R37),($Q37-$S37)),0)))</f>
        <v/>
      </c>
      <c r="M73" s="552">
        <f>IF(M$41=$C37,IF(M$40="dx",$R37,-$Q37),IF(M$41=$D37,IF(M$40="dx",-$T37,$S37),IF(M$41=$B37,IF(M$40="dx",($T37-$R37),($Q37-$S37)),0)))</f>
        <v/>
      </c>
      <c r="N73" s="14">
        <f>IF(N$41=$C37,IF(N$40="dx",$R37,-$Q37),IF(N$41=$D37,IF(N$40="dx",-$T37,$S37),IF(N$41=$B37,IF(N$40="dx",($T37-$R37),($Q37-$S37)),0)))</f>
        <v/>
      </c>
      <c r="O73" s="14">
        <f>IF(O$41=$C37,IF(O$40="dx",$R37,-$Q37),IF(O$41=$D37,IF(O$40="dx",-$T37,$S37),IF(O$41=$B37,IF(O$40="dx",($T37-$R37),($Q37-$S37)),0)))</f>
        <v/>
      </c>
      <c r="P73" s="552">
        <f>IF(P$41=$C37,IF(P$40="dx",$R37,-$Q37),IF(P$41=$D37,IF(P$40="dx",-$T37,$S37),IF(P$41=$B37,IF(P$40="dx",($T37-$R37),($Q37-$S37)),0)))</f>
        <v/>
      </c>
      <c r="Q73" s="619">
        <f>IF(Q$41=$C37,IF(Q$40="dx",$R37,-$Q37),IF(Q$41=$D37,IF(Q$40="dx",-$T37,$S37),IF(Q$41=$B37,IF(Q$40="dx",($T37-$R37),($Q37-$S37)),0)))</f>
        <v/>
      </c>
      <c r="R73" s="628" t="n"/>
      <c r="S73" s="91">
        <f>P37*10000</f>
        <v/>
      </c>
      <c r="T73" s="629" t="n"/>
    </row>
    <row r="74" ht="15.95" customHeight="1">
      <c r="B74" s="631" t="n"/>
      <c r="C74" s="632" t="n"/>
      <c r="D74" s="632" t="n"/>
      <c r="E74" s="632" t="n"/>
      <c r="F74" s="633" t="n"/>
      <c r="G74" s="633" t="n"/>
      <c r="H74" s="633" t="n"/>
      <c r="I74" s="633" t="n"/>
      <c r="J74" s="632" t="n"/>
      <c r="K74" s="632" t="n"/>
      <c r="L74" s="632" t="n"/>
      <c r="M74" s="632" t="n"/>
      <c r="N74" s="632" t="n"/>
      <c r="O74" s="632" t="n"/>
      <c r="P74" s="633" t="n"/>
      <c r="Q74" s="634" t="n"/>
      <c r="R74" s="635" t="n"/>
      <c r="S74" s="23" t="n"/>
      <c r="T74" s="636" t="n"/>
    </row>
    <row r="75">
      <c r="B75" s="263" t="inlineStr">
        <is>
          <t>A</t>
        </is>
      </c>
      <c r="C75" s="506" t="n"/>
      <c r="D75" s="506" t="n"/>
      <c r="E75" s="506" t="n"/>
      <c r="F75" s="506" t="n"/>
      <c r="G75" s="506" t="n"/>
      <c r="H75" s="506" t="n"/>
      <c r="I75" s="506" t="n"/>
      <c r="J75" s="506" t="n"/>
      <c r="K75" s="506" t="n"/>
      <c r="L75" s="506" t="n"/>
      <c r="M75" s="506" t="n"/>
      <c r="N75" s="506" t="n"/>
      <c r="O75" s="506" t="n"/>
      <c r="P75" s="506" t="n"/>
      <c r="Q75" s="637" t="n"/>
      <c r="S75" s="260" t="inlineStr">
        <is>
          <t>L</t>
        </is>
      </c>
    </row>
    <row r="76" ht="15.95" customHeight="1">
      <c r="B76" s="73">
        <f>B42/$L4</f>
        <v/>
      </c>
      <c r="C76" s="74">
        <f>C42/$L4</f>
        <v/>
      </c>
      <c r="D76" s="74">
        <f>D42/$L4</f>
        <v/>
      </c>
      <c r="E76" s="74">
        <f>E42/$L4</f>
        <v/>
      </c>
      <c r="F76" s="74">
        <f>F42/$L4</f>
        <v/>
      </c>
      <c r="G76" s="74">
        <f>G42/$L4</f>
        <v/>
      </c>
      <c r="H76" s="74">
        <f>H42/$L4</f>
        <v/>
      </c>
      <c r="I76" s="74">
        <f>I42/$L4</f>
        <v/>
      </c>
      <c r="J76" s="74">
        <f>J42/$L4</f>
        <v/>
      </c>
      <c r="K76" s="74">
        <f>K42/$L4</f>
        <v/>
      </c>
      <c r="L76" s="74">
        <f>L42/$L4</f>
        <v/>
      </c>
      <c r="M76" s="74">
        <f>M42/$L4</f>
        <v/>
      </c>
      <c r="N76" s="74">
        <f>N42/$L4</f>
        <v/>
      </c>
      <c r="O76" s="74">
        <f>O42/$L4</f>
        <v/>
      </c>
      <c r="P76" s="74">
        <f>P42/$L4</f>
        <v/>
      </c>
      <c r="Q76" s="95">
        <f>Q42/$L4</f>
        <v/>
      </c>
      <c r="S76" s="75">
        <f>S42/$L4</f>
        <v/>
      </c>
    </row>
    <row r="77">
      <c r="B77" s="638">
        <f>B43/$L5</f>
        <v/>
      </c>
      <c r="C77" s="599">
        <f>C43/$L5</f>
        <v/>
      </c>
      <c r="D77" s="599">
        <f>D43/$L5</f>
        <v/>
      </c>
      <c r="E77" s="599">
        <f>E43/$L5</f>
        <v/>
      </c>
      <c r="F77" s="599">
        <f>F43/$L5</f>
        <v/>
      </c>
      <c r="G77" s="599">
        <f>G43/$L5</f>
        <v/>
      </c>
      <c r="H77" s="599">
        <f>H43/$L5</f>
        <v/>
      </c>
      <c r="I77" s="599">
        <f>I43/$L5</f>
        <v/>
      </c>
      <c r="J77" s="599">
        <f>J43/$L5</f>
        <v/>
      </c>
      <c r="K77" s="599">
        <f>K43/$L5</f>
        <v/>
      </c>
      <c r="L77" s="599">
        <f>L43/$L5</f>
        <v/>
      </c>
      <c r="M77" s="599">
        <f>M43/$L5</f>
        <v/>
      </c>
      <c r="N77" s="599">
        <f>N43/$L5</f>
        <v/>
      </c>
      <c r="O77" s="599">
        <f>O43/$L5</f>
        <v/>
      </c>
      <c r="P77" s="599">
        <f>P43/$L5</f>
        <v/>
      </c>
      <c r="Q77" s="600">
        <f>Q43/$L5</f>
        <v/>
      </c>
      <c r="S77" s="78">
        <f>S43/$L5</f>
        <v/>
      </c>
    </row>
    <row r="78">
      <c r="B78" s="639">
        <f>B44/$L6</f>
        <v/>
      </c>
      <c r="C78" s="640">
        <f>C44/$L6</f>
        <v/>
      </c>
      <c r="D78" s="640">
        <f>D44/$L6</f>
        <v/>
      </c>
      <c r="E78" s="640">
        <f>E44/$L6</f>
        <v/>
      </c>
      <c r="F78" s="640">
        <f>F44/$L6</f>
        <v/>
      </c>
      <c r="G78" s="640">
        <f>G44/$L6</f>
        <v/>
      </c>
      <c r="H78" s="640">
        <f>H44/$L6</f>
        <v/>
      </c>
      <c r="I78" s="640">
        <f>I44/$L6</f>
        <v/>
      </c>
      <c r="J78" s="640">
        <f>J44/$L6</f>
        <v/>
      </c>
      <c r="K78" s="640">
        <f>K44/$L6</f>
        <v/>
      </c>
      <c r="L78" s="640">
        <f>L44/$L6</f>
        <v/>
      </c>
      <c r="M78" s="640">
        <f>M44/$L6</f>
        <v/>
      </c>
      <c r="N78" s="640">
        <f>N44/$L6</f>
        <v/>
      </c>
      <c r="O78" s="640">
        <f>O44/$L6</f>
        <v/>
      </c>
      <c r="P78" s="640">
        <f>P44/$L6</f>
        <v/>
      </c>
      <c r="Q78" s="641">
        <f>Q44/$L6</f>
        <v/>
      </c>
      <c r="R78" s="642" t="n"/>
      <c r="S78" s="78">
        <f>S44/$L6</f>
        <v/>
      </c>
      <c r="T78" s="607" t="n"/>
    </row>
    <row r="79">
      <c r="B79" s="643">
        <f>B45/$L7</f>
        <v/>
      </c>
      <c r="C79" s="644">
        <f>C45/$L7</f>
        <v/>
      </c>
      <c r="D79" s="644">
        <f>D45/$L7</f>
        <v/>
      </c>
      <c r="E79" s="644">
        <f>E45/$L7</f>
        <v/>
      </c>
      <c r="F79" s="644">
        <f>F45/$L7</f>
        <v/>
      </c>
      <c r="G79" s="644">
        <f>G45/$L7</f>
        <v/>
      </c>
      <c r="H79" s="645">
        <f>H45/$L7</f>
        <v/>
      </c>
      <c r="I79" s="645">
        <f>I45/$L7</f>
        <v/>
      </c>
      <c r="J79" s="644">
        <f>J45/$L7</f>
        <v/>
      </c>
      <c r="K79" s="644">
        <f>K45/$L7</f>
        <v/>
      </c>
      <c r="L79" s="644">
        <f>L45/$L7</f>
        <v/>
      </c>
      <c r="M79" s="644">
        <f>M45/$L7</f>
        <v/>
      </c>
      <c r="N79" s="644">
        <f>N45/$L7</f>
        <v/>
      </c>
      <c r="O79" s="644">
        <f>O45/$L7</f>
        <v/>
      </c>
      <c r="P79" s="644">
        <f>P45/$L7</f>
        <v/>
      </c>
      <c r="Q79" s="646">
        <f>Q45/$L7</f>
        <v/>
      </c>
      <c r="R79" s="544" t="n"/>
      <c r="S79" s="78">
        <f>S45/$L7</f>
        <v/>
      </c>
      <c r="T79" s="571" t="n"/>
    </row>
    <row r="80">
      <c r="A80" s="612" t="n"/>
      <c r="B80" s="647">
        <f>B46/$L8</f>
        <v/>
      </c>
      <c r="C80" s="648">
        <f>C46/$L8</f>
        <v/>
      </c>
      <c r="D80" s="648">
        <f>D46/$L8</f>
        <v/>
      </c>
      <c r="E80" s="648">
        <f>E46/$L8</f>
        <v/>
      </c>
      <c r="F80" s="648">
        <f>F46/$L8</f>
        <v/>
      </c>
      <c r="G80" s="648">
        <f>G46/$L8</f>
        <v/>
      </c>
      <c r="H80" s="648">
        <f>H46/$L8</f>
        <v/>
      </c>
      <c r="I80" s="648">
        <f>I46/$L8</f>
        <v/>
      </c>
      <c r="J80" s="648">
        <f>J46/$L8</f>
        <v/>
      </c>
      <c r="K80" s="648">
        <f>K46/$L8</f>
        <v/>
      </c>
      <c r="L80" s="648">
        <f>L46/$L8</f>
        <v/>
      </c>
      <c r="M80" s="648">
        <f>M46/$L8</f>
        <v/>
      </c>
      <c r="N80" s="648">
        <f>N46/$L8</f>
        <v/>
      </c>
      <c r="O80" s="648">
        <f>O46/$L8</f>
        <v/>
      </c>
      <c r="P80" s="648">
        <f>P46/$L8</f>
        <v/>
      </c>
      <c r="Q80" s="735">
        <f>Q46/$L8</f>
        <v/>
      </c>
      <c r="R80" s="555" t="n"/>
      <c r="S80" s="78">
        <f>S46/$L8</f>
        <v/>
      </c>
      <c r="T80" s="617" t="n"/>
    </row>
    <row r="81">
      <c r="A81" s="612" t="n"/>
      <c r="B81" s="650">
        <f>B47/$L9</f>
        <v/>
      </c>
      <c r="C81" s="487">
        <f>C47/$L9</f>
        <v/>
      </c>
      <c r="D81" s="487">
        <f>D47/$L9</f>
        <v/>
      </c>
      <c r="E81" s="487">
        <f>E47/$L9</f>
        <v/>
      </c>
      <c r="F81" s="487">
        <f>F47/$L9</f>
        <v/>
      </c>
      <c r="G81" s="487">
        <f>G47/$L9</f>
        <v/>
      </c>
      <c r="H81" s="487">
        <f>H47/$L9</f>
        <v/>
      </c>
      <c r="I81" s="487">
        <f>I47/$L9</f>
        <v/>
      </c>
      <c r="J81" s="487">
        <f>J47/$L9</f>
        <v/>
      </c>
      <c r="K81" s="487">
        <f>K47/$L9</f>
        <v/>
      </c>
      <c r="L81" s="487">
        <f>L47/$L9</f>
        <v/>
      </c>
      <c r="M81" s="487">
        <f>M47/$L9</f>
        <v/>
      </c>
      <c r="N81" s="487">
        <f>N47/$L9</f>
        <v/>
      </c>
      <c r="O81" s="487">
        <f>O47/$L9</f>
        <v/>
      </c>
      <c r="P81" s="487">
        <f>P47/$L9</f>
        <v/>
      </c>
      <c r="Q81" s="736">
        <f>Q47/$L9</f>
        <v/>
      </c>
      <c r="R81" s="544" t="n"/>
      <c r="S81" s="78">
        <f>S47/$L9</f>
        <v/>
      </c>
      <c r="T81" s="542" t="n"/>
    </row>
    <row r="82">
      <c r="A82" s="612" t="n"/>
      <c r="B82" s="650">
        <f>B48/$L10</f>
        <v/>
      </c>
      <c r="C82" s="487">
        <f>C48/$L10</f>
        <v/>
      </c>
      <c r="D82" s="487">
        <f>D48/$L10</f>
        <v/>
      </c>
      <c r="E82" s="487">
        <f>E48/$L10</f>
        <v/>
      </c>
      <c r="F82" s="487">
        <f>F48/$L10</f>
        <v/>
      </c>
      <c r="G82" s="487">
        <f>G48/$L10</f>
        <v/>
      </c>
      <c r="H82" s="487">
        <f>H48/$L10</f>
        <v/>
      </c>
      <c r="I82" s="487">
        <f>I48/$L10</f>
        <v/>
      </c>
      <c r="J82" s="487">
        <f>J48/$L10</f>
        <v/>
      </c>
      <c r="K82" s="487">
        <f>K48/$L10</f>
        <v/>
      </c>
      <c r="L82" s="487">
        <f>L48/$L10</f>
        <v/>
      </c>
      <c r="M82" s="487">
        <f>M48/$L10</f>
        <v/>
      </c>
      <c r="N82" s="487">
        <f>N48/$L10</f>
        <v/>
      </c>
      <c r="O82" s="487">
        <f>O48/$L10</f>
        <v/>
      </c>
      <c r="P82" s="487">
        <f>P48/$L10</f>
        <v/>
      </c>
      <c r="Q82" s="736">
        <f>Q48/$L10</f>
        <v/>
      </c>
      <c r="R82" s="544" t="n"/>
      <c r="S82" s="78">
        <f>S48/$L10</f>
        <v/>
      </c>
      <c r="T82" s="542" t="n"/>
    </row>
    <row r="83">
      <c r="A83" s="612" t="n"/>
      <c r="B83" s="650">
        <f>B49/$L11</f>
        <v/>
      </c>
      <c r="C83" s="487">
        <f>C49/$L11</f>
        <v/>
      </c>
      <c r="D83" s="487">
        <f>D49/$L11</f>
        <v/>
      </c>
      <c r="E83" s="487">
        <f>E49/$L11</f>
        <v/>
      </c>
      <c r="F83" s="487">
        <f>F49/$L11</f>
        <v/>
      </c>
      <c r="G83" s="487">
        <f>G49/$L11</f>
        <v/>
      </c>
      <c r="H83" s="487">
        <f>H49/$L11</f>
        <v/>
      </c>
      <c r="I83" s="487">
        <f>I49/$L11</f>
        <v/>
      </c>
      <c r="J83" s="487">
        <f>J49/$L11</f>
        <v/>
      </c>
      <c r="K83" s="487">
        <f>K49/$L11</f>
        <v/>
      </c>
      <c r="L83" s="487">
        <f>L49/$L11</f>
        <v/>
      </c>
      <c r="M83" s="487">
        <f>M49/$L11</f>
        <v/>
      </c>
      <c r="N83" s="487">
        <f>N49/$L11</f>
        <v/>
      </c>
      <c r="O83" s="487">
        <f>O49/$L11</f>
        <v/>
      </c>
      <c r="P83" s="487">
        <f>P49/$L11</f>
        <v/>
      </c>
      <c r="Q83" s="736">
        <f>Q49/$L11</f>
        <v/>
      </c>
      <c r="R83" s="544" t="n"/>
      <c r="S83" s="78">
        <f>S49/$L11</f>
        <v/>
      </c>
      <c r="T83" s="542" t="n"/>
    </row>
    <row r="84">
      <c r="A84" s="612" t="n"/>
      <c r="B84" s="650">
        <f>B50/$L12</f>
        <v/>
      </c>
      <c r="C84" s="487">
        <f>C50/$L12</f>
        <v/>
      </c>
      <c r="D84" s="487">
        <f>D50/$L12</f>
        <v/>
      </c>
      <c r="E84" s="487">
        <f>E50/$L12</f>
        <v/>
      </c>
      <c r="F84" s="487">
        <f>F50/$L12</f>
        <v/>
      </c>
      <c r="G84" s="487">
        <f>G50/$L12</f>
        <v/>
      </c>
      <c r="H84" s="487">
        <f>H50/$L12</f>
        <v/>
      </c>
      <c r="I84" s="487">
        <f>I50/$L12</f>
        <v/>
      </c>
      <c r="J84" s="487">
        <f>J50/$L12</f>
        <v/>
      </c>
      <c r="K84" s="487">
        <f>K50/$L12</f>
        <v/>
      </c>
      <c r="L84" s="487">
        <f>L50/$L12</f>
        <v/>
      </c>
      <c r="M84" s="487">
        <f>M50/$L12</f>
        <v/>
      </c>
      <c r="N84" s="487">
        <f>N50/$L12</f>
        <v/>
      </c>
      <c r="O84" s="487">
        <f>O50/$L12</f>
        <v/>
      </c>
      <c r="P84" s="487">
        <f>P50/$L12</f>
        <v/>
      </c>
      <c r="Q84" s="736">
        <f>Q50/$L12</f>
        <v/>
      </c>
      <c r="R84" s="544" t="n"/>
      <c r="S84" s="78">
        <f>S50/$L12</f>
        <v/>
      </c>
      <c r="T84" s="542" t="n"/>
    </row>
    <row r="85">
      <c r="A85" s="612" t="n"/>
      <c r="B85" s="650">
        <f>B51/$L13</f>
        <v/>
      </c>
      <c r="C85" s="487">
        <f>C51/$L13</f>
        <v/>
      </c>
      <c r="D85" s="487">
        <f>D51/$L13</f>
        <v/>
      </c>
      <c r="E85" s="487">
        <f>E51/$L13</f>
        <v/>
      </c>
      <c r="F85" s="487">
        <f>F51/$L13</f>
        <v/>
      </c>
      <c r="G85" s="487">
        <f>G51/$L13</f>
        <v/>
      </c>
      <c r="H85" s="487">
        <f>H51/$L13</f>
        <v/>
      </c>
      <c r="I85" s="487">
        <f>I51/$L13</f>
        <v/>
      </c>
      <c r="J85" s="487">
        <f>J51/$L13</f>
        <v/>
      </c>
      <c r="K85" s="487">
        <f>K51/$L13</f>
        <v/>
      </c>
      <c r="L85" s="487">
        <f>L51/$L13</f>
        <v/>
      </c>
      <c r="M85" s="487">
        <f>M51/$L13</f>
        <v/>
      </c>
      <c r="N85" s="487">
        <f>N51/$L13</f>
        <v/>
      </c>
      <c r="O85" s="487">
        <f>O51/$L13</f>
        <v/>
      </c>
      <c r="P85" s="487">
        <f>P51/$L13</f>
        <v/>
      </c>
      <c r="Q85" s="736">
        <f>Q51/$L13</f>
        <v/>
      </c>
      <c r="R85" s="544" t="n"/>
      <c r="S85" s="78">
        <f>S51/$L13</f>
        <v/>
      </c>
      <c r="T85" s="542" t="n"/>
    </row>
    <row r="86">
      <c r="A86" s="612" t="n"/>
      <c r="B86" s="650">
        <f>B52/$L14</f>
        <v/>
      </c>
      <c r="C86" s="487">
        <f>C52/$L14</f>
        <v/>
      </c>
      <c r="D86" s="487">
        <f>D52/$L14</f>
        <v/>
      </c>
      <c r="E86" s="487">
        <f>E52/$L14</f>
        <v/>
      </c>
      <c r="F86" s="487">
        <f>F52/$L14</f>
        <v/>
      </c>
      <c r="G86" s="487">
        <f>G52/$L14</f>
        <v/>
      </c>
      <c r="H86" s="487">
        <f>H52/$L14</f>
        <v/>
      </c>
      <c r="I86" s="487">
        <f>I52/$L14</f>
        <v/>
      </c>
      <c r="J86" s="487">
        <f>J52/$L14</f>
        <v/>
      </c>
      <c r="K86" s="487">
        <f>K52/$L14</f>
        <v/>
      </c>
      <c r="L86" s="487">
        <f>L52/$L14</f>
        <v/>
      </c>
      <c r="M86" s="487">
        <f>M52/$L14</f>
        <v/>
      </c>
      <c r="N86" s="487">
        <f>N52/$L14</f>
        <v/>
      </c>
      <c r="O86" s="487">
        <f>O52/$L14</f>
        <v/>
      </c>
      <c r="P86" s="487">
        <f>P52/$L14</f>
        <v/>
      </c>
      <c r="Q86" s="736">
        <f>Q52/$L14</f>
        <v/>
      </c>
      <c r="R86" s="544" t="n"/>
      <c r="S86" s="78">
        <f>S52/$L14</f>
        <v/>
      </c>
      <c r="T86" s="542" t="n"/>
    </row>
    <row r="87">
      <c r="A87" s="612" t="n"/>
      <c r="B87" s="650">
        <f>B53/$L15</f>
        <v/>
      </c>
      <c r="C87" s="487">
        <f>C53/$L15</f>
        <v/>
      </c>
      <c r="D87" s="487">
        <f>D53/$L15</f>
        <v/>
      </c>
      <c r="E87" s="487">
        <f>E53/$L15</f>
        <v/>
      </c>
      <c r="F87" s="487">
        <f>F53/$L15</f>
        <v/>
      </c>
      <c r="G87" s="487">
        <f>G53/$L15</f>
        <v/>
      </c>
      <c r="H87" s="487">
        <f>H53/$L15</f>
        <v/>
      </c>
      <c r="I87" s="487">
        <f>I53/$L15</f>
        <v/>
      </c>
      <c r="J87" s="487">
        <f>J53/$L15</f>
        <v/>
      </c>
      <c r="K87" s="487">
        <f>K53/$L15</f>
        <v/>
      </c>
      <c r="L87" s="487">
        <f>L53/$L15</f>
        <v/>
      </c>
      <c r="M87" s="487">
        <f>M53/$L15</f>
        <v/>
      </c>
      <c r="N87" s="487">
        <f>N53/$L15</f>
        <v/>
      </c>
      <c r="O87" s="487">
        <f>O53/$L15</f>
        <v/>
      </c>
      <c r="P87" s="487">
        <f>P53/$L15</f>
        <v/>
      </c>
      <c r="Q87" s="736">
        <f>Q53/$L15</f>
        <v/>
      </c>
      <c r="R87" s="544" t="n"/>
      <c r="S87" s="78">
        <f>S53/$L15</f>
        <v/>
      </c>
      <c r="T87" s="542" t="n"/>
    </row>
    <row r="88">
      <c r="A88" s="612" t="n"/>
      <c r="B88" s="650">
        <f>B54/$L16</f>
        <v/>
      </c>
      <c r="C88" s="487">
        <f>C54/$L16</f>
        <v/>
      </c>
      <c r="D88" s="487">
        <f>D54/$L16</f>
        <v/>
      </c>
      <c r="E88" s="487">
        <f>E54/$L16</f>
        <v/>
      </c>
      <c r="F88" s="487">
        <f>F54/$L16</f>
        <v/>
      </c>
      <c r="G88" s="487">
        <f>G54/$L16</f>
        <v/>
      </c>
      <c r="H88" s="487">
        <f>H54/$L16</f>
        <v/>
      </c>
      <c r="I88" s="487">
        <f>I54/$L16</f>
        <v/>
      </c>
      <c r="J88" s="487">
        <f>J54/$L16</f>
        <v/>
      </c>
      <c r="K88" s="487">
        <f>K54/$L16</f>
        <v/>
      </c>
      <c r="L88" s="487">
        <f>L54/$L16</f>
        <v/>
      </c>
      <c r="M88" s="487">
        <f>M54/$L16</f>
        <v/>
      </c>
      <c r="N88" s="487">
        <f>N54/$L16</f>
        <v/>
      </c>
      <c r="O88" s="487">
        <f>O54/$L16</f>
        <v/>
      </c>
      <c r="P88" s="487">
        <f>P54/$L16</f>
        <v/>
      </c>
      <c r="Q88" s="736">
        <f>Q54/$L16</f>
        <v/>
      </c>
      <c r="R88" s="544" t="n"/>
      <c r="S88" s="78">
        <f>S54/$L16</f>
        <v/>
      </c>
      <c r="T88" s="542" t="n"/>
    </row>
    <row r="89">
      <c r="A89" s="612" t="n"/>
      <c r="B89" s="650">
        <f>B55/$L17</f>
        <v/>
      </c>
      <c r="C89" s="487">
        <f>C55/$L17</f>
        <v/>
      </c>
      <c r="D89" s="487">
        <f>D55/$L17</f>
        <v/>
      </c>
      <c r="E89" s="487">
        <f>E55/$L17</f>
        <v/>
      </c>
      <c r="F89" s="487">
        <f>F55/$L17</f>
        <v/>
      </c>
      <c r="G89" s="487">
        <f>G55/$L17</f>
        <v/>
      </c>
      <c r="H89" s="487">
        <f>H55/$L17</f>
        <v/>
      </c>
      <c r="I89" s="487">
        <f>I55/$L17</f>
        <v/>
      </c>
      <c r="J89" s="487">
        <f>J55/$L17</f>
        <v/>
      </c>
      <c r="K89" s="487">
        <f>K55/$L17</f>
        <v/>
      </c>
      <c r="L89" s="487">
        <f>L55/$L17</f>
        <v/>
      </c>
      <c r="M89" s="487">
        <f>M55/$L17</f>
        <v/>
      </c>
      <c r="N89" s="487">
        <f>N55/$L17</f>
        <v/>
      </c>
      <c r="O89" s="487">
        <f>O55/$L17</f>
        <v/>
      </c>
      <c r="P89" s="487">
        <f>P55/$L17</f>
        <v/>
      </c>
      <c r="Q89" s="736">
        <f>Q55/$L17</f>
        <v/>
      </c>
      <c r="R89" s="544" t="n"/>
      <c r="S89" s="78">
        <f>S55/$L17</f>
        <v/>
      </c>
      <c r="T89" s="542" t="n"/>
    </row>
    <row r="90">
      <c r="A90" s="612" t="n"/>
      <c r="B90" s="650">
        <f>B56/$L18</f>
        <v/>
      </c>
      <c r="C90" s="487">
        <f>C56/$L18</f>
        <v/>
      </c>
      <c r="D90" s="487">
        <f>D56/$L18</f>
        <v/>
      </c>
      <c r="E90" s="487">
        <f>E56/$L18</f>
        <v/>
      </c>
      <c r="F90" s="487">
        <f>F56/$L18</f>
        <v/>
      </c>
      <c r="G90" s="487">
        <f>G56/$L18</f>
        <v/>
      </c>
      <c r="H90" s="487">
        <f>H56/$L18</f>
        <v/>
      </c>
      <c r="I90" s="487">
        <f>I56/$L18</f>
        <v/>
      </c>
      <c r="J90" s="487">
        <f>J56/$L18</f>
        <v/>
      </c>
      <c r="K90" s="487">
        <f>K56/$L18</f>
        <v/>
      </c>
      <c r="L90" s="487">
        <f>L56/$L18</f>
        <v/>
      </c>
      <c r="M90" s="487">
        <f>M56/$L18</f>
        <v/>
      </c>
      <c r="N90" s="487">
        <f>N56/$L18</f>
        <v/>
      </c>
      <c r="O90" s="487">
        <f>O56/$L18</f>
        <v/>
      </c>
      <c r="P90" s="487">
        <f>P56/$L18</f>
        <v/>
      </c>
      <c r="Q90" s="736">
        <f>Q56/$L18</f>
        <v/>
      </c>
      <c r="R90" s="544" t="n"/>
      <c r="S90" s="78">
        <f>S56/$L18</f>
        <v/>
      </c>
      <c r="T90" s="542" t="n"/>
    </row>
    <row r="91">
      <c r="A91" s="612" t="n"/>
      <c r="B91" s="650">
        <f>B57/$L19</f>
        <v/>
      </c>
      <c r="C91" s="487">
        <f>C57/$L19</f>
        <v/>
      </c>
      <c r="D91" s="487">
        <f>D57/$L19</f>
        <v/>
      </c>
      <c r="E91" s="487">
        <f>E57/$L19</f>
        <v/>
      </c>
      <c r="F91" s="487">
        <f>F57/$L19</f>
        <v/>
      </c>
      <c r="G91" s="487">
        <f>G57/$L19</f>
        <v/>
      </c>
      <c r="H91" s="487">
        <f>H57/$L19</f>
        <v/>
      </c>
      <c r="I91" s="487">
        <f>I57/$L19</f>
        <v/>
      </c>
      <c r="J91" s="487">
        <f>J57/$L19</f>
        <v/>
      </c>
      <c r="K91" s="487">
        <f>K57/$L19</f>
        <v/>
      </c>
      <c r="L91" s="487">
        <f>L57/$L19</f>
        <v/>
      </c>
      <c r="M91" s="487">
        <f>M57/$L19</f>
        <v/>
      </c>
      <c r="N91" s="487">
        <f>N57/$L19</f>
        <v/>
      </c>
      <c r="O91" s="487">
        <f>O57/$L19</f>
        <v/>
      </c>
      <c r="P91" s="487">
        <f>P57/$L19</f>
        <v/>
      </c>
      <c r="Q91" s="736">
        <f>Q57/$L19</f>
        <v/>
      </c>
      <c r="R91" s="544" t="n"/>
      <c r="S91" s="78">
        <f>S57/$L19</f>
        <v/>
      </c>
      <c r="T91" s="542" t="n"/>
      <c r="U91" s="21" t="inlineStr">
        <is>
          <t>AT</t>
        </is>
      </c>
      <c r="V91" s="596" t="n"/>
      <c r="W91" s="596" t="n"/>
      <c r="X91" s="596" t="n"/>
      <c r="Y91" s="596" t="n"/>
      <c r="Z91" s="596" t="n"/>
      <c r="AA91" s="596" t="n"/>
      <c r="AB91" s="596" t="n"/>
      <c r="AC91" s="596" t="n"/>
      <c r="AD91" s="596" t="n"/>
      <c r="AE91" s="596" t="n"/>
      <c r="AF91" s="596" t="n"/>
      <c r="AG91" s="596" t="n"/>
      <c r="AH91" s="596" t="n"/>
      <c r="AI91" s="596" t="n"/>
      <c r="AJ91" s="596" t="n"/>
      <c r="AK91" s="596" t="n"/>
      <c r="AL91" s="596" t="n"/>
      <c r="AM91" s="596" t="n"/>
      <c r="AN91" s="596" t="n"/>
      <c r="AO91" s="596" t="n"/>
      <c r="AP91" s="596" t="n"/>
      <c r="AQ91" s="596" t="n"/>
      <c r="AR91" s="596" t="n"/>
      <c r="AS91" s="596" t="n"/>
      <c r="AT91" s="596" t="n"/>
      <c r="AU91" s="596" t="n"/>
      <c r="AV91" s="596" t="n"/>
      <c r="AW91" s="596" t="n"/>
      <c r="AX91" s="596" t="n"/>
      <c r="AY91" s="596" t="n"/>
      <c r="AZ91" s="597" t="n"/>
    </row>
    <row r="92">
      <c r="A92" s="612" t="n"/>
      <c r="B92" s="650">
        <f>B58/$L20</f>
        <v/>
      </c>
      <c r="C92" s="487">
        <f>C58/$L20</f>
        <v/>
      </c>
      <c r="D92" s="487">
        <f>D58/$L20</f>
        <v/>
      </c>
      <c r="E92" s="487">
        <f>E58/$L20</f>
        <v/>
      </c>
      <c r="F92" s="487">
        <f>F58/$L20</f>
        <v/>
      </c>
      <c r="G92" s="487">
        <f>G58/$L20</f>
        <v/>
      </c>
      <c r="H92" s="487">
        <f>H58/$L20</f>
        <v/>
      </c>
      <c r="I92" s="487">
        <f>I58/$L20</f>
        <v/>
      </c>
      <c r="J92" s="487">
        <f>J58/$L20</f>
        <v/>
      </c>
      <c r="K92" s="487">
        <f>K58/$L20</f>
        <v/>
      </c>
      <c r="L92" s="487">
        <f>L58/$L20</f>
        <v/>
      </c>
      <c r="M92" s="487">
        <f>M58/$L20</f>
        <v/>
      </c>
      <c r="N92" s="487">
        <f>N58/$L20</f>
        <v/>
      </c>
      <c r="O92" s="487">
        <f>O58/$L20</f>
        <v/>
      </c>
      <c r="P92" s="487">
        <f>P58/$L20</f>
        <v/>
      </c>
      <c r="Q92" s="736">
        <f>Q58/$L20</f>
        <v/>
      </c>
      <c r="R92" s="544" t="n"/>
      <c r="S92" s="78">
        <f>S58/$L20</f>
        <v/>
      </c>
      <c r="T92" s="542" t="n"/>
      <c r="U92" s="8">
        <f t="array" ref="U92:AZ107">TRANSPOSE(B76:Q107)</f>
        <v/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521.7388582232043</v>
      </c>
      <c r="AA92" s="9" t="n">
        <v>0</v>
      </c>
      <c r="AB92" s="9" t="n">
        <v>0</v>
      </c>
      <c r="AC92" s="9" t="n">
        <v>0</v>
      </c>
      <c r="AD92" s="9" t="n">
        <v>-859.0701875623988</v>
      </c>
      <c r="AE92" s="9" t="n">
        <v>-370.4602555455708</v>
      </c>
      <c r="AF92" s="9" t="n">
        <v>173.6459178116386</v>
      </c>
      <c r="AG92" s="9" t="n">
        <v>0</v>
      </c>
      <c r="AH92" s="9" t="n">
        <v>0</v>
      </c>
      <c r="AI92" s="9" t="n">
        <v>0</v>
      </c>
      <c r="AJ92" s="9" t="n">
        <v>0</v>
      </c>
      <c r="AK92" s="9" t="n">
        <v>0</v>
      </c>
      <c r="AL92" s="9" t="n">
        <v>0</v>
      </c>
      <c r="AM92" s="9" t="n">
        <v>0</v>
      </c>
      <c r="AN92" s="9" t="n">
        <v>0</v>
      </c>
      <c r="AO92" s="65" t="n">
        <v>-1134.435402523739</v>
      </c>
      <c r="AP92" s="65" t="n">
        <v>0</v>
      </c>
      <c r="AQ92" s="65" t="n">
        <v>0</v>
      </c>
      <c r="AR92" s="65" t="n">
        <v>0</v>
      </c>
      <c r="AS92" s="65" t="n">
        <v>0</v>
      </c>
      <c r="AT92" s="65" t="n">
        <v>1134.435402523739</v>
      </c>
      <c r="AU92" s="65" t="n">
        <v>0</v>
      </c>
      <c r="AV92" s="65" t="n">
        <v>0</v>
      </c>
      <c r="AW92" s="65" t="n">
        <v>0</v>
      </c>
      <c r="AX92" s="65" t="n">
        <v>0</v>
      </c>
      <c r="AY92" s="65" t="n">
        <v>0</v>
      </c>
      <c r="AZ92" s="66" t="n">
        <v>0</v>
      </c>
    </row>
    <row r="93">
      <c r="A93" s="612" t="n"/>
      <c r="B93" s="650">
        <f>B59/$L21</f>
        <v/>
      </c>
      <c r="C93" s="487">
        <f>C59/$L21</f>
        <v/>
      </c>
      <c r="D93" s="487">
        <f>D59/$L21</f>
        <v/>
      </c>
      <c r="E93" s="487">
        <f>E59/$L21</f>
        <v/>
      </c>
      <c r="F93" s="487">
        <f>F59/$L21</f>
        <v/>
      </c>
      <c r="G93" s="487">
        <f>G59/$L21</f>
        <v/>
      </c>
      <c r="H93" s="487">
        <f>H59/$L21</f>
        <v/>
      </c>
      <c r="I93" s="487">
        <f>I59/$L21</f>
        <v/>
      </c>
      <c r="J93" s="487">
        <f>J59/$L21</f>
        <v/>
      </c>
      <c r="K93" s="487">
        <f>K59/$L21</f>
        <v/>
      </c>
      <c r="L93" s="487">
        <f>L59/$L21</f>
        <v/>
      </c>
      <c r="M93" s="487">
        <f>M59/$L21</f>
        <v/>
      </c>
      <c r="N93" s="487">
        <f>N59/$L21</f>
        <v/>
      </c>
      <c r="O93" s="487">
        <f>O59/$L21</f>
        <v/>
      </c>
      <c r="P93" s="487">
        <f>P59/$L21</f>
        <v/>
      </c>
      <c r="Q93" s="736">
        <f>Q59/$L21</f>
        <v/>
      </c>
      <c r="R93" s="544" t="n"/>
      <c r="S93" s="78">
        <f>S59/$L21</f>
        <v/>
      </c>
      <c r="T93" s="542" t="n"/>
      <c r="U93" s="11" t="n">
        <v>-766.9354133072021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-695.6518109642727</v>
      </c>
      <c r="AA93" s="1" t="n">
        <v>0</v>
      </c>
      <c r="AB93" s="1" t="n">
        <v>0</v>
      </c>
      <c r="AC93" s="1" t="n">
        <v>0</v>
      </c>
      <c r="AD93" s="1" t="n">
        <v>-148.115549579724</v>
      </c>
      <c r="AE93" s="1" t="n">
        <v>-771.3692992181751</v>
      </c>
      <c r="AF93" s="1" t="n">
        <v>-766.9361370014043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25" t="n">
        <v>544.8275288436377</v>
      </c>
      <c r="AP93" s="25" t="n">
        <v>0</v>
      </c>
      <c r="AQ93" s="25" t="n">
        <v>0</v>
      </c>
      <c r="AR93" s="25" t="n">
        <v>0</v>
      </c>
      <c r="AS93" s="25" t="n">
        <v>0</v>
      </c>
      <c r="AT93" s="25" t="n">
        <v>-544.8275288436375</v>
      </c>
      <c r="AU93" s="25" t="n">
        <v>0</v>
      </c>
      <c r="AV93" s="25" t="n">
        <v>0</v>
      </c>
      <c r="AW93" s="25" t="n">
        <v>0</v>
      </c>
      <c r="AX93" s="25" t="n">
        <v>0</v>
      </c>
      <c r="AY93" s="25" t="n">
        <v>0</v>
      </c>
      <c r="AZ93" s="45" t="n">
        <v>0</v>
      </c>
    </row>
    <row r="94">
      <c r="A94" s="612" t="n"/>
      <c r="B94" s="650">
        <f>B60/$L22</f>
        <v/>
      </c>
      <c r="C94" s="487">
        <f>C60/$L22</f>
        <v/>
      </c>
      <c r="D94" s="487">
        <f>D60/$L22</f>
        <v/>
      </c>
      <c r="E94" s="487">
        <f>E60/$L22</f>
        <v/>
      </c>
      <c r="F94" s="487">
        <f>F60/$L22</f>
        <v/>
      </c>
      <c r="G94" s="487">
        <f>G60/$L22</f>
        <v/>
      </c>
      <c r="H94" s="487">
        <f>H60/$L22</f>
        <v/>
      </c>
      <c r="I94" s="487">
        <f>I60/$L22</f>
        <v/>
      </c>
      <c r="J94" s="487">
        <f>J60/$L22</f>
        <v/>
      </c>
      <c r="K94" s="487">
        <f>K60/$L22</f>
        <v/>
      </c>
      <c r="L94" s="487">
        <f>L60/$L22</f>
        <v/>
      </c>
      <c r="M94" s="487">
        <f>M60/$L22</f>
        <v/>
      </c>
      <c r="N94" s="487">
        <f>N60/$L22</f>
        <v/>
      </c>
      <c r="O94" s="487">
        <f>O60/$L22</f>
        <v/>
      </c>
      <c r="P94" s="487">
        <f>P60/$L22</f>
        <v/>
      </c>
      <c r="Q94" s="736">
        <f>Q60/$L22</f>
        <v/>
      </c>
      <c r="R94" s="544" t="n"/>
      <c r="S94" s="78">
        <f>S60/$L22</f>
        <v/>
      </c>
      <c r="T94" s="542" t="n"/>
      <c r="U94" s="1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859.0701875623988</v>
      </c>
      <c r="AE94" s="1" t="n">
        <v>0</v>
      </c>
      <c r="AF94" s="1" t="n">
        <v>0</v>
      </c>
      <c r="AG94" s="1" t="n">
        <v>739.6334691274424</v>
      </c>
      <c r="AH94" s="1" t="n">
        <v>430.358814391428</v>
      </c>
      <c r="AI94" s="1" t="n">
        <v>-131.2759998436544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25" t="n">
        <v>1264.497585052673</v>
      </c>
      <c r="AP94" s="25" t="n">
        <v>-1264.497585052673</v>
      </c>
      <c r="AQ94" s="25" t="n">
        <v>0</v>
      </c>
      <c r="AR94" s="25" t="n">
        <v>0</v>
      </c>
      <c r="AS94" s="25" t="n">
        <v>0</v>
      </c>
      <c r="AT94" s="25" t="n">
        <v>0</v>
      </c>
      <c r="AU94" s="25" t="n">
        <v>0</v>
      </c>
      <c r="AV94" s="25" t="n">
        <v>0</v>
      </c>
      <c r="AW94" s="25" t="n">
        <v>0</v>
      </c>
      <c r="AX94" s="25" t="n">
        <v>0</v>
      </c>
      <c r="AY94" s="25" t="n">
        <v>0</v>
      </c>
      <c r="AZ94" s="45" t="n">
        <v>0</v>
      </c>
    </row>
    <row r="95">
      <c r="A95" s="612" t="n"/>
      <c r="B95" s="650">
        <f>B61/$L23</f>
        <v/>
      </c>
      <c r="C95" s="487">
        <f>C61/$L23</f>
        <v/>
      </c>
      <c r="D95" s="487">
        <f>D61/$L23</f>
        <v/>
      </c>
      <c r="E95" s="487">
        <f>E61/$L23</f>
        <v/>
      </c>
      <c r="F95" s="487">
        <f>F61/$L23</f>
        <v/>
      </c>
      <c r="G95" s="487">
        <f>G61/$L23</f>
        <v/>
      </c>
      <c r="H95" s="487">
        <f>H61/$L23</f>
        <v/>
      </c>
      <c r="I95" s="487">
        <f>I61/$L23</f>
        <v/>
      </c>
      <c r="J95" s="487">
        <f>J61/$L23</f>
        <v/>
      </c>
      <c r="K95" s="487">
        <f>K61/$L23</f>
        <v/>
      </c>
      <c r="L95" s="487">
        <f>L61/$L23</f>
        <v/>
      </c>
      <c r="M95" s="487">
        <f>M61/$L23</f>
        <v/>
      </c>
      <c r="N95" s="487">
        <f>N61/$L23</f>
        <v/>
      </c>
      <c r="O95" s="487">
        <f>O61/$L23</f>
        <v/>
      </c>
      <c r="P95" s="487">
        <f>P61/$L23</f>
        <v/>
      </c>
      <c r="Q95" s="736">
        <f>Q61/$L23</f>
        <v/>
      </c>
      <c r="R95" s="544" t="n"/>
      <c r="S95" s="81">
        <f>S61/$L23</f>
        <v/>
      </c>
      <c r="T95" s="542" t="n"/>
      <c r="U95" s="1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148.115549579724</v>
      </c>
      <c r="AE95" s="1" t="n">
        <v>0</v>
      </c>
      <c r="AF95" s="1" t="n">
        <v>0</v>
      </c>
      <c r="AG95" s="1" t="n">
        <v>-299.0007641153492</v>
      </c>
      <c r="AH95" s="1" t="n">
        <v>-759.1051309404353</v>
      </c>
      <c r="AI95" s="1" t="n">
        <v>-761.4007990931957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25" t="n">
        <v>716.880520659783</v>
      </c>
      <c r="AP95" s="25" t="n">
        <v>-716.880520659783</v>
      </c>
      <c r="AQ95" s="25" t="n">
        <v>0</v>
      </c>
      <c r="AR95" s="25" t="n">
        <v>0</v>
      </c>
      <c r="AS95" s="25" t="n">
        <v>0</v>
      </c>
      <c r="AT95" s="25" t="n">
        <v>0</v>
      </c>
      <c r="AU95" s="25" t="n">
        <v>0</v>
      </c>
      <c r="AV95" s="25" t="n">
        <v>0</v>
      </c>
      <c r="AW95" s="25" t="n">
        <v>0</v>
      </c>
      <c r="AX95" s="25" t="n">
        <v>0</v>
      </c>
      <c r="AY95" s="25" t="n">
        <v>0</v>
      </c>
      <c r="AZ95" s="45" t="n">
        <v>0</v>
      </c>
    </row>
    <row r="96">
      <c r="A96" s="612" t="n"/>
      <c r="B96" s="650">
        <f>B62/$O26</f>
        <v/>
      </c>
      <c r="C96" s="487">
        <f>C62/$O26</f>
        <v/>
      </c>
      <c r="D96" s="487">
        <f>D62/$O26</f>
        <v/>
      </c>
      <c r="E96" s="487">
        <f>E62/$O26</f>
        <v/>
      </c>
      <c r="F96" s="487">
        <f>F62/$O26</f>
        <v/>
      </c>
      <c r="G96" s="487">
        <f>G62/$O26</f>
        <v/>
      </c>
      <c r="H96" s="487">
        <f>H62/$O26</f>
        <v/>
      </c>
      <c r="I96" s="487">
        <f>I62/$O26</f>
        <v/>
      </c>
      <c r="J96" s="487">
        <f>J62/$O26</f>
        <v/>
      </c>
      <c r="K96" s="487">
        <f>K62/$O26</f>
        <v/>
      </c>
      <c r="L96" s="487">
        <f>L62/$O26</f>
        <v/>
      </c>
      <c r="M96" s="487">
        <f>M62/$O26</f>
        <v/>
      </c>
      <c r="N96" s="487">
        <f>N62/$O26</f>
        <v/>
      </c>
      <c r="O96" s="487">
        <f>O62/$O26</f>
        <v/>
      </c>
      <c r="P96" s="487">
        <f>P62/$O26</f>
        <v/>
      </c>
      <c r="Q96" s="736">
        <f>Q62/$O26</f>
        <v/>
      </c>
      <c r="R96" s="544" t="n"/>
      <c r="S96" s="75">
        <f>S62/$O26</f>
        <v/>
      </c>
      <c r="T96" s="542" t="n"/>
      <c r="U96" s="1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131.2759998436544</v>
      </c>
      <c r="AJ96" s="1" t="n">
        <v>809.0506202279863</v>
      </c>
      <c r="AK96" s="1" t="n">
        <v>778.9020355125754</v>
      </c>
      <c r="AL96" s="1" t="n">
        <v>497.850540347031</v>
      </c>
      <c r="AM96" s="1" t="n">
        <v>0</v>
      </c>
      <c r="AN96" s="1" t="n">
        <v>0</v>
      </c>
      <c r="AO96" s="25" t="n">
        <v>0</v>
      </c>
      <c r="AP96" s="25" t="n">
        <v>-834.4311460844473</v>
      </c>
      <c r="AQ96" s="25" t="n">
        <v>834.4311460844473</v>
      </c>
      <c r="AR96" s="25" t="n">
        <v>0</v>
      </c>
      <c r="AS96" s="25" t="n">
        <v>0</v>
      </c>
      <c r="AT96" s="25" t="n">
        <v>0</v>
      </c>
      <c r="AU96" s="25" t="n">
        <v>0</v>
      </c>
      <c r="AV96" s="25" t="n">
        <v>0</v>
      </c>
      <c r="AW96" s="25" t="n">
        <v>0</v>
      </c>
      <c r="AX96" s="25" t="n">
        <v>0</v>
      </c>
      <c r="AY96" s="25" t="n">
        <v>0</v>
      </c>
      <c r="AZ96" s="45" t="n">
        <v>515.8613256753882</v>
      </c>
    </row>
    <row r="97">
      <c r="A97" s="612" t="n"/>
      <c r="B97" s="650">
        <f>B63/$O27</f>
        <v/>
      </c>
      <c r="C97" s="487">
        <f>C63/$O27</f>
        <v/>
      </c>
      <c r="D97" s="487">
        <f>D63/$O27</f>
        <v/>
      </c>
      <c r="E97" s="487">
        <f>E63/$O27</f>
        <v/>
      </c>
      <c r="F97" s="487">
        <f>F63/$O27</f>
        <v/>
      </c>
      <c r="G97" s="487">
        <f>G63/$O27</f>
        <v/>
      </c>
      <c r="H97" s="487">
        <f>H63/$O27</f>
        <v/>
      </c>
      <c r="I97" s="487">
        <f>I63/$O27</f>
        <v/>
      </c>
      <c r="J97" s="487">
        <f>J63/$O27</f>
        <v/>
      </c>
      <c r="K97" s="487">
        <f>K63/$O27</f>
        <v/>
      </c>
      <c r="L97" s="487">
        <f>L63/$O27</f>
        <v/>
      </c>
      <c r="M97" s="487">
        <f>M63/$O27</f>
        <v/>
      </c>
      <c r="N97" s="487">
        <f>N63/$O27</f>
        <v/>
      </c>
      <c r="O97" s="487">
        <f>O63/$O27</f>
        <v/>
      </c>
      <c r="P97" s="487">
        <f>P63/$O27</f>
        <v/>
      </c>
      <c r="Q97" s="736">
        <f>Q63/$O27</f>
        <v/>
      </c>
      <c r="R97" s="544" t="n"/>
      <c r="S97" s="84">
        <f>S63/$O27</f>
        <v/>
      </c>
      <c r="T97" s="542" t="n"/>
      <c r="U97" s="1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761.4007990931957</v>
      </c>
      <c r="AJ97" s="1" t="n">
        <v>-317.8413150895663</v>
      </c>
      <c r="AK97" s="1" t="n">
        <v>152.7258893161911</v>
      </c>
      <c r="AL97" s="1" t="n">
        <v>665.1609678407042</v>
      </c>
      <c r="AM97" s="1" t="n">
        <v>0</v>
      </c>
      <c r="AN97" s="1" t="n">
        <v>0</v>
      </c>
      <c r="AO97" s="25" t="n">
        <v>0</v>
      </c>
      <c r="AP97" s="25" t="n">
        <v>624.5435571920401</v>
      </c>
      <c r="AQ97" s="25" t="n">
        <v>-624.5435571920402</v>
      </c>
      <c r="AR97" s="25" t="n">
        <v>0</v>
      </c>
      <c r="AS97" s="25" t="n">
        <v>0</v>
      </c>
      <c r="AT97" s="25" t="n">
        <v>0</v>
      </c>
      <c r="AU97" s="25" t="n">
        <v>0</v>
      </c>
      <c r="AV97" s="25" t="n">
        <v>0</v>
      </c>
      <c r="AW97" s="25" t="n">
        <v>0</v>
      </c>
      <c r="AX97" s="25" t="n">
        <v>0</v>
      </c>
      <c r="AY97" s="25" t="n">
        <v>0</v>
      </c>
      <c r="AZ97" s="45" t="n">
        <v>1313.101556264625</v>
      </c>
    </row>
    <row r="98">
      <c r="A98" s="612" t="n"/>
      <c r="B98" s="650">
        <f>B64/$O28</f>
        <v/>
      </c>
      <c r="C98" s="487">
        <f>C64/$O28</f>
        <v/>
      </c>
      <c r="D98" s="487">
        <f>D64/$O28</f>
        <v/>
      </c>
      <c r="E98" s="487">
        <f>E64/$O28</f>
        <v/>
      </c>
      <c r="F98" s="487">
        <f>F64/$O28</f>
        <v/>
      </c>
      <c r="G98" s="487">
        <f>G64/$O28</f>
        <v/>
      </c>
      <c r="H98" s="487">
        <f>H64/$O28</f>
        <v/>
      </c>
      <c r="I98" s="487">
        <f>I64/$O28</f>
        <v/>
      </c>
      <c r="J98" s="487">
        <f>J64/$O28</f>
        <v/>
      </c>
      <c r="K98" s="487">
        <f>K64/$O28</f>
        <v/>
      </c>
      <c r="L98" s="487">
        <f>L64/$O28</f>
        <v/>
      </c>
      <c r="M98" s="487">
        <f>M64/$O28</f>
        <v/>
      </c>
      <c r="N98" s="487">
        <f>N64/$O28</f>
        <v/>
      </c>
      <c r="O98" s="487">
        <f>O64/$O28</f>
        <v/>
      </c>
      <c r="P98" s="487">
        <f>P64/$O28</f>
        <v/>
      </c>
      <c r="Q98" s="736">
        <f>Q64/$O28</f>
        <v/>
      </c>
      <c r="R98" s="544" t="n"/>
      <c r="S98" s="84">
        <f>S64/$O28</f>
        <v/>
      </c>
      <c r="T98" s="542" t="n"/>
      <c r="U98" s="11" t="n">
        <v>0</v>
      </c>
      <c r="V98" s="1" t="n">
        <v>638.978685145635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-809.0506202279863</v>
      </c>
      <c r="AK98" s="1" t="n">
        <v>0</v>
      </c>
      <c r="AL98" s="1" t="n">
        <v>0</v>
      </c>
      <c r="AM98" s="1" t="n">
        <v>0</v>
      </c>
      <c r="AN98" s="1" t="n">
        <v>777.4856989949255</v>
      </c>
      <c r="AO98" s="25" t="n">
        <v>0</v>
      </c>
      <c r="AP98" s="25" t="n">
        <v>0</v>
      </c>
      <c r="AQ98" s="25" t="n">
        <v>-966.8332384225932</v>
      </c>
      <c r="AR98" s="25" t="n">
        <v>966.8332384225932</v>
      </c>
      <c r="AS98" s="25" t="n">
        <v>0</v>
      </c>
      <c r="AT98" s="25" t="n">
        <v>0</v>
      </c>
      <c r="AU98" s="25" t="n">
        <v>0</v>
      </c>
      <c r="AV98" s="25" t="n">
        <v>0</v>
      </c>
      <c r="AW98" s="25" t="n">
        <v>542.1336261037798</v>
      </c>
      <c r="AX98" s="25" t="n">
        <v>-1460.966287252866</v>
      </c>
      <c r="AY98" s="25" t="n">
        <v>-48.00057727350653</v>
      </c>
      <c r="AZ98" s="45" t="n">
        <v>450.971912747205</v>
      </c>
    </row>
    <row r="99">
      <c r="A99" s="612" t="n"/>
      <c r="B99" s="650">
        <f>B65/$O29</f>
        <v/>
      </c>
      <c r="C99" s="487">
        <f>C65/$O29</f>
        <v/>
      </c>
      <c r="D99" s="487">
        <f>D65/$O29</f>
        <v/>
      </c>
      <c r="E99" s="487">
        <f>E65/$O29</f>
        <v/>
      </c>
      <c r="F99" s="487">
        <f>F65/$O29</f>
        <v/>
      </c>
      <c r="G99" s="487">
        <f>G65/$O29</f>
        <v/>
      </c>
      <c r="H99" s="487">
        <f>H65/$O29</f>
        <v/>
      </c>
      <c r="I99" s="487">
        <f>I65/$O29</f>
        <v/>
      </c>
      <c r="J99" s="487">
        <f>J65/$O29</f>
        <v/>
      </c>
      <c r="K99" s="487">
        <f>K65/$O29</f>
        <v/>
      </c>
      <c r="L99" s="487">
        <f>L65/$O29</f>
        <v/>
      </c>
      <c r="M99" s="487">
        <f>M65/$O29</f>
        <v/>
      </c>
      <c r="N99" s="487">
        <f>N65/$O29</f>
        <v/>
      </c>
      <c r="O99" s="487">
        <f>O65/$O29</f>
        <v/>
      </c>
      <c r="P99" s="487">
        <f>P65/$O29</f>
        <v/>
      </c>
      <c r="Q99" s="736">
        <f>Q65/$O29</f>
        <v/>
      </c>
      <c r="R99" s="544" t="n"/>
      <c r="S99" s="84">
        <f>S65/$O29</f>
        <v/>
      </c>
      <c r="T99" s="542" t="n"/>
      <c r="U99" s="11" t="n">
        <v>0</v>
      </c>
      <c r="V99" s="1" t="n">
        <v>583.4153212199276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317.8413150895663</v>
      </c>
      <c r="AK99" s="1" t="n">
        <v>0</v>
      </c>
      <c r="AL99" s="1" t="n">
        <v>0</v>
      </c>
      <c r="AM99" s="1" t="n">
        <v>0</v>
      </c>
      <c r="AN99" s="1" t="n">
        <v>-362.8266595309657</v>
      </c>
      <c r="AO99" s="25" t="n">
        <v>0</v>
      </c>
      <c r="AP99" s="25" t="n">
        <v>0</v>
      </c>
      <c r="AQ99" s="25" t="n">
        <v>-79.8302673926912</v>
      </c>
      <c r="AR99" s="25" t="n">
        <v>79.8302673926912</v>
      </c>
      <c r="AS99" s="25" t="n">
        <v>0</v>
      </c>
      <c r="AT99" s="25" t="n">
        <v>0</v>
      </c>
      <c r="AU99" s="25" t="n">
        <v>0</v>
      </c>
      <c r="AV99" s="25" t="n">
        <v>0</v>
      </c>
      <c r="AW99" s="25" t="n">
        <v>1161.714913079528</v>
      </c>
      <c r="AX99" s="25" t="n">
        <v>-155.3743794400524</v>
      </c>
      <c r="AY99" s="25" t="n">
        <v>-1086.170801032167</v>
      </c>
      <c r="AZ99" s="45" t="n">
        <v>-1233.271288871933</v>
      </c>
    </row>
    <row r="100">
      <c r="A100" s="612" t="n"/>
      <c r="B100" s="647">
        <f>B66/$O30</f>
        <v/>
      </c>
      <c r="C100" s="648">
        <f>C66/$O30</f>
        <v/>
      </c>
      <c r="D100" s="648">
        <f>D66/$O30</f>
        <v/>
      </c>
      <c r="E100" s="648">
        <f>E66/$O30</f>
        <v/>
      </c>
      <c r="F100" s="648">
        <f>F66/$O30</f>
        <v/>
      </c>
      <c r="G100" s="648">
        <f>G66/$O30</f>
        <v/>
      </c>
      <c r="H100" s="648">
        <f>H66/$O30</f>
        <v/>
      </c>
      <c r="I100" s="648">
        <f>I66/$O30</f>
        <v/>
      </c>
      <c r="J100" s="648">
        <f>J66/$O30</f>
        <v/>
      </c>
      <c r="K100" s="648">
        <f>K66/$O30</f>
        <v/>
      </c>
      <c r="L100" s="648">
        <f>L66/$O30</f>
        <v/>
      </c>
      <c r="M100" s="648">
        <f>M66/$O30</f>
        <v/>
      </c>
      <c r="N100" s="648">
        <f>N66/$O30</f>
        <v/>
      </c>
      <c r="O100" s="648">
        <f>O66/$O30</f>
        <v/>
      </c>
      <c r="P100" s="648">
        <f>P66/$O30</f>
        <v/>
      </c>
      <c r="Q100" s="735">
        <f>Q66/$O30</f>
        <v/>
      </c>
      <c r="R100" s="555" t="n"/>
      <c r="S100" s="84">
        <f>S66/$O30</f>
        <v/>
      </c>
      <c r="T100" s="542" t="n"/>
      <c r="U100" s="11" t="n">
        <v>0</v>
      </c>
      <c r="V100" s="1" t="n">
        <v>0</v>
      </c>
      <c r="W100" s="1" t="n">
        <v>-166.4161028811412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-11.83527752325168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-377.8794438441299</v>
      </c>
      <c r="AN100" s="1" t="n">
        <v>-777.4856989949255</v>
      </c>
      <c r="AO100" s="25" t="n">
        <v>0</v>
      </c>
      <c r="AP100" s="25" t="n">
        <v>0</v>
      </c>
      <c r="AQ100" s="25" t="n">
        <v>0</v>
      </c>
      <c r="AR100" s="25" t="n">
        <v>0</v>
      </c>
      <c r="AS100" s="25" t="n">
        <v>0</v>
      </c>
      <c r="AT100" s="25" t="n">
        <v>0</v>
      </c>
      <c r="AU100" s="25" t="n">
        <v>-502.9865441086901</v>
      </c>
      <c r="AV100" s="25" t="n">
        <v>616.2122718356139</v>
      </c>
      <c r="AW100" s="25" t="n">
        <v>7.62438112211089</v>
      </c>
      <c r="AX100" s="25" t="n">
        <v>542.1336261037798</v>
      </c>
      <c r="AY100" s="25" t="n">
        <v>0</v>
      </c>
      <c r="AZ100" s="45" t="n">
        <v>0</v>
      </c>
    </row>
    <row r="101">
      <c r="B101" s="650">
        <f>B67/$O31</f>
        <v/>
      </c>
      <c r="C101" s="487">
        <f>C67/$O31</f>
        <v/>
      </c>
      <c r="D101" s="487">
        <f>D67/$O31</f>
        <v/>
      </c>
      <c r="E101" s="487">
        <f>E67/$O31</f>
        <v/>
      </c>
      <c r="F101" s="487">
        <f>F67/$O31</f>
        <v/>
      </c>
      <c r="G101" s="487">
        <f>G67/$O31</f>
        <v/>
      </c>
      <c r="H101" s="487">
        <f>H67/$O31</f>
        <v/>
      </c>
      <c r="I101" s="487">
        <f>I67/$O31</f>
        <v/>
      </c>
      <c r="J101" s="487">
        <f>J67/$O31</f>
        <v/>
      </c>
      <c r="K101" s="487">
        <f>K67/$O31</f>
        <v/>
      </c>
      <c r="L101" s="487">
        <f>L67/$O31</f>
        <v/>
      </c>
      <c r="M101" s="487">
        <f>M67/$O31</f>
        <v/>
      </c>
      <c r="N101" s="487">
        <f>N67/$O31</f>
        <v/>
      </c>
      <c r="O101" s="487">
        <f>O67/$O31</f>
        <v/>
      </c>
      <c r="P101" s="487">
        <f>P67/$O31</f>
        <v/>
      </c>
      <c r="Q101" s="736">
        <f>Q67/$O31</f>
        <v/>
      </c>
      <c r="R101" s="544" t="n"/>
      <c r="S101" s="84">
        <f>S67/$O31</f>
        <v/>
      </c>
      <c r="T101" s="542" t="n"/>
      <c r="U101" s="11" t="n">
        <v>0</v>
      </c>
      <c r="V101" s="1" t="n">
        <v>0</v>
      </c>
      <c r="W101" s="1" t="n">
        <v>832.0805144057055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757.457761488113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647.7933323042234</v>
      </c>
      <c r="AN101" s="1" t="n">
        <v>362.8266595309657</v>
      </c>
      <c r="AO101" s="25" t="n">
        <v>0</v>
      </c>
      <c r="AP101" s="25" t="n">
        <v>0</v>
      </c>
      <c r="AQ101" s="25" t="n">
        <v>0</v>
      </c>
      <c r="AR101" s="25" t="n">
        <v>0</v>
      </c>
      <c r="AS101" s="25" t="n">
        <v>0</v>
      </c>
      <c r="AT101" s="25" t="n">
        <v>0</v>
      </c>
      <c r="AU101" s="25" t="n">
        <v>-222.8349349536632</v>
      </c>
      <c r="AV101" s="25" t="n">
        <v>-87.49811506946871</v>
      </c>
      <c r="AW101" s="25" t="n">
        <v>-841.0227421977584</v>
      </c>
      <c r="AX101" s="25" t="n">
        <v>1161.714913079528</v>
      </c>
      <c r="AY101" s="25" t="n">
        <v>0</v>
      </c>
      <c r="AZ101" s="45" t="n">
        <v>0</v>
      </c>
    </row>
    <row r="102">
      <c r="B102" s="650">
        <f>B68/$O32</f>
        <v/>
      </c>
      <c r="C102" s="487">
        <f>C68/$O32</f>
        <v/>
      </c>
      <c r="D102" s="487">
        <f>D68/$O32</f>
        <v/>
      </c>
      <c r="E102" s="487">
        <f>E68/$O32</f>
        <v/>
      </c>
      <c r="F102" s="487">
        <f>F68/$O32</f>
        <v/>
      </c>
      <c r="G102" s="487">
        <f>G68/$O32</f>
        <v/>
      </c>
      <c r="H102" s="487">
        <f>H68/$O32</f>
        <v/>
      </c>
      <c r="I102" s="487">
        <f>I68/$O32</f>
        <v/>
      </c>
      <c r="J102" s="487">
        <f>J68/$O32</f>
        <v/>
      </c>
      <c r="K102" s="487">
        <f>K68/$O32</f>
        <v/>
      </c>
      <c r="L102" s="487">
        <f>L68/$O32</f>
        <v/>
      </c>
      <c r="M102" s="487">
        <f>M68/$O32</f>
        <v/>
      </c>
      <c r="N102" s="487">
        <f>N68/$O32</f>
        <v/>
      </c>
      <c r="O102" s="487">
        <f>O68/$O32</f>
        <v/>
      </c>
      <c r="P102" s="487">
        <f>P68/$O32</f>
        <v/>
      </c>
      <c r="Q102" s="736">
        <f>Q68/$O32</f>
        <v/>
      </c>
      <c r="R102" s="544" t="n"/>
      <c r="S102" s="84">
        <f>S68/$O32</f>
        <v/>
      </c>
      <c r="T102" s="542" t="n"/>
      <c r="U102" s="11" t="n">
        <v>-173.6457539563472</v>
      </c>
      <c r="V102" s="1" t="n">
        <v>-638.978685145635</v>
      </c>
      <c r="W102" s="1" t="n">
        <v>166.4161028811412</v>
      </c>
      <c r="X102" s="1" t="n">
        <v>176.475126219299</v>
      </c>
      <c r="Y102" s="1" t="n">
        <v>-648.8432542649895</v>
      </c>
      <c r="Z102" s="1" t="n">
        <v>0</v>
      </c>
      <c r="AA102" s="1" t="n">
        <v>0</v>
      </c>
      <c r="AB102" s="1" t="n">
        <v>176.4747726760782</v>
      </c>
      <c r="AC102" s="1" t="n">
        <v>0</v>
      </c>
      <c r="AD102" s="1" t="n">
        <v>0</v>
      </c>
      <c r="AE102" s="1" t="n">
        <v>0</v>
      </c>
      <c r="AF102" s="1" t="n">
        <v>-173.6459178116386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-778.9020355125754</v>
      </c>
      <c r="AL102" s="1" t="n">
        <v>0</v>
      </c>
      <c r="AM102" s="1" t="n">
        <v>0</v>
      </c>
      <c r="AN102" s="1" t="n">
        <v>0</v>
      </c>
      <c r="AO102" s="25" t="n">
        <v>0</v>
      </c>
      <c r="AP102" s="25" t="n">
        <v>0</v>
      </c>
      <c r="AQ102" s="25" t="n">
        <v>0</v>
      </c>
      <c r="AR102" s="25" t="n">
        <v>-787.292164921495</v>
      </c>
      <c r="AS102" s="25" t="n">
        <v>787.292164921495</v>
      </c>
      <c r="AT102" s="25" t="n">
        <v>0</v>
      </c>
      <c r="AU102" s="25" t="n">
        <v>1165.970279061504</v>
      </c>
      <c r="AV102" s="25" t="n">
        <v>-1165.970279061504</v>
      </c>
      <c r="AW102" s="25" t="n">
        <v>0</v>
      </c>
      <c r="AX102" s="25" t="n">
        <v>918.8326611490867</v>
      </c>
      <c r="AY102" s="25" t="n">
        <v>-918.8326611490867</v>
      </c>
      <c r="AZ102" s="45" t="n">
        <v>0</v>
      </c>
    </row>
    <row r="103">
      <c r="B103" s="650">
        <f>B69/$O33</f>
        <v/>
      </c>
      <c r="C103" s="487">
        <f>C69/$O33</f>
        <v/>
      </c>
      <c r="D103" s="487">
        <f>D69/$O33</f>
        <v/>
      </c>
      <c r="E103" s="487">
        <f>E69/$O33</f>
        <v/>
      </c>
      <c r="F103" s="487">
        <f>F69/$O33</f>
        <v/>
      </c>
      <c r="G103" s="487">
        <f>G69/$O33</f>
        <v/>
      </c>
      <c r="H103" s="487">
        <f>H69/$O33</f>
        <v/>
      </c>
      <c r="I103" s="487">
        <f>I69/$O33</f>
        <v/>
      </c>
      <c r="J103" s="487">
        <f>J69/$O33</f>
        <v/>
      </c>
      <c r="K103" s="487">
        <f>K69/$O33</f>
        <v/>
      </c>
      <c r="L103" s="487">
        <f>L69/$O33</f>
        <v/>
      </c>
      <c r="M103" s="487">
        <f>M69/$O33</f>
        <v/>
      </c>
      <c r="N103" s="487">
        <f>N69/$O33</f>
        <v/>
      </c>
      <c r="O103" s="487">
        <f>O69/$O33</f>
        <v/>
      </c>
      <c r="P103" s="487">
        <f>P69/$O33</f>
        <v/>
      </c>
      <c r="Q103" s="736">
        <f>Q69/$O33</f>
        <v/>
      </c>
      <c r="R103" s="544" t="n"/>
      <c r="S103" s="84">
        <f>S69/$O33</f>
        <v/>
      </c>
      <c r="T103" s="542" t="n"/>
      <c r="U103" s="11" t="n">
        <v>766.9354133072021</v>
      </c>
      <c r="V103" s="1" t="n">
        <v>-583.4153212199276</v>
      </c>
      <c r="W103" s="1" t="n">
        <v>-832.0805144057055</v>
      </c>
      <c r="X103" s="1" t="n">
        <v>852.9631100599474</v>
      </c>
      <c r="Y103" s="1" t="n">
        <v>551.2728400898036</v>
      </c>
      <c r="Z103" s="1" t="n">
        <v>0</v>
      </c>
      <c r="AA103" s="1" t="n">
        <v>0</v>
      </c>
      <c r="AB103" s="1" t="n">
        <v>852.9614012677113</v>
      </c>
      <c r="AC103" s="1" t="n">
        <v>0</v>
      </c>
      <c r="AD103" s="1" t="n">
        <v>0</v>
      </c>
      <c r="AE103" s="1" t="n">
        <v>0</v>
      </c>
      <c r="AF103" s="1" t="n">
        <v>766.9361370014043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-152.7258893161911</v>
      </c>
      <c r="AL103" s="1" t="n">
        <v>0</v>
      </c>
      <c r="AM103" s="1" t="n">
        <v>0</v>
      </c>
      <c r="AN103" s="1" t="n">
        <v>0</v>
      </c>
      <c r="AO103" s="25" t="n">
        <v>0</v>
      </c>
      <c r="AP103" s="25" t="n">
        <v>0</v>
      </c>
      <c r="AQ103" s="25" t="n">
        <v>0</v>
      </c>
      <c r="AR103" s="25" t="n">
        <v>-926.6359109252995</v>
      </c>
      <c r="AS103" s="25" t="n">
        <v>926.6359109252995</v>
      </c>
      <c r="AT103" s="25" t="n">
        <v>0</v>
      </c>
      <c r="AU103" s="25" t="n">
        <v>233.1940558123009</v>
      </c>
      <c r="AV103" s="25" t="n">
        <v>-233.1940558123009</v>
      </c>
      <c r="AW103" s="25" t="n">
        <v>0</v>
      </c>
      <c r="AX103" s="25" t="n">
        <v>-1006.340533639476</v>
      </c>
      <c r="AY103" s="25" t="n">
        <v>1006.340533639476</v>
      </c>
      <c r="AZ103" s="45" t="n">
        <v>0</v>
      </c>
    </row>
    <row r="104">
      <c r="B104" s="650">
        <f>B70/$O34</f>
        <v/>
      </c>
      <c r="C104" s="487">
        <f>C70/$O34</f>
        <v/>
      </c>
      <c r="D104" s="487">
        <f>D70/$O34</f>
        <v/>
      </c>
      <c r="E104" s="487">
        <f>E70/$O34</f>
        <v/>
      </c>
      <c r="F104" s="487">
        <f>F70/$O34</f>
        <v/>
      </c>
      <c r="G104" s="487">
        <f>G70/$O34</f>
        <v/>
      </c>
      <c r="H104" s="487">
        <f>H70/$O34</f>
        <v/>
      </c>
      <c r="I104" s="487">
        <f>I70/$O34</f>
        <v/>
      </c>
      <c r="J104" s="487">
        <f>J70/$O34</f>
        <v/>
      </c>
      <c r="K104" s="487">
        <f>K70/$O34</f>
        <v/>
      </c>
      <c r="L104" s="487">
        <f>L70/$O34</f>
        <v/>
      </c>
      <c r="M104" s="487">
        <f>M70/$O34</f>
        <v/>
      </c>
      <c r="N104" s="487">
        <f>N70/$O34</f>
        <v/>
      </c>
      <c r="O104" s="487">
        <f>O70/$O34</f>
        <v/>
      </c>
      <c r="P104" s="487">
        <f>P70/$O34</f>
        <v/>
      </c>
      <c r="Q104" s="736">
        <f>Q70/$O34</f>
        <v/>
      </c>
      <c r="R104" s="544" t="n"/>
      <c r="S104" s="84">
        <f>S70/$O34</f>
        <v/>
      </c>
      <c r="T104" s="542" t="n"/>
      <c r="U104" s="11" t="n">
        <v>0</v>
      </c>
      <c r="V104" s="1" t="n">
        <v>0</v>
      </c>
      <c r="W104" s="1" t="n">
        <v>0</v>
      </c>
      <c r="X104" s="1" t="n">
        <v>-176.475126219299</v>
      </c>
      <c r="Y104" s="1" t="n">
        <v>0</v>
      </c>
      <c r="Z104" s="1" t="n">
        <v>-521.7388582232043</v>
      </c>
      <c r="AA104" s="1" t="n">
        <v>-841.4861035042926</v>
      </c>
      <c r="AB104" s="1" t="n">
        <v>-176.4747726760782</v>
      </c>
      <c r="AC104" s="1" t="n">
        <v>11.83527752325168</v>
      </c>
      <c r="AD104" s="1" t="n">
        <v>0</v>
      </c>
      <c r="AE104" s="1" t="n">
        <v>0</v>
      </c>
      <c r="AF104" s="1" t="n">
        <v>0</v>
      </c>
      <c r="AG104" s="1" t="n">
        <v>-739.6334691274424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25" t="n">
        <v>0</v>
      </c>
      <c r="AP104" s="25" t="n">
        <v>0</v>
      </c>
      <c r="AQ104" s="25" t="n">
        <v>0</v>
      </c>
      <c r="AR104" s="25" t="n">
        <v>0</v>
      </c>
      <c r="AS104" s="25" t="n">
        <v>246.0990434260211</v>
      </c>
      <c r="AT104" s="25" t="n">
        <v>-246.0990434260211</v>
      </c>
      <c r="AU104" s="25" t="n">
        <v>-662.9837349528144</v>
      </c>
      <c r="AV104" s="25" t="n">
        <v>0</v>
      </c>
      <c r="AW104" s="25" t="n">
        <v>0</v>
      </c>
      <c r="AX104" s="25" t="n">
        <v>0</v>
      </c>
      <c r="AY104" s="25" t="n">
        <v>0</v>
      </c>
      <c r="AZ104" s="45" t="n">
        <v>0</v>
      </c>
    </row>
    <row r="105">
      <c r="B105" s="650">
        <f>B71/$O35</f>
        <v/>
      </c>
      <c r="C105" s="487">
        <f>C71/$O35</f>
        <v/>
      </c>
      <c r="D105" s="487">
        <f>D71/$O35</f>
        <v/>
      </c>
      <c r="E105" s="487">
        <f>E71/$O35</f>
        <v/>
      </c>
      <c r="F105" s="487">
        <f>F71/$O35</f>
        <v/>
      </c>
      <c r="G105" s="487">
        <f>G71/$O35</f>
        <v/>
      </c>
      <c r="H105" s="487">
        <f>H71/$O35</f>
        <v/>
      </c>
      <c r="I105" s="487">
        <f>I71/$O35</f>
        <v/>
      </c>
      <c r="J105" s="487">
        <f>J71/$O35</f>
        <v/>
      </c>
      <c r="K105" s="487">
        <f>K71/$O35</f>
        <v/>
      </c>
      <c r="L105" s="487">
        <f>L71/$O35</f>
        <v/>
      </c>
      <c r="M105" s="487">
        <f>M71/$O35</f>
        <v/>
      </c>
      <c r="N105" s="487">
        <f>N71/$O35</f>
        <v/>
      </c>
      <c r="O105" s="487">
        <f>O71/$O35</f>
        <v/>
      </c>
      <c r="P105" s="487">
        <f>P71/$O35</f>
        <v/>
      </c>
      <c r="Q105" s="736">
        <f>Q71/$O35</f>
        <v/>
      </c>
      <c r="R105" s="544" t="n"/>
      <c r="S105" s="84">
        <f>S71/$O35</f>
        <v/>
      </c>
      <c r="T105" s="542" t="n"/>
      <c r="U105" s="11" t="n">
        <v>0</v>
      </c>
      <c r="V105" s="1" t="n">
        <v>0</v>
      </c>
      <c r="W105" s="1" t="n">
        <v>0</v>
      </c>
      <c r="X105" s="1" t="n">
        <v>-852.9631100599474</v>
      </c>
      <c r="Y105" s="1" t="n">
        <v>0</v>
      </c>
      <c r="Z105" s="1" t="n">
        <v>695.6518109642727</v>
      </c>
      <c r="AA105" s="1" t="n">
        <v>-165.1997258413335</v>
      </c>
      <c r="AB105" s="1" t="n">
        <v>-852.9614012677113</v>
      </c>
      <c r="AC105" s="1" t="n">
        <v>-757.457761488113</v>
      </c>
      <c r="AD105" s="1" t="n">
        <v>0</v>
      </c>
      <c r="AE105" s="1" t="n">
        <v>0</v>
      </c>
      <c r="AF105" s="1" t="n">
        <v>0</v>
      </c>
      <c r="AG105" s="1" t="n">
        <v>299.0007641153492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25" t="n">
        <v>0</v>
      </c>
      <c r="AP105" s="25" t="n">
        <v>0</v>
      </c>
      <c r="AQ105" s="25" t="n">
        <v>0</v>
      </c>
      <c r="AR105" s="25" t="n">
        <v>0</v>
      </c>
      <c r="AS105" s="25" t="n">
        <v>-1253.567002451295</v>
      </c>
      <c r="AT105" s="25" t="n">
        <v>1253.567002451295</v>
      </c>
      <c r="AU105" s="25" t="n">
        <v>-10.35912085863773</v>
      </c>
      <c r="AV105" s="25" t="n">
        <v>0</v>
      </c>
      <c r="AW105" s="25" t="n">
        <v>0</v>
      </c>
      <c r="AX105" s="25" t="n">
        <v>0</v>
      </c>
      <c r="AY105" s="25" t="n">
        <v>0</v>
      </c>
      <c r="AZ105" s="45" t="n">
        <v>0</v>
      </c>
    </row>
    <row r="106">
      <c r="B106" s="650">
        <f>B72/$O36</f>
        <v/>
      </c>
      <c r="C106" s="487">
        <f>C72/$O36</f>
        <v/>
      </c>
      <c r="D106" s="487">
        <f>D72/$O36</f>
        <v/>
      </c>
      <c r="E106" s="487">
        <f>E72/$O36</f>
        <v/>
      </c>
      <c r="F106" s="487">
        <f>F72/$O36</f>
        <v/>
      </c>
      <c r="G106" s="487">
        <f>G72/$O36</f>
        <v/>
      </c>
      <c r="H106" s="487">
        <f>H72/$O36</f>
        <v/>
      </c>
      <c r="I106" s="487">
        <f>I72/$O36</f>
        <v/>
      </c>
      <c r="J106" s="487">
        <f>J72/$O36</f>
        <v/>
      </c>
      <c r="K106" s="487">
        <f>K72/$O36</f>
        <v/>
      </c>
      <c r="L106" s="487">
        <f>L72/$O36</f>
        <v/>
      </c>
      <c r="M106" s="487">
        <f>M72/$O36</f>
        <v/>
      </c>
      <c r="N106" s="487">
        <f>N72/$O36</f>
        <v/>
      </c>
      <c r="O106" s="487">
        <f>O72/$O36</f>
        <v/>
      </c>
      <c r="P106" s="487">
        <f>P72/$O36</f>
        <v/>
      </c>
      <c r="Q106" s="736">
        <f>Q72/$O36</f>
        <v/>
      </c>
      <c r="R106" s="544" t="n"/>
      <c r="S106" s="84">
        <f>S72/$O36</f>
        <v/>
      </c>
      <c r="T106" s="542" t="n"/>
      <c r="U106" s="11" t="n">
        <v>0</v>
      </c>
      <c r="V106" s="1" t="n">
        <v>0</v>
      </c>
      <c r="W106" s="1" t="n">
        <v>0</v>
      </c>
      <c r="X106" s="1" t="n">
        <v>0</v>
      </c>
      <c r="Y106" s="1" t="n">
        <v>648.8432542649895</v>
      </c>
      <c r="Z106" s="1" t="n">
        <v>0</v>
      </c>
      <c r="AA106" s="1" t="n">
        <v>841.4861035042926</v>
      </c>
      <c r="AB106" s="1" t="n">
        <v>0</v>
      </c>
      <c r="AC106" s="1" t="n">
        <v>0</v>
      </c>
      <c r="AD106" s="1" t="n">
        <v>0</v>
      </c>
      <c r="AE106" s="1" t="n">
        <v>370.4602555455708</v>
      </c>
      <c r="AF106" s="1" t="n">
        <v>0</v>
      </c>
      <c r="AG106" s="1" t="n">
        <v>0</v>
      </c>
      <c r="AH106" s="1" t="n">
        <v>-430.358814391428</v>
      </c>
      <c r="AI106" s="1" t="n">
        <v>0</v>
      </c>
      <c r="AJ106" s="1" t="n">
        <v>0</v>
      </c>
      <c r="AK106" s="1" t="n">
        <v>0</v>
      </c>
      <c r="AL106" s="1" t="n">
        <v>-497.850540347031</v>
      </c>
      <c r="AM106" s="1" t="n">
        <v>377.8794438441299</v>
      </c>
      <c r="AN106" s="1" t="n">
        <v>0</v>
      </c>
      <c r="AO106" s="25" t="n">
        <v>-130.0621825289342</v>
      </c>
      <c r="AP106" s="25" t="n">
        <v>2098.92873113712</v>
      </c>
      <c r="AQ106" s="25" t="n">
        <v>132.402092338146</v>
      </c>
      <c r="AR106" s="25" t="n">
        <v>-179.5410735010983</v>
      </c>
      <c r="AS106" s="25" t="n">
        <v>-1033.391208347516</v>
      </c>
      <c r="AT106" s="25" t="n">
        <v>-888.3363590977174</v>
      </c>
      <c r="AU106" s="25" t="n">
        <v>0</v>
      </c>
      <c r="AV106" s="25" t="n">
        <v>549.7580072258907</v>
      </c>
      <c r="AW106" s="25" t="n">
        <v>-549.7580072258907</v>
      </c>
      <c r="AX106" s="25" t="n">
        <v>0</v>
      </c>
      <c r="AY106" s="25" t="n">
        <v>966.8332384225932</v>
      </c>
      <c r="AZ106" s="45" t="n">
        <v>-966.8332384225932</v>
      </c>
    </row>
    <row r="107">
      <c r="B107" s="650">
        <f>B73/$O37</f>
        <v/>
      </c>
      <c r="C107" s="487">
        <f>C73/$O37</f>
        <v/>
      </c>
      <c r="D107" s="487">
        <f>D73/$O37</f>
        <v/>
      </c>
      <c r="E107" s="487">
        <f>E73/$O37</f>
        <v/>
      </c>
      <c r="F107" s="487">
        <f>F73/$O37</f>
        <v/>
      </c>
      <c r="G107" s="487">
        <f>G73/$O37</f>
        <v/>
      </c>
      <c r="H107" s="487">
        <f>H73/$O37</f>
        <v/>
      </c>
      <c r="I107" s="487">
        <f>I73/$O37</f>
        <v/>
      </c>
      <c r="J107" s="487">
        <f>J73/$O37</f>
        <v/>
      </c>
      <c r="K107" s="487">
        <f>K73/$O37</f>
        <v/>
      </c>
      <c r="L107" s="487">
        <f>L73/$O37</f>
        <v/>
      </c>
      <c r="M107" s="487">
        <f>M73/$O37</f>
        <v/>
      </c>
      <c r="N107" s="487">
        <f>N73/$O37</f>
        <v/>
      </c>
      <c r="O107" s="487">
        <f>O73/$O37</f>
        <v/>
      </c>
      <c r="P107" s="487">
        <f>P73/$O37</f>
        <v/>
      </c>
      <c r="Q107" s="736">
        <f>Q73/$O37</f>
        <v/>
      </c>
      <c r="R107" s="544" t="n"/>
      <c r="S107" s="85">
        <f>S73/$O37</f>
        <v/>
      </c>
      <c r="T107" s="542" t="n"/>
      <c r="U107" s="13" t="n">
        <v>0</v>
      </c>
      <c r="V107" s="14" t="n">
        <v>0</v>
      </c>
      <c r="W107" s="14" t="n">
        <v>0</v>
      </c>
      <c r="X107" s="14" t="n">
        <v>0</v>
      </c>
      <c r="Y107" s="14" t="n">
        <v>-551.2728400898036</v>
      </c>
      <c r="Z107" s="14" t="n">
        <v>0</v>
      </c>
      <c r="AA107" s="14" t="n">
        <v>165.1997258413335</v>
      </c>
      <c r="AB107" s="14" t="n">
        <v>0</v>
      </c>
      <c r="AC107" s="14" t="n">
        <v>0</v>
      </c>
      <c r="AD107" s="14" t="n">
        <v>0</v>
      </c>
      <c r="AE107" s="14" t="n">
        <v>771.3692992181751</v>
      </c>
      <c r="AF107" s="14" t="n">
        <v>0</v>
      </c>
      <c r="AG107" s="14" t="n">
        <v>0</v>
      </c>
      <c r="AH107" s="14" t="n">
        <v>759.1051309404353</v>
      </c>
      <c r="AI107" s="14" t="n">
        <v>0</v>
      </c>
      <c r="AJ107" s="14" t="n">
        <v>0</v>
      </c>
      <c r="AK107" s="14" t="n">
        <v>0</v>
      </c>
      <c r="AL107" s="14" t="n">
        <v>-665.1609678407042</v>
      </c>
      <c r="AM107" s="14" t="n">
        <v>-647.7933323042234</v>
      </c>
      <c r="AN107" s="14" t="n">
        <v>0</v>
      </c>
      <c r="AO107" s="32" t="n">
        <v>-1261.708049503421</v>
      </c>
      <c r="AP107" s="32" t="n">
        <v>92.33696346774279</v>
      </c>
      <c r="AQ107" s="32" t="n">
        <v>704.3738245847313</v>
      </c>
      <c r="AR107" s="32" t="n">
        <v>846.8056435326084</v>
      </c>
      <c r="AS107" s="32" t="n">
        <v>326.9310915259956</v>
      </c>
      <c r="AT107" s="32" t="n">
        <v>-708.7394736076577</v>
      </c>
      <c r="AU107" s="32" t="n">
        <v>0</v>
      </c>
      <c r="AV107" s="32" t="n">
        <v>320.6921708817696</v>
      </c>
      <c r="AW107" s="32" t="n">
        <v>-320.6921708817696</v>
      </c>
      <c r="AX107" s="32" t="n">
        <v>0</v>
      </c>
      <c r="AY107" s="32" t="n">
        <v>79.8302673926912</v>
      </c>
      <c r="AZ107" s="49" t="n">
        <v>-79.8302673926912</v>
      </c>
    </row>
    <row r="108">
      <c r="B108" s="650" t="n"/>
      <c r="C108" s="487" t="n"/>
      <c r="D108" s="487" t="n"/>
      <c r="E108" s="487" t="n"/>
      <c r="F108" s="487" t="n"/>
      <c r="G108" s="487" t="n"/>
      <c r="H108" s="487" t="n"/>
      <c r="I108" s="487" t="n"/>
      <c r="J108" s="487" t="n"/>
      <c r="K108" s="487" t="n"/>
      <c r="L108" s="487" t="n"/>
      <c r="M108" s="487" t="n"/>
      <c r="N108" s="487" t="n"/>
      <c r="O108" s="487" t="n"/>
      <c r="P108" s="487" t="n"/>
      <c r="Q108" s="736" t="n"/>
      <c r="R108" s="544" t="n"/>
      <c r="T108" s="542" t="n"/>
    </row>
    <row r="109">
      <c r="A109" s="23" t="n"/>
      <c r="B109" s="650" t="inlineStr">
        <is>
          <t>ATA</t>
        </is>
      </c>
      <c r="C109" s="651" t="n"/>
      <c r="D109" s="651" t="n"/>
      <c r="E109" s="651" t="n"/>
      <c r="F109" s="651" t="n"/>
      <c r="G109" s="651" t="n"/>
      <c r="H109" s="651" t="n"/>
      <c r="I109" s="651" t="n"/>
      <c r="J109" s="651" t="n"/>
      <c r="K109" s="651" t="n"/>
      <c r="L109" s="651" t="n"/>
      <c r="M109" s="651" t="n"/>
      <c r="N109" s="651" t="n"/>
      <c r="O109" s="651" t="n"/>
      <c r="P109" s="651" t="n"/>
      <c r="Q109" s="652" t="n"/>
      <c r="R109" s="544" t="inlineStr">
        <is>
          <t>ST</t>
        </is>
      </c>
      <c r="S109" s="596" t="n"/>
      <c r="T109" s="597" t="n"/>
      <c r="V109" s="260" t="inlineStr">
        <is>
          <t>ATL</t>
        </is>
      </c>
    </row>
    <row r="110">
      <c r="A110" s="23" t="n"/>
      <c r="B110" s="650">
        <f t="array" ref="B110:Q125">MMULT(_xlfn.ANCHORARRAY(U92),B76:Q107)</f>
        <v/>
      </c>
      <c r="C110" s="487" t="n">
        <v>-1452438.942378235</v>
      </c>
      <c r="D110" s="487" t="n">
        <v>-2172492.414048019</v>
      </c>
      <c r="E110" s="487" t="n">
        <v>-940496.2949744693</v>
      </c>
      <c r="F110" s="487" t="n">
        <v>0</v>
      </c>
      <c r="G110" s="487" t="n">
        <v>0</v>
      </c>
      <c r="H110" s="487" t="n">
        <v>0</v>
      </c>
      <c r="I110" s="487" t="n">
        <v>0</v>
      </c>
      <c r="J110" s="487" t="n">
        <v>0</v>
      </c>
      <c r="K110" s="487" t="n">
        <v>0</v>
      </c>
      <c r="L110" s="487" t="n">
        <v>-60305.75263971463</v>
      </c>
      <c r="M110" s="487" t="n">
        <v>266350.4074920734</v>
      </c>
      <c r="N110" s="487" t="n">
        <v>-551394.9035697582</v>
      </c>
      <c r="O110" s="487" t="n">
        <v>1785039.368589716</v>
      </c>
      <c r="P110" s="487" t="n">
        <v>-997453.8716580536</v>
      </c>
      <c r="Q110" s="736" t="n">
        <v>341545.461270915</v>
      </c>
      <c r="R110" s="544" t="n">
        <v>0</v>
      </c>
      <c r="S110" s="9" t="n">
        <v>0</v>
      </c>
      <c r="T110" s="542" t="n">
        <v>0</v>
      </c>
      <c r="V110" s="2">
        <f t="array" ref="V110:V125">MMULT(_xlfn.ANCHORARRAY(U92),S76:S107)</f>
        <v/>
      </c>
    </row>
    <row r="111" ht="15.95" customHeight="1">
      <c r="A111" s="23" t="n"/>
      <c r="B111" s="653" t="n">
        <v>-1452438.942378235</v>
      </c>
      <c r="C111" s="654" t="n">
        <v>2870935.29269657</v>
      </c>
      <c r="D111" s="654" t="n">
        <v>561691.441534634</v>
      </c>
      <c r="E111" s="654" t="n">
        <v>368638.0265199062</v>
      </c>
      <c r="F111" s="654" t="n">
        <v>0</v>
      </c>
      <c r="G111" s="654" t="n">
        <v>0</v>
      </c>
      <c r="H111" s="654" t="n">
        <v>0</v>
      </c>
      <c r="I111" s="654" t="n">
        <v>0</v>
      </c>
      <c r="J111" s="654" t="n">
        <v>0</v>
      </c>
      <c r="K111" s="654" t="n">
        <v>0</v>
      </c>
      <c r="L111" s="654" t="n">
        <v>266350.4074920734</v>
      </c>
      <c r="M111" s="654" t="n">
        <v>-1176380.966423326</v>
      </c>
      <c r="N111" s="654" t="n">
        <v>497030.1152539861</v>
      </c>
      <c r="O111" s="654" t="n">
        <v>-1166909.254283338</v>
      </c>
      <c r="P111" s="654" t="n">
        <v>127366.9780975412</v>
      </c>
      <c r="Q111" s="737" t="n">
        <v>-896283.0985098127</v>
      </c>
      <c r="R111" s="568" t="n">
        <v>0</v>
      </c>
      <c r="S111" s="1" t="n">
        <v>0</v>
      </c>
      <c r="T111" s="589" t="n">
        <v>0</v>
      </c>
      <c r="V111" s="3" t="n">
        <v>-7768.924486217093</v>
      </c>
      <c r="Y111" s="23" t="n"/>
      <c r="Z111" s="152" t="inlineStr">
        <is>
          <t>Nr</t>
        </is>
      </c>
      <c r="AA111" s="153" t="inlineStr">
        <is>
          <t>X</t>
        </is>
      </c>
      <c r="AB111" s="153" t="inlineStr">
        <is>
          <t>Y</t>
        </is>
      </c>
      <c r="AC111" s="154" t="inlineStr">
        <is>
          <t>∆X</t>
        </is>
      </c>
      <c r="AD111" s="154" t="inlineStr">
        <is>
          <t>∆Y</t>
        </is>
      </c>
      <c r="AE111" s="153" t="inlineStr">
        <is>
          <t>d^2</t>
        </is>
      </c>
      <c r="AF111" s="153" t="inlineStr">
        <is>
          <t>A</t>
        </is>
      </c>
      <c r="AG111" s="155" t="inlineStr">
        <is>
          <t>B</t>
        </is>
      </c>
    </row>
    <row r="112">
      <c r="A112" s="23" t="n"/>
      <c r="B112" s="11" t="n">
        <v>-2172492.414048019</v>
      </c>
      <c r="C112" s="1" t="n">
        <v>561691.441534634</v>
      </c>
      <c r="D112" s="1" t="n">
        <v>4685409.638279419</v>
      </c>
      <c r="E112" s="1" t="n">
        <v>1492344.121847907</v>
      </c>
      <c r="F112" s="1" t="n">
        <v>1037902.780981566</v>
      </c>
      <c r="G112" s="1" t="n">
        <v>-889687.4710122573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-547057.6686534953</v>
      </c>
      <c r="O112" s="1" t="n">
        <v>221150.9724343918</v>
      </c>
      <c r="P112" s="1" t="n">
        <v>-3003762.336559472</v>
      </c>
      <c r="Q112" s="12" t="n">
        <v>-1385499.064804676</v>
      </c>
      <c r="R112" s="11" t="n">
        <v>0</v>
      </c>
      <c r="S112" s="1" t="n">
        <v>0</v>
      </c>
      <c r="T112" s="12" t="n">
        <v>0</v>
      </c>
      <c r="V112" s="3" t="n">
        <v>18617.22673532158</v>
      </c>
      <c r="Y112" s="288" t="inlineStr">
        <is>
          <t>Początek</t>
        </is>
      </c>
      <c r="Z112" s="151" t="n">
        <v>9</v>
      </c>
      <c r="AA112" s="35">
        <f>VLOOKUP(Z112,$P$5:$R$13,2,FALSE)</f>
        <v/>
      </c>
      <c r="AB112" s="35">
        <f>VLOOKUP(Z112,$P$5:$R$13,3,FALSE)</f>
        <v/>
      </c>
      <c r="AC112" s="35">
        <f>AA113-AA112</f>
        <v/>
      </c>
      <c r="AD112" s="35">
        <f>AB113-AB112</f>
        <v/>
      </c>
      <c r="AE112" s="35">
        <f>AC112^2+AD112^2</f>
        <v/>
      </c>
      <c r="AF112" s="83">
        <f>AD112/AE112*(200/PI()*10000)</f>
        <v/>
      </c>
      <c r="AG112" s="83">
        <f>-AC112/AE112*200/PI()*10000</f>
        <v/>
      </c>
    </row>
    <row r="113">
      <c r="A113" s="23" t="n"/>
      <c r="B113" s="11" t="n">
        <v>-940496.2949744693</v>
      </c>
      <c r="C113" s="1" t="n">
        <v>368638.0265199062</v>
      </c>
      <c r="D113" s="1" t="n">
        <v>1492344.121847907</v>
      </c>
      <c r="E113" s="1" t="n">
        <v>2295146.811451602</v>
      </c>
      <c r="F113" s="1" t="n">
        <v>498233.7832770413</v>
      </c>
      <c r="G113" s="1" t="n">
        <v>-1027454.2873143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221150.9724343918</v>
      </c>
      <c r="O113" s="1" t="n">
        <v>-89401.4569415627</v>
      </c>
      <c r="P113" s="1" t="n">
        <v>-1271232.582584871</v>
      </c>
      <c r="Q113" s="12" t="n">
        <v>-1546929.093715645</v>
      </c>
      <c r="R113" s="11" t="n">
        <v>0</v>
      </c>
      <c r="S113" s="1" t="n">
        <v>0</v>
      </c>
      <c r="T113" s="12" t="n">
        <v>0</v>
      </c>
      <c r="V113" s="3" t="n">
        <v>-2146.097591855942</v>
      </c>
      <c r="Y113" s="150" t="inlineStr">
        <is>
          <t>Koniec</t>
        </is>
      </c>
      <c r="Z113" s="148" t="n">
        <v>6</v>
      </c>
      <c r="AA113" s="1">
        <f>VLOOKUP(Z113,$P$5:$R$13,2,FALSE)</f>
        <v/>
      </c>
      <c r="AB113" s="1">
        <f>VLOOKUP(Z113,$P$5:$R$13,3,FALSE)</f>
        <v/>
      </c>
      <c r="AC113" s="23" t="n"/>
      <c r="AD113" s="23" t="n"/>
      <c r="AE113" s="23" t="n"/>
      <c r="AF113" s="23" t="n"/>
      <c r="AG113" s="23" t="n"/>
    </row>
    <row r="114" ht="15.95" customHeight="1">
      <c r="A114" s="23" t="n"/>
      <c r="B114" s="657" t="n">
        <v>0</v>
      </c>
      <c r="C114" s="590" t="n">
        <v>0</v>
      </c>
      <c r="D114" s="590" t="n">
        <v>1037902.780981566</v>
      </c>
      <c r="E114" s="590" t="n">
        <v>498233.7832770413</v>
      </c>
      <c r="F114" s="590" t="n">
        <v>3185003.418114882</v>
      </c>
      <c r="G114" s="590" t="n">
        <v>-71985.69145721616</v>
      </c>
      <c r="H114" s="590" t="n">
        <v>-1228679.704548653</v>
      </c>
      <c r="I114" s="590" t="n">
        <v>-445660.1104002889</v>
      </c>
      <c r="J114" s="590" t="n">
        <v>0</v>
      </c>
      <c r="K114" s="590" t="n">
        <v>0</v>
      </c>
      <c r="L114" s="590" t="n">
        <v>-606688.3809256332</v>
      </c>
      <c r="M114" s="590" t="n">
        <v>-118958.5060638495</v>
      </c>
      <c r="N114" s="590" t="n">
        <v>0</v>
      </c>
      <c r="O114" s="590" t="n">
        <v>0</v>
      </c>
      <c r="P114" s="590" t="n">
        <v>-2387538.113622162</v>
      </c>
      <c r="Q114" s="590" t="n">
        <v>138370.5246443133</v>
      </c>
      <c r="R114" s="11" t="n">
        <v>0</v>
      </c>
      <c r="S114" s="1" t="n">
        <v>0</v>
      </c>
      <c r="T114" s="12" t="n">
        <v>0</v>
      </c>
      <c r="U114" s="658" t="n"/>
      <c r="V114" s="3" t="n">
        <v>-26162.31951542154</v>
      </c>
    </row>
    <row r="115">
      <c r="A115" s="23" t="n"/>
      <c r="B115" s="580" t="n">
        <v>0</v>
      </c>
      <c r="C115" s="581" t="n">
        <v>0</v>
      </c>
      <c r="D115" s="581" t="n">
        <v>-889687.4710122573</v>
      </c>
      <c r="E115" s="581" t="n">
        <v>-1027454.2873143</v>
      </c>
      <c r="F115" s="581" t="n">
        <v>-71985.69145721616</v>
      </c>
      <c r="G115" s="581" t="n">
        <v>3650863.595568579</v>
      </c>
      <c r="H115" s="581" t="n">
        <v>1453151.103503228</v>
      </c>
      <c r="I115" s="581" t="n">
        <v>-1670576.071123057</v>
      </c>
      <c r="J115" s="581" t="n">
        <v>0</v>
      </c>
      <c r="K115" s="581" t="n">
        <v>0</v>
      </c>
      <c r="L115" s="581" t="n">
        <v>-118958.5060638495</v>
      </c>
      <c r="M115" s="581" t="n">
        <v>-23325.19726742145</v>
      </c>
      <c r="N115" s="581" t="n">
        <v>0</v>
      </c>
      <c r="O115" s="581" t="n">
        <v>0</v>
      </c>
      <c r="P115" s="581" t="n">
        <v>-372519.4349699053</v>
      </c>
      <c r="Q115" s="581" t="n">
        <v>-929508.039863801</v>
      </c>
      <c r="R115" s="580" t="n">
        <v>0</v>
      </c>
      <c r="S115" s="581" t="n">
        <v>0</v>
      </c>
      <c r="T115" s="555" t="n">
        <v>0</v>
      </c>
      <c r="U115" s="659" t="n"/>
      <c r="V115" s="3" t="n">
        <v>12896.47757888347</v>
      </c>
    </row>
    <row r="116">
      <c r="A116" s="23" t="n"/>
      <c r="B116" s="543" t="n">
        <v>0</v>
      </c>
      <c r="C116" s="1" t="n">
        <v>0</v>
      </c>
      <c r="D116" s="1" t="n">
        <v>0</v>
      </c>
      <c r="E116" s="1" t="n">
        <v>0</v>
      </c>
      <c r="F116" s="1" t="n">
        <v>-1228679.704548653</v>
      </c>
      <c r="G116" s="1" t="n">
        <v>1453151.103503228</v>
      </c>
      <c r="H116" s="1" t="n">
        <v>6170884.78268812</v>
      </c>
      <c r="I116" s="1" t="n">
        <v>340680.3766148204</v>
      </c>
      <c r="J116" s="1" t="n">
        <v>-1392389.529680874</v>
      </c>
      <c r="K116" s="1" t="n">
        <v>-1871080.493272073</v>
      </c>
      <c r="L116" s="1" t="n">
        <v>-2467753.036878972</v>
      </c>
      <c r="M116" s="1" t="n">
        <v>153232.313149405</v>
      </c>
      <c r="N116" s="1" t="n">
        <v>0</v>
      </c>
      <c r="O116" s="1" t="n">
        <v>0</v>
      </c>
      <c r="P116" s="1" t="n">
        <v>-1082062.511579622</v>
      </c>
      <c r="Q116" s="12" t="n">
        <v>-75983.29999538064</v>
      </c>
      <c r="R116" s="543" t="n">
        <v>0</v>
      </c>
      <c r="S116" s="1" t="n">
        <v>0</v>
      </c>
      <c r="T116" s="544" t="n">
        <v>0</v>
      </c>
      <c r="U116" s="547" t="n"/>
      <c r="V116" s="3" t="n">
        <v>6901.819881877997</v>
      </c>
    </row>
    <row r="117">
      <c r="A117" s="23" t="n"/>
      <c r="B117" s="543" t="n">
        <v>0</v>
      </c>
      <c r="C117" s="1" t="n">
        <v>0</v>
      </c>
      <c r="D117" s="1" t="n">
        <v>0</v>
      </c>
      <c r="E117" s="1" t="n">
        <v>0</v>
      </c>
      <c r="F117" s="1" t="n">
        <v>-445660.1104002889</v>
      </c>
      <c r="G117" s="1" t="n">
        <v>-1670576.071123057</v>
      </c>
      <c r="H117" s="1" t="n">
        <v>340680.3766148204</v>
      </c>
      <c r="I117" s="1" t="n">
        <v>4660233.284690849</v>
      </c>
      <c r="J117" s="1" t="n">
        <v>206716.2205225248</v>
      </c>
      <c r="K117" s="1" t="n">
        <v>-1289172.580422561</v>
      </c>
      <c r="L117" s="1" t="n">
        <v>419606.4541507486</v>
      </c>
      <c r="M117" s="1" t="n">
        <v>-1351045.197193711</v>
      </c>
      <c r="N117" s="1" t="n">
        <v>0</v>
      </c>
      <c r="O117" s="1" t="n">
        <v>0</v>
      </c>
      <c r="P117" s="1" t="n">
        <v>-521342.9408878051</v>
      </c>
      <c r="Q117" s="12" t="n">
        <v>-349439.4359515198</v>
      </c>
      <c r="R117" s="543" t="n">
        <v>0</v>
      </c>
      <c r="S117" s="1" t="n">
        <v>0</v>
      </c>
      <c r="T117" s="544" t="n">
        <v>0</v>
      </c>
      <c r="U117" s="547" t="n"/>
      <c r="V117" s="3" t="n">
        <v>-6937.949818081795</v>
      </c>
      <c r="X117" s="660" t="n"/>
      <c r="Y117" s="661" t="n"/>
      <c r="Z117" s="661" t="n"/>
      <c r="AA117" s="661" t="n"/>
      <c r="AB117" s="538" t="n"/>
      <c r="AC117" s="538" t="n"/>
      <c r="AD117" s="661" t="n"/>
      <c r="AE117" s="661" t="n"/>
      <c r="AF117" s="661" t="n"/>
    </row>
    <row r="118">
      <c r="A118" s="23" t="n"/>
      <c r="B118" s="543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-1392389.529680874</v>
      </c>
      <c r="I118" s="1" t="n">
        <v>206716.2205225248</v>
      </c>
      <c r="J118" s="1" t="n">
        <v>1701791.306568916</v>
      </c>
      <c r="K118" s="1" t="n">
        <v>7241.359531932045</v>
      </c>
      <c r="L118" s="1" t="n">
        <v>-834516.7926786921</v>
      </c>
      <c r="M118" s="1" t="n">
        <v>-668089.9572568261</v>
      </c>
      <c r="N118" s="1" t="n">
        <v>333331.8238501355</v>
      </c>
      <c r="O118" s="1" t="n">
        <v>14175.22122004323</v>
      </c>
      <c r="P118" s="1" t="n">
        <v>191783.1919405147</v>
      </c>
      <c r="Q118" s="12" t="n">
        <v>439957.155982326</v>
      </c>
      <c r="R118" s="543" t="n">
        <v>0</v>
      </c>
      <c r="S118" s="1" t="n">
        <v>0</v>
      </c>
      <c r="T118" s="544">
        <f>-AF112</f>
        <v/>
      </c>
      <c r="U118" s="547" t="n"/>
      <c r="V118" s="3" t="n">
        <v>-4281.880234793656</v>
      </c>
      <c r="X118" s="539" t="n"/>
      <c r="Y118" s="662" t="inlineStr">
        <is>
          <t>V</t>
        </is>
      </c>
      <c r="Z118" s="662" t="n"/>
      <c r="AA118" s="662" t="n"/>
      <c r="AB118" s="662" t="n"/>
      <c r="AC118" s="662" t="n"/>
      <c r="AD118" s="662" t="n"/>
      <c r="AE118" s="663" t="n"/>
      <c r="AF118" s="663" t="n"/>
    </row>
    <row r="119">
      <c r="A119" s="23" t="n"/>
      <c r="B119" s="543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-1871080.493272073</v>
      </c>
      <c r="I119" s="1" t="n">
        <v>-1289172.580422561</v>
      </c>
      <c r="J119" s="1" t="n">
        <v>7241.359531932045</v>
      </c>
      <c r="K119" s="1" t="n">
        <v>3931591.749678181</v>
      </c>
      <c r="L119" s="1" t="n">
        <v>1048094.491924505</v>
      </c>
      <c r="M119" s="1" t="n">
        <v>-1892998.529948587</v>
      </c>
      <c r="N119" s="1" t="n">
        <v>156700.6602728998</v>
      </c>
      <c r="O119" s="1" t="n">
        <v>-571433.8864158713</v>
      </c>
      <c r="P119" s="1" t="n">
        <v>659043.9815427364</v>
      </c>
      <c r="Q119" s="12" t="n">
        <v>-177986.7528911629</v>
      </c>
      <c r="R119" s="543" t="n">
        <v>0</v>
      </c>
      <c r="S119" s="1" t="n">
        <v>0</v>
      </c>
      <c r="T119" s="544">
        <f>-AG112</f>
        <v/>
      </c>
      <c r="U119" s="547" t="n"/>
      <c r="V119" s="3" t="n">
        <v>-5599.090654301885</v>
      </c>
      <c r="X119" s="664" t="n"/>
      <c r="Y119" s="591">
        <f t="array" ref="Y119:Y150">MMULT(B76:Q107,_xlfn.ANCHORARRAY(V131))+S76:S107</f>
        <v/>
      </c>
      <c r="Z119" s="662" t="n"/>
      <c r="AA119" s="662" t="n"/>
      <c r="AB119" s="660" t="n"/>
      <c r="AC119" s="660" t="n"/>
      <c r="AD119" s="660" t="n"/>
      <c r="AE119" s="660" t="n"/>
      <c r="AF119" s="660" t="n"/>
    </row>
    <row r="120">
      <c r="A120" s="23" t="n"/>
      <c r="B120" s="543" t="n">
        <v>-60305.75263971463</v>
      </c>
      <c r="C120" s="1" t="n">
        <v>266350.4074920734</v>
      </c>
      <c r="D120" s="1" t="n">
        <v>0</v>
      </c>
      <c r="E120" s="1" t="n">
        <v>0</v>
      </c>
      <c r="F120" s="1" t="n">
        <v>-606688.3809256332</v>
      </c>
      <c r="G120" s="1" t="n">
        <v>-118958.5060638495</v>
      </c>
      <c r="H120" s="1" t="n">
        <v>-2467753.036878972</v>
      </c>
      <c r="I120" s="1" t="n">
        <v>419606.4541507486</v>
      </c>
      <c r="J120" s="1" t="n">
        <v>-834516.7926786921</v>
      </c>
      <c r="K120" s="1" t="n">
        <v>1048094.491924505</v>
      </c>
      <c r="L120" s="1" t="n">
        <v>7233404.80469601</v>
      </c>
      <c r="M120" s="1" t="n">
        <v>183833.6956569866</v>
      </c>
      <c r="N120" s="1" t="n">
        <v>-641554.2973373814</v>
      </c>
      <c r="O120" s="1" t="n">
        <v>-1300054.84817083</v>
      </c>
      <c r="P120" s="1" t="n">
        <v>-2622586.544235618</v>
      </c>
      <c r="Q120" s="12" t="n">
        <v>-498871.6949896335</v>
      </c>
      <c r="R120" s="543" t="n">
        <v>0</v>
      </c>
      <c r="S120" s="1" t="n">
        <v>0</v>
      </c>
      <c r="T120" s="544" t="n">
        <v>0</v>
      </c>
      <c r="U120" s="547" t="n"/>
      <c r="V120" s="3" t="n">
        <v>18582.32136588837</v>
      </c>
      <c r="Y120" s="3" t="n">
        <v>1.11519908089288</v>
      </c>
    </row>
    <row r="121">
      <c r="A121" s="23" t="n"/>
      <c r="B121" s="543" t="n">
        <v>266350.4074920734</v>
      </c>
      <c r="C121" s="1" t="n">
        <v>-1176380.966423326</v>
      </c>
      <c r="D121" s="1" t="n">
        <v>0</v>
      </c>
      <c r="E121" s="1" t="n">
        <v>0</v>
      </c>
      <c r="F121" s="1" t="n">
        <v>-118958.5060638495</v>
      </c>
      <c r="G121" s="1" t="n">
        <v>-23325.19726742145</v>
      </c>
      <c r="H121" s="1" t="n">
        <v>153232.313149405</v>
      </c>
      <c r="I121" s="1" t="n">
        <v>-1351045.197193711</v>
      </c>
      <c r="J121" s="1" t="n">
        <v>-668089.9572568261</v>
      </c>
      <c r="K121" s="1" t="n">
        <v>-1892998.529948587</v>
      </c>
      <c r="L121" s="1" t="n">
        <v>183833.6956569866</v>
      </c>
      <c r="M121" s="1" t="n">
        <v>7842938.244031625</v>
      </c>
      <c r="N121" s="1" t="n">
        <v>-227612.5967067419</v>
      </c>
      <c r="O121" s="1" t="n">
        <v>-2619105.105805744</v>
      </c>
      <c r="P121" s="1" t="n">
        <v>411244.6437289524</v>
      </c>
      <c r="Q121" s="12" t="n">
        <v>-780083.2473928363</v>
      </c>
      <c r="R121" s="543" t="n">
        <v>0</v>
      </c>
      <c r="S121" s="1" t="n">
        <v>0</v>
      </c>
      <c r="T121" s="544" t="n">
        <v>0</v>
      </c>
      <c r="U121" s="547" t="n"/>
      <c r="V121" s="3" t="n">
        <v>26537.39831383415</v>
      </c>
      <c r="Y121" s="3" t="n">
        <v>0.4132680858925442</v>
      </c>
    </row>
    <row r="122">
      <c r="A122" s="23" t="n"/>
      <c r="B122" s="543" t="n">
        <v>-551394.9035697582</v>
      </c>
      <c r="C122" s="1" t="n">
        <v>497030.1152539861</v>
      </c>
      <c r="D122" s="1" t="n">
        <v>-547057.6686534953</v>
      </c>
      <c r="E122" s="1" t="n">
        <v>221150.9724343918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333331.8238501355</v>
      </c>
      <c r="K122" s="1" t="n">
        <v>156700.6602728998</v>
      </c>
      <c r="L122" s="1" t="n">
        <v>-641554.2973373814</v>
      </c>
      <c r="M122" s="1" t="n">
        <v>-227612.5967067419</v>
      </c>
      <c r="N122" s="1" t="n">
        <v>2150471.767746017</v>
      </c>
      <c r="O122" s="1" t="n">
        <v>-763133.4130402136</v>
      </c>
      <c r="P122" s="1" t="n">
        <v>-743796.7220355181</v>
      </c>
      <c r="Q122" s="12" t="n">
        <v>115864.2617856776</v>
      </c>
      <c r="R122" s="543" t="n">
        <v>0</v>
      </c>
      <c r="S122" s="1" t="n">
        <v>0</v>
      </c>
      <c r="T122" s="544" t="n">
        <v>0</v>
      </c>
      <c r="U122" s="547" t="n"/>
      <c r="V122" s="3" t="n">
        <v>286.615620603975</v>
      </c>
      <c r="Y122" s="3" t="n">
        <v>1.67688000753778</v>
      </c>
    </row>
    <row r="123">
      <c r="A123" s="23" t="n"/>
      <c r="B123" s="543" t="n">
        <v>1785039.368589716</v>
      </c>
      <c r="C123" s="1" t="n">
        <v>-1166909.254283338</v>
      </c>
      <c r="D123" s="1" t="n">
        <v>221150.9724343918</v>
      </c>
      <c r="E123" s="1" t="n">
        <v>-89401.4569415627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14175.22122004323</v>
      </c>
      <c r="K123" s="1" t="n">
        <v>-571433.8864158713</v>
      </c>
      <c r="L123" s="1" t="n">
        <v>-1300054.84817083</v>
      </c>
      <c r="M123" s="1" t="n">
        <v>-2619105.105805744</v>
      </c>
      <c r="N123" s="1" t="n">
        <v>-763133.4130402136</v>
      </c>
      <c r="O123" s="1" t="n">
        <v>5772423.098726201</v>
      </c>
      <c r="P123" s="1" t="n">
        <v>42822.69896689337</v>
      </c>
      <c r="Q123" s="12" t="n">
        <v>-1325573.395279685</v>
      </c>
      <c r="R123" s="543" t="n">
        <v>0</v>
      </c>
      <c r="S123" s="1" t="n">
        <v>0</v>
      </c>
      <c r="T123" s="544" t="n">
        <v>0</v>
      </c>
      <c r="U123" s="547" t="n"/>
      <c r="V123" s="3" t="n">
        <v>-4488.994940016619</v>
      </c>
      <c r="Y123" s="3" t="n">
        <v>-0.392117971063256</v>
      </c>
    </row>
    <row r="124">
      <c r="A124" s="23" t="n"/>
      <c r="B124" s="543" t="n">
        <v>-997453.8716580536</v>
      </c>
      <c r="C124" s="1" t="n">
        <v>127366.9780975412</v>
      </c>
      <c r="D124" s="1" t="n">
        <v>-3003762.336559472</v>
      </c>
      <c r="E124" s="1" t="n">
        <v>-1271232.582584871</v>
      </c>
      <c r="F124" s="1" t="n">
        <v>-2387538.113622162</v>
      </c>
      <c r="G124" s="1" t="n">
        <v>-372519.4349699053</v>
      </c>
      <c r="H124" s="1" t="n">
        <v>-1082062.511579622</v>
      </c>
      <c r="I124" s="1" t="n">
        <v>-521342.9408878051</v>
      </c>
      <c r="J124" s="1" t="n">
        <v>191783.1919405147</v>
      </c>
      <c r="K124" s="1" t="n">
        <v>659043.9815427364</v>
      </c>
      <c r="L124" s="1" t="n">
        <v>-2622586.544235618</v>
      </c>
      <c r="M124" s="1" t="n">
        <v>411244.6437289524</v>
      </c>
      <c r="N124" s="1" t="n">
        <v>-743796.7220355181</v>
      </c>
      <c r="O124" s="1" t="n">
        <v>42822.69896689337</v>
      </c>
      <c r="P124" s="1" t="n">
        <v>10645416.90774993</v>
      </c>
      <c r="Q124" s="12" t="n">
        <v>924616.6561064573</v>
      </c>
      <c r="R124" s="543" t="n">
        <v>1</v>
      </c>
      <c r="S124" s="1" t="n">
        <v>0</v>
      </c>
      <c r="T124" s="544">
        <f>AF112</f>
        <v/>
      </c>
      <c r="U124" s="547" t="n"/>
      <c r="V124" s="3" t="n">
        <v>15796.6456657313</v>
      </c>
      <c r="Y124" s="3" t="n">
        <v>-0.3453733868024875</v>
      </c>
    </row>
    <row r="125">
      <c r="A125" s="23" t="n"/>
      <c r="B125" s="543" t="n">
        <v>341545.461270915</v>
      </c>
      <c r="C125" s="14" t="n">
        <v>-896283.0985098127</v>
      </c>
      <c r="D125" s="14" t="n">
        <v>-1385499.064804676</v>
      </c>
      <c r="E125" s="14" t="n">
        <v>-1546929.093715645</v>
      </c>
      <c r="F125" s="14" t="n">
        <v>138370.5246443133</v>
      </c>
      <c r="G125" s="14" t="n">
        <v>-929508.039863801</v>
      </c>
      <c r="H125" s="14" t="n">
        <v>-75983.29999538064</v>
      </c>
      <c r="I125" s="14" t="n">
        <v>-349439.4359515198</v>
      </c>
      <c r="J125" s="14" t="n">
        <v>439957.155982326</v>
      </c>
      <c r="K125" s="14" t="n">
        <v>-177986.7528911629</v>
      </c>
      <c r="L125" s="14" t="n">
        <v>-498871.6949896335</v>
      </c>
      <c r="M125" s="14" t="n">
        <v>-780083.2473928363</v>
      </c>
      <c r="N125" s="14" t="n">
        <v>115864.2617856776</v>
      </c>
      <c r="O125" s="14" t="n">
        <v>-1325573.395279685</v>
      </c>
      <c r="P125" s="14" t="n">
        <v>924616.6561064573</v>
      </c>
      <c r="Q125" s="15" t="n">
        <v>6005803.063604465</v>
      </c>
      <c r="R125" s="543" t="n">
        <v>0</v>
      </c>
      <c r="S125" s="14" t="n">
        <v>1</v>
      </c>
      <c r="T125" s="544">
        <f>AG112</f>
        <v/>
      </c>
      <c r="U125" s="547" t="n"/>
      <c r="V125" s="4" t="n">
        <v>-12492.81840224428</v>
      </c>
      <c r="Y125" s="3" t="n">
        <v>0.2429392152529628</v>
      </c>
    </row>
    <row r="126">
      <c r="A126" s="21" t="inlineStr">
        <is>
          <t>S</t>
        </is>
      </c>
      <c r="B126" s="543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1</v>
      </c>
      <c r="Q126" s="10" t="n">
        <v>0</v>
      </c>
      <c r="R126" s="543" t="n">
        <v>0</v>
      </c>
      <c r="S126" s="23" t="n">
        <v>0</v>
      </c>
      <c r="T126" s="544" t="n">
        <v>0</v>
      </c>
      <c r="U126" s="547" t="n"/>
      <c r="Y126" s="3" t="n">
        <v>-0.3264834221999434</v>
      </c>
    </row>
    <row r="127">
      <c r="A127" s="601" t="n"/>
      <c r="B127" s="543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2" t="n">
        <v>1</v>
      </c>
      <c r="R127" s="543" t="n">
        <v>0</v>
      </c>
      <c r="S127" s="23" t="n">
        <v>0</v>
      </c>
      <c r="T127" s="544" t="n">
        <v>0</v>
      </c>
      <c r="U127" s="547" t="n"/>
      <c r="Y127" s="3" t="n">
        <v>-1.198639978845093</v>
      </c>
    </row>
    <row r="128">
      <c r="A128" s="606" t="n"/>
      <c r="B128" s="543" t="n">
        <v>0</v>
      </c>
      <c r="C128" s="14" t="n">
        <v>0</v>
      </c>
      <c r="D128" s="14" t="n">
        <v>0</v>
      </c>
      <c r="E128" s="14" t="n">
        <v>0</v>
      </c>
      <c r="F128" s="14" t="n">
        <v>0</v>
      </c>
      <c r="G128" s="14" t="n">
        <v>0</v>
      </c>
      <c r="H128" s="14" t="n">
        <v>0</v>
      </c>
      <c r="I128" s="14" t="n">
        <v>0</v>
      </c>
      <c r="J128" s="14">
        <f>T118</f>
        <v/>
      </c>
      <c r="K128" s="14">
        <f>T119</f>
        <v/>
      </c>
      <c r="L128" s="14" t="n">
        <v>0</v>
      </c>
      <c r="M128" s="14" t="n">
        <v>0</v>
      </c>
      <c r="N128" s="14" t="n">
        <v>0</v>
      </c>
      <c r="O128" s="14" t="n">
        <v>0</v>
      </c>
      <c r="P128" s="14">
        <f>T124</f>
        <v/>
      </c>
      <c r="Q128" s="15">
        <f>T125</f>
        <v/>
      </c>
      <c r="R128" s="543" t="n">
        <v>0</v>
      </c>
      <c r="S128" s="23" t="n">
        <v>0</v>
      </c>
      <c r="T128" s="544" t="n">
        <v>0</v>
      </c>
      <c r="U128" s="547" t="n"/>
      <c r="Y128" s="3" t="n">
        <v>0.86593438951952</v>
      </c>
    </row>
    <row r="129">
      <c r="B129" s="543" t="n"/>
      <c r="R129" s="543" t="n"/>
      <c r="T129" s="544" t="n"/>
      <c r="U129" s="547" t="n"/>
      <c r="V129" s="23" t="n"/>
      <c r="W129" s="23" t="n"/>
      <c r="X129" s="23" t="n"/>
      <c r="Y129" s="3" t="n">
        <v>0.2339842178892617</v>
      </c>
      <c r="Z129" s="23" t="n"/>
      <c r="AA129" s="21" t="inlineStr">
        <is>
          <t>VTL</t>
        </is>
      </c>
      <c r="AB129" s="87">
        <f t="array" ref="AB129">MMULT(TRANSPOSE(_xlfn.ANCHORARRAY(Y119)),S76:S107)</f>
        <v/>
      </c>
      <c r="AC129" s="23" t="n"/>
      <c r="AD129" s="23" t="n"/>
      <c r="AE129" s="23" t="n"/>
    </row>
    <row r="130">
      <c r="B130" s="543" t="inlineStr">
        <is>
          <t>(ATA)-1</t>
        </is>
      </c>
      <c r="C130" s="596" t="n"/>
      <c r="D130" s="596" t="n"/>
      <c r="E130" s="596" t="n"/>
      <c r="F130" s="596" t="n"/>
      <c r="G130" s="596" t="n"/>
      <c r="H130" s="596" t="n"/>
      <c r="I130" s="596" t="n"/>
      <c r="J130" s="596" t="n"/>
      <c r="K130" s="596" t="n"/>
      <c r="L130" s="596" t="n"/>
      <c r="M130" s="596" t="n"/>
      <c r="N130" s="596" t="n"/>
      <c r="O130" s="596" t="n"/>
      <c r="P130" s="596" t="n"/>
      <c r="Q130" s="597" t="n"/>
      <c r="R130" s="567" t="inlineStr">
        <is>
          <t>ST(-1)</t>
        </is>
      </c>
      <c r="S130" s="596" t="n"/>
      <c r="T130" s="597" t="n"/>
      <c r="U130" s="571" t="n"/>
      <c r="V130" s="260" t="inlineStr">
        <is>
          <t>X</t>
        </is>
      </c>
      <c r="W130" s="260" t="inlineStr">
        <is>
          <t>mx</t>
        </is>
      </c>
      <c r="X130" s="23" t="n"/>
      <c r="Y130" s="3" t="n">
        <v>0.0666201033023599</v>
      </c>
      <c r="Z130" s="23" t="n"/>
      <c r="AA130" s="21" t="inlineStr">
        <is>
          <t>VTV</t>
        </is>
      </c>
      <c r="AB130" s="88">
        <f t="array" ref="AB130">MMULT(TRANSPOSE(_xlfn.ANCHORARRAY(Y119)),_xlfn.ANCHORARRAY(Y119))</f>
        <v/>
      </c>
      <c r="AC130" s="23" t="n"/>
      <c r="AD130" s="23" t="n"/>
      <c r="AE130" s="23" t="n"/>
    </row>
    <row r="131">
      <c r="B131" s="580">
        <f t="array" ref="B131:T149">MINVERSE(B110:T128)</f>
        <v/>
      </c>
      <c r="C131" s="581" t="n">
        <v>1.012691033412317e-07</v>
      </c>
      <c r="D131" s="581" t="n">
        <v>3.699949846869234e-07</v>
      </c>
      <c r="E131" s="581" t="n">
        <v>1.240569249744037e-07</v>
      </c>
      <c r="F131" s="581" t="n">
        <v>-1.982671529150346e-07</v>
      </c>
      <c r="G131" s="581" t="n">
        <v>1.674412326468975e-07</v>
      </c>
      <c r="H131" s="581" t="n">
        <v>-1.172698932449279e-07</v>
      </c>
      <c r="I131" s="581" t="n">
        <v>5.70843894620499e-09</v>
      </c>
      <c r="J131" s="581" t="n">
        <v>3.980453268799551e-08</v>
      </c>
      <c r="K131" s="581" t="n">
        <v>-6.80681061942645e-08</v>
      </c>
      <c r="L131" s="581" t="n">
        <v>-7.238552452977991e-08</v>
      </c>
      <c r="M131" s="581" t="n">
        <v>-1.029618434992266e-07</v>
      </c>
      <c r="N131" s="581" t="n">
        <v>1.089971561858753e-07</v>
      </c>
      <c r="O131" s="581" t="n">
        <v>-2.612298091666667e-07</v>
      </c>
      <c r="P131" s="581" t="n">
        <v>0</v>
      </c>
      <c r="Q131" s="555" t="n">
        <v>0</v>
      </c>
      <c r="R131" s="580" t="n">
        <v>1</v>
      </c>
      <c r="S131" s="581" t="n">
        <v>-5.849015385850261e-16</v>
      </c>
      <c r="T131" s="555" t="n">
        <v>0.0002397406926178374</v>
      </c>
      <c r="U131" s="547" t="n"/>
      <c r="V131" s="92">
        <f t="array" ref="V131:V146">-MMULT(B131:Q146,_xlfn.ANCHORARRAY(V110))</f>
        <v/>
      </c>
      <c r="W131" s="89">
        <f>$AB$131*SQRT(INDEX($B$131:$Q$146,1,1))</f>
        <v/>
      </c>
      <c r="X131" s="23" t="n"/>
      <c r="Y131" s="3" t="n">
        <v>0.09722609839549268</v>
      </c>
      <c r="Z131" s="23" t="n"/>
      <c r="AA131" s="21" t="inlineStr">
        <is>
          <t>m0'</t>
        </is>
      </c>
      <c r="AB131" s="88">
        <f>SQRT(AB130/(32-16+3))</f>
        <v/>
      </c>
      <c r="AC131" s="23" t="n"/>
      <c r="AD131" s="23" t="n"/>
      <c r="AE131" s="23" t="n"/>
    </row>
    <row r="132">
      <c r="B132" s="543" t="n">
        <v>1.012691033412317e-07</v>
      </c>
      <c r="C132" s="25" t="n">
        <v>5.526113316521293e-07</v>
      </c>
      <c r="D132" s="25" t="n">
        <v>-2.644715356233205e-08</v>
      </c>
      <c r="E132" s="25" t="n">
        <v>-4.09191358522819e-09</v>
      </c>
      <c r="F132" s="25" t="n">
        <v>2.32475458023635e-08</v>
      </c>
      <c r="G132" s="25" t="n">
        <v>4.680658146492259e-08</v>
      </c>
      <c r="H132" s="25" t="n">
        <v>-8.292163532289197e-09</v>
      </c>
      <c r="I132" s="25" t="n">
        <v>1.104236223373902e-07</v>
      </c>
      <c r="J132" s="25" t="n">
        <v>-7.151251871038049e-08</v>
      </c>
      <c r="K132" s="25" t="n">
        <v>1.222906385047335e-07</v>
      </c>
      <c r="L132" s="25" t="n">
        <v>-3.094693985012165e-08</v>
      </c>
      <c r="M132" s="25" t="n">
        <v>1.760106421669695e-07</v>
      </c>
      <c r="N132" s="25" t="n">
        <v>-3.924229763904455e-08</v>
      </c>
      <c r="O132" s="25" t="n">
        <v>1.613302039483137e-07</v>
      </c>
      <c r="P132" s="25" t="n">
        <v>0</v>
      </c>
      <c r="Q132" s="544" t="n">
        <v>0</v>
      </c>
      <c r="R132" s="67" t="n">
        <v>-6.291118564390419e-17</v>
      </c>
      <c r="S132" s="25" t="n">
        <v>1.000000000000001</v>
      </c>
      <c r="T132" s="544" t="n">
        <v>-0.0001151386221125142</v>
      </c>
      <c r="U132" s="547" t="n"/>
      <c r="V132" s="93" t="n">
        <v>0.005634655325540778</v>
      </c>
      <c r="W132" s="90">
        <f>$AB$131*SQRT(INDEX($B$131:$Q$146,2,2))</f>
        <v/>
      </c>
      <c r="X132" s="23" t="n"/>
      <c r="Y132" s="3" t="n">
        <v>-1.12776198139661</v>
      </c>
      <c r="Z132" s="23" t="n"/>
      <c r="AA132" s="23" t="n"/>
      <c r="AB132" s="23" t="n"/>
      <c r="AC132" s="23" t="n"/>
      <c r="AD132" s="23" t="n"/>
      <c r="AE132" s="23" t="n"/>
    </row>
    <row r="133">
      <c r="B133" s="712" t="n">
        <v>3.699949846869235e-07</v>
      </c>
      <c r="C133" s="667" t="n">
        <v>-2.644715356233203e-08</v>
      </c>
      <c r="D133" s="667" t="n">
        <v>5.150032603902494e-07</v>
      </c>
      <c r="E133" s="667" t="n">
        <v>-1.002287410610922e-07</v>
      </c>
      <c r="F133" s="667" t="n">
        <v>-1.98086297002349e-07</v>
      </c>
      <c r="G133" s="667" t="n">
        <v>1.288893657898113e-07</v>
      </c>
      <c r="H133" s="667" t="n">
        <v>-9.560386919534956e-08</v>
      </c>
      <c r="I133" s="667" t="n">
        <v>-1.16523138732443e-09</v>
      </c>
      <c r="J133" s="668" t="n">
        <v>3.181950582077392e-08</v>
      </c>
      <c r="K133" s="668" t="n">
        <v>-5.441323776451868e-08</v>
      </c>
      <c r="L133" s="667" t="n">
        <v>-4.635523979362506e-08</v>
      </c>
      <c r="M133" s="667" t="n">
        <v>-7.976508667768815e-08</v>
      </c>
      <c r="N133" s="667" t="n">
        <v>1.579312333388833e-07</v>
      </c>
      <c r="O133" s="667" t="n">
        <v>-1.722622558594765e-07</v>
      </c>
      <c r="P133" s="668" t="n">
        <v>0</v>
      </c>
      <c r="Q133" s="669" t="n">
        <v>0</v>
      </c>
      <c r="R133" s="666" t="n">
        <v>1</v>
      </c>
      <c r="S133" s="667" t="n">
        <v>-2.89692842588133e-16</v>
      </c>
      <c r="T133" s="568" t="n">
        <v>0.0002003096576477984</v>
      </c>
      <c r="U133" s="571" t="n"/>
      <c r="V133" s="93" t="n">
        <v>-0.003206370195668763</v>
      </c>
      <c r="W133" s="90">
        <f>$AB$131*SQRT(INDEX($B$131:$Q$146,3,3))</f>
        <v/>
      </c>
      <c r="X133" s="23" t="n"/>
      <c r="Y133" s="3" t="n">
        <v>1.117833926165106</v>
      </c>
      <c r="Z133" s="23" t="n"/>
      <c r="AA133" s="260" t="inlineStr">
        <is>
          <t>ATV</t>
        </is>
      </c>
      <c r="AB133" s="23" t="n"/>
      <c r="AC133" s="23" t="n"/>
      <c r="AD133" s="23" t="n"/>
      <c r="AE133" s="23" t="n"/>
    </row>
    <row r="134">
      <c r="B134" s="670" t="n">
        <v>1.240569249744038e-07</v>
      </c>
      <c r="C134" s="670" t="n">
        <v>-4.091913585228199e-09</v>
      </c>
      <c r="D134" s="670" t="n">
        <v>-1.002287410610919e-07</v>
      </c>
      <c r="E134" s="670" t="n">
        <v>7.036040591462852e-07</v>
      </c>
      <c r="F134" s="670" t="n">
        <v>-1.156120236817496e-07</v>
      </c>
      <c r="G134" s="670" t="n">
        <v>2.636815457916812e-07</v>
      </c>
      <c r="H134" s="670" t="n">
        <v>-1.164640519435107e-07</v>
      </c>
      <c r="I134" s="670" t="n">
        <v>1.058141707106078e-07</v>
      </c>
      <c r="J134" s="670" t="n">
        <v>-1.37005511693369e-08</v>
      </c>
      <c r="K134" s="670" t="n">
        <v>2.342875318306729e-08</v>
      </c>
      <c r="L134" s="670" t="n">
        <v>-7.38025234593331e-08</v>
      </c>
      <c r="M134" s="670" t="n">
        <v>3.41544584541321e-10</v>
      </c>
      <c r="N134" s="670" t="n">
        <v>-1.052906983393591e-07</v>
      </c>
      <c r="O134" s="670" t="n">
        <v>-5.248643689942725e-08</v>
      </c>
      <c r="P134" s="670" t="n">
        <v>0</v>
      </c>
      <c r="Q134" s="670" t="n">
        <v>0</v>
      </c>
      <c r="R134" s="67" t="n">
        <v>4.036900342719406e-16</v>
      </c>
      <c r="S134" s="25" t="n">
        <v>0.9999999999999994</v>
      </c>
      <c r="T134" s="45" t="n">
        <v>0.0001135613807137125</v>
      </c>
      <c r="V134" s="93" t="n">
        <v>0.003375846816384792</v>
      </c>
      <c r="W134" s="90">
        <f>$AB$131*SQRT(INDEX($B$131:$Q$146,4,4))</f>
        <v/>
      </c>
      <c r="X134" s="23" t="n"/>
      <c r="Y134" s="3" t="n">
        <v>0.2417800029764567</v>
      </c>
      <c r="Z134" s="23" t="n"/>
      <c r="AA134" s="2">
        <f t="array" ref="AA134:AA149">MMULT(_xlfn.ANCHORARRAY(U92),_xlfn.ANCHORARRAY(Y119))</f>
        <v/>
      </c>
      <c r="AB134" s="23" t="n"/>
      <c r="AC134" s="23" t="n"/>
      <c r="AD134" s="23" t="n"/>
      <c r="AE134" s="23" t="n"/>
    </row>
    <row r="135">
      <c r="B135" s="670" t="n">
        <v>-1.982671529150347e-07</v>
      </c>
      <c r="C135" s="670" t="n">
        <v>2.324754580236348e-08</v>
      </c>
      <c r="D135" s="670" t="n">
        <v>-1.980862970023491e-07</v>
      </c>
      <c r="E135" s="670" t="n">
        <v>-1.156120236817495e-07</v>
      </c>
      <c r="F135" s="670" t="n">
        <v>4.855403982732767e-07</v>
      </c>
      <c r="G135" s="670" t="n">
        <v>-1.339638011212338e-07</v>
      </c>
      <c r="H135" s="670" t="n">
        <v>1.766070856518691e-07</v>
      </c>
      <c r="I135" s="670" t="n">
        <v>8.046750690105701e-09</v>
      </c>
      <c r="J135" s="670" t="n">
        <v>-2.643531501203422e-08</v>
      </c>
      <c r="K135" s="670" t="n">
        <v>4.520595289040173e-08</v>
      </c>
      <c r="L135" s="670" t="n">
        <v>1.067004354769618e-07</v>
      </c>
      <c r="M135" s="670" t="n">
        <v>6.373313426065171e-08</v>
      </c>
      <c r="N135" s="670" t="n">
        <v>-9.9119086233312e-09</v>
      </c>
      <c r="O135" s="670" t="n">
        <v>1.279872521344789e-07</v>
      </c>
      <c r="P135" s="670" t="n">
        <v>0</v>
      </c>
      <c r="Q135" s="670" t="n">
        <v>0</v>
      </c>
      <c r="R135" s="67" t="n">
        <v>0.9999999999999998</v>
      </c>
      <c r="S135" s="25" t="n">
        <v>3.718782398161979e-16</v>
      </c>
      <c r="T135" s="45" t="n">
        <v>-0.0002570903480046546</v>
      </c>
      <c r="V135" s="93" t="n">
        <v>0.008034443870670765</v>
      </c>
      <c r="W135" s="90">
        <f>$AB$131*SQRT(INDEX($B$131:$Q$146,5,5))</f>
        <v/>
      </c>
      <c r="X135" s="23" t="n"/>
      <c r="Y135" s="3" t="n">
        <v>-1.175686468041265</v>
      </c>
      <c r="Z135" s="23" t="n"/>
      <c r="AA135" s="3" t="n">
        <v>1.946887095982675e-12</v>
      </c>
      <c r="AB135" s="23" t="n"/>
      <c r="AC135" s="23" t="n"/>
      <c r="AD135" s="23" t="n"/>
      <c r="AE135" s="23" t="n"/>
    </row>
    <row r="136">
      <c r="B136" s="67" t="n">
        <v>1.674412326468975e-07</v>
      </c>
      <c r="C136" s="25" t="n">
        <v>4.680658146492263e-08</v>
      </c>
      <c r="D136" s="25" t="n">
        <v>1.288893657898114e-07</v>
      </c>
      <c r="E136" s="25" t="n">
        <v>2.636815457916811e-07</v>
      </c>
      <c r="F136" s="25" t="n">
        <v>-1.339638011212338e-07</v>
      </c>
      <c r="G136" s="25" t="n">
        <v>5.775571693144732e-07</v>
      </c>
      <c r="H136" s="25" t="n">
        <v>-2.097051986637258e-07</v>
      </c>
      <c r="I136" s="25" t="n">
        <v>2.635200155247955e-07</v>
      </c>
      <c r="J136" s="25" t="n">
        <v>-5.133828782521466e-08</v>
      </c>
      <c r="K136" s="25" t="n">
        <v>8.779150994962749e-08</v>
      </c>
      <c r="L136" s="25" t="n">
        <v>-1.151637411123431e-07</v>
      </c>
      <c r="M136" s="25" t="n">
        <v>5.873757885282573e-08</v>
      </c>
      <c r="N136" s="25" t="n">
        <v>-7.670613282539392e-10</v>
      </c>
      <c r="O136" s="25" t="n">
        <v>-3.374155569031351e-08</v>
      </c>
      <c r="P136" s="25" t="n">
        <v>0</v>
      </c>
      <c r="Q136" s="45" t="n">
        <v>0</v>
      </c>
      <c r="R136" s="67" t="n">
        <v>4.118434174959268e-16</v>
      </c>
      <c r="S136" s="25" t="n">
        <v>0.9999999999999999</v>
      </c>
      <c r="T136" s="45" t="n">
        <v>0.0001924234506537905</v>
      </c>
      <c r="V136" s="93" t="n">
        <v>-0.003466136418021523</v>
      </c>
      <c r="W136" s="90">
        <f>$AB$131*SQRT(INDEX($B$131:$Q$146,6,6))</f>
        <v/>
      </c>
      <c r="X136" s="23" t="n"/>
      <c r="Y136" s="3" t="n">
        <v>0.1974333815569238</v>
      </c>
      <c r="Z136" s="23" t="n"/>
      <c r="AA136" s="3" t="n">
        <v>1.296029950026423e-11</v>
      </c>
      <c r="AB136" s="23" t="n"/>
      <c r="AC136" s="23" t="n"/>
      <c r="AD136" s="23" t="n"/>
      <c r="AE136" s="23" t="n"/>
    </row>
    <row r="137">
      <c r="B137" s="67" t="n">
        <v>-1.172698932449279e-07</v>
      </c>
      <c r="C137" s="25" t="n">
        <v>-8.292163532289271e-09</v>
      </c>
      <c r="D137" s="25" t="n">
        <v>-9.560386919534961e-08</v>
      </c>
      <c r="E137" s="25" t="n">
        <v>-1.164640519435107e-07</v>
      </c>
      <c r="F137" s="25" t="n">
        <v>1.766070856518691e-07</v>
      </c>
      <c r="G137" s="25" t="n">
        <v>-2.097051986637259e-07</v>
      </c>
      <c r="H137" s="25" t="n">
        <v>3.066218742763686e-07</v>
      </c>
      <c r="I137" s="25" t="n">
        <v>-8.626847065643788e-08</v>
      </c>
      <c r="J137" s="25" t="n">
        <v>-7.288832178354915e-09</v>
      </c>
      <c r="K137" s="25" t="n">
        <v>1.246433431683181e-08</v>
      </c>
      <c r="L137" s="25" t="n">
        <v>1.334216498440688e-07</v>
      </c>
      <c r="M137" s="25" t="n">
        <v>9.222340135201156e-09</v>
      </c>
      <c r="N137" s="25" t="n">
        <v>2.73134560387573e-08</v>
      </c>
      <c r="O137" s="25" t="n">
        <v>7.55428724974725e-08</v>
      </c>
      <c r="P137" s="25" t="n">
        <v>0</v>
      </c>
      <c r="Q137" s="45" t="n">
        <v>0</v>
      </c>
      <c r="R137" s="67" t="n">
        <v>0.9999999999999998</v>
      </c>
      <c r="S137" s="25" t="n">
        <v>2.249916875119033e-16</v>
      </c>
      <c r="T137" s="45" t="n">
        <v>-0.0003438386249387406</v>
      </c>
      <c r="V137" s="93" t="n">
        <v>0.0002338328814071694</v>
      </c>
      <c r="W137" s="90">
        <f>$AB$131*SQRT(INDEX($B$131:$Q$146,7,7))</f>
        <v/>
      </c>
      <c r="X137" s="23" t="n"/>
      <c r="Y137" s="3" t="n">
        <v>0.6400427707906494</v>
      </c>
      <c r="Z137" s="23" t="n"/>
      <c r="AA137" s="3" t="n">
        <v>-1.13686837721616e-12</v>
      </c>
      <c r="AB137" s="23" t="n"/>
      <c r="AC137" s="23" t="n"/>
      <c r="AD137" s="23" t="n"/>
      <c r="AE137" s="23" t="n"/>
    </row>
    <row r="138">
      <c r="B138" s="67" t="n">
        <v>5.708438946205006e-09</v>
      </c>
      <c r="C138" s="25" t="n">
        <v>1.104236223373903e-07</v>
      </c>
      <c r="D138" s="25" t="n">
        <v>-1.16523138732443e-09</v>
      </c>
      <c r="E138" s="25" t="n">
        <v>1.058141707106079e-07</v>
      </c>
      <c r="F138" s="25" t="n">
        <v>8.0467506901057e-09</v>
      </c>
      <c r="G138" s="25" t="n">
        <v>2.635200155247956e-07</v>
      </c>
      <c r="H138" s="25" t="n">
        <v>-8.626847065643781e-08</v>
      </c>
      <c r="I138" s="25" t="n">
        <v>4.397845343679315e-07</v>
      </c>
      <c r="J138" s="25" t="n">
        <v>-1.272488214726913e-07</v>
      </c>
      <c r="K138" s="25" t="n">
        <v>2.176030142343657e-07</v>
      </c>
      <c r="L138" s="25" t="n">
        <v>-8.631265587617229e-08</v>
      </c>
      <c r="M138" s="25" t="n">
        <v>1.726386506363959e-07</v>
      </c>
      <c r="N138" s="25" t="n">
        <v>-2.412426184588862e-09</v>
      </c>
      <c r="O138" s="25" t="n">
        <v>1.026671606337473e-07</v>
      </c>
      <c r="P138" s="25" t="n">
        <v>0</v>
      </c>
      <c r="Q138" s="45" t="n">
        <v>0</v>
      </c>
      <c r="R138" s="67" t="n">
        <v>1.23289918466134e-16</v>
      </c>
      <c r="S138" s="25" t="n">
        <v>1.000000000000001</v>
      </c>
      <c r="T138" s="45" t="n">
        <v>-2.839034517842817e-05</v>
      </c>
      <c r="U138" s="671" t="n"/>
      <c r="V138" s="93" t="n">
        <v>-0.0001073332430216762</v>
      </c>
      <c r="W138" s="90">
        <f>$AB$131*SQRT(INDEX($B$131:$Q$146,8,8))</f>
        <v/>
      </c>
      <c r="X138" s="23" t="n"/>
      <c r="Y138" s="672" t="n">
        <v>-0.7893684888062809</v>
      </c>
      <c r="Z138" s="532" t="n"/>
      <c r="AA138" s="3" t="n">
        <v>-1.099920154956635e-11</v>
      </c>
      <c r="AB138" s="23" t="n"/>
      <c r="AC138" s="23" t="n"/>
      <c r="AD138" s="23" t="n"/>
      <c r="AE138" s="23" t="n"/>
    </row>
    <row r="139" ht="17.1" customHeight="1">
      <c r="B139" s="657" t="n">
        <v>3.980453268799562e-08</v>
      </c>
      <c r="C139" s="590" t="n">
        <v>-7.151251871038056e-08</v>
      </c>
      <c r="D139" s="590" t="n">
        <v>3.181950582077395e-08</v>
      </c>
      <c r="E139" s="590" t="n">
        <v>-1.37005511693369e-08</v>
      </c>
      <c r="F139" s="590" t="n">
        <v>-2.643531501203428e-08</v>
      </c>
      <c r="G139" s="590" t="n">
        <v>-5.133828782521462e-08</v>
      </c>
      <c r="H139" s="590" t="n">
        <v>-7.288832178355e-09</v>
      </c>
      <c r="I139" s="590" t="n">
        <v>-1.272488214726913e-07</v>
      </c>
      <c r="J139" s="590" t="n">
        <v>1.370291264268708e-07</v>
      </c>
      <c r="K139" s="590" t="n">
        <v>-2.343279144222819e-07</v>
      </c>
      <c r="L139" s="590" t="n">
        <v>4.057413158456211e-08</v>
      </c>
      <c r="M139" s="590" t="n">
        <v>-1.113998572270289e-07</v>
      </c>
      <c r="N139" s="590" t="n">
        <v>-6.975103652689767e-10</v>
      </c>
      <c r="O139" s="590" t="n">
        <v>-9.322947977226663e-08</v>
      </c>
      <c r="P139" s="590" t="n">
        <v>0</v>
      </c>
      <c r="Q139" s="590" t="n">
        <v>0</v>
      </c>
      <c r="R139" s="67" t="n">
        <v>0.9999999999999994</v>
      </c>
      <c r="S139" s="25" t="n">
        <v>-2.60904704517237e-16</v>
      </c>
      <c r="T139" s="45" t="n">
        <v>-0.00045424552285485</v>
      </c>
      <c r="U139" s="673" t="n"/>
      <c r="V139" s="673" t="n">
        <v>0.0002030822138808011</v>
      </c>
      <c r="W139" s="90">
        <f>$AB$131*SQRT(INDEX($B$131:$Q$146,9,9))</f>
        <v/>
      </c>
      <c r="X139" s="23" t="n"/>
      <c r="Y139" s="738" t="n">
        <v>-1.153913371732264</v>
      </c>
      <c r="Z139" s="738" t="n"/>
      <c r="AA139" s="3" t="n">
        <v>-1.199396137963049e-11</v>
      </c>
      <c r="AB139" s="23" t="n"/>
      <c r="AC139" s="23" t="n"/>
      <c r="AD139" s="23" t="n"/>
      <c r="AE139" s="23" t="n"/>
    </row>
    <row r="140">
      <c r="B140" s="675" t="n">
        <v>-6.806810619426444e-08</v>
      </c>
      <c r="C140" s="676" t="n">
        <v>1.222906385047335e-07</v>
      </c>
      <c r="D140" s="676" t="n">
        <v>-5.441323776451868e-08</v>
      </c>
      <c r="E140" s="676" t="n">
        <v>2.342875318306729e-08</v>
      </c>
      <c r="F140" s="676" t="n">
        <v>4.520595289040175e-08</v>
      </c>
      <c r="G140" s="676" t="n">
        <v>8.779150994962745e-08</v>
      </c>
      <c r="H140" s="676" t="n">
        <v>1.24643343168319e-08</v>
      </c>
      <c r="I140" s="676" t="n">
        <v>2.176030142343656e-07</v>
      </c>
      <c r="J140" s="676" t="n">
        <v>-2.343279144222819e-07</v>
      </c>
      <c r="K140" s="676" t="n">
        <v>4.007145992191686e-07</v>
      </c>
      <c r="L140" s="676" t="n">
        <v>-6.93841658457895e-08</v>
      </c>
      <c r="M140" s="676" t="n">
        <v>1.905003475657475e-07</v>
      </c>
      <c r="N140" s="676" t="n">
        <v>1.192783997412823e-09</v>
      </c>
      <c r="O140" s="676" t="n">
        <v>1.594279269478405e-07</v>
      </c>
      <c r="P140" s="676" t="n">
        <v>0</v>
      </c>
      <c r="Q140" s="676" t="n">
        <v>0</v>
      </c>
      <c r="R140" s="677" t="n">
        <v>-1.181076184129936e-16</v>
      </c>
      <c r="S140" s="678" t="n">
        <v>1.000000000000001</v>
      </c>
      <c r="T140" s="679" t="n">
        <v>-0.0002649765549986625</v>
      </c>
      <c r="U140" s="617" t="n"/>
      <c r="V140" s="680" t="n">
        <v>-0.000347282602435213</v>
      </c>
      <c r="W140" s="90">
        <f>$AB$131*SQRT(INDEX($B$131:$Q$146,10,10))</f>
        <v/>
      </c>
      <c r="X140" s="23" t="n"/>
      <c r="Y140" s="681" t="n">
        <v>-1.00862007778459</v>
      </c>
      <c r="Z140" s="682" t="n"/>
      <c r="AA140" s="3" t="n">
        <v>5.314859663485549e-12</v>
      </c>
      <c r="AB140" s="23" t="n"/>
      <c r="AC140" s="23" t="n"/>
      <c r="AD140" s="23" t="n"/>
      <c r="AE140" s="23" t="n"/>
    </row>
    <row r="141" ht="15.95" customHeight="1">
      <c r="B141" s="683" t="n">
        <v>-7.238552452977984e-08</v>
      </c>
      <c r="C141" s="684" t="n">
        <v>-3.09469398501217e-08</v>
      </c>
      <c r="D141" s="684" t="n">
        <v>-4.635523979362501e-08</v>
      </c>
      <c r="E141" s="684" t="n">
        <v>-7.38025234593331e-08</v>
      </c>
      <c r="F141" s="684" t="n">
        <v>1.067004354769617e-07</v>
      </c>
      <c r="G141" s="684" t="n">
        <v>-1.151637411123431e-07</v>
      </c>
      <c r="H141" s="684" t="n">
        <v>1.334216498440687e-07</v>
      </c>
      <c r="I141" s="684" t="n">
        <v>-8.631265587617228e-08</v>
      </c>
      <c r="J141" s="684" t="n">
        <v>4.057413158456203e-08</v>
      </c>
      <c r="K141" s="684" t="n">
        <v>-6.938416584578953e-08</v>
      </c>
      <c r="L141" s="684" t="n">
        <v>2.296787822145909e-07</v>
      </c>
      <c r="M141" s="684" t="n">
        <v>-1.312696048953193e-08</v>
      </c>
      <c r="N141" s="684" t="n">
        <v>7.345189299933878e-08</v>
      </c>
      <c r="O141" s="684" t="n">
        <v>6.527523976500936e-08</v>
      </c>
      <c r="P141" s="684" t="n">
        <v>0</v>
      </c>
      <c r="Q141" s="684" t="n">
        <v>0</v>
      </c>
      <c r="R141" s="685" t="n">
        <v>0.9999999999999998</v>
      </c>
      <c r="S141" s="686" t="n">
        <v>9.134800962470032e-17</v>
      </c>
      <c r="T141" s="687" t="n">
        <v>-0.0001782282780645765</v>
      </c>
      <c r="U141" s="542" t="n"/>
      <c r="V141" s="688" t="n">
        <v>-0.00279392648191483</v>
      </c>
      <c r="W141" s="90">
        <f>$AB$131*SQRT(INDEX($B$131:$Q$146,11,11))</f>
        <v/>
      </c>
      <c r="X141" s="23" t="n"/>
      <c r="Y141" s="682" t="n">
        <v>-0.3044770031906729</v>
      </c>
      <c r="Z141" s="738" t="n"/>
      <c r="AA141" s="3" t="n">
        <v>8.810729923425242e-12</v>
      </c>
      <c r="AB141" s="23" t="n"/>
      <c r="AC141" s="23" t="n"/>
      <c r="AD141" s="23" t="n"/>
      <c r="AE141" s="23" t="n"/>
    </row>
    <row r="142">
      <c r="B142" s="683" t="n">
        <v>-1.029618434992266e-07</v>
      </c>
      <c r="C142" s="684" t="n">
        <v>1.760106421669695e-07</v>
      </c>
      <c r="D142" s="684" t="n">
        <v>-7.97650866776882e-08</v>
      </c>
      <c r="E142" s="684" t="n">
        <v>3.415445845413642e-10</v>
      </c>
      <c r="F142" s="684" t="n">
        <v>6.373313426065173e-08</v>
      </c>
      <c r="G142" s="684" t="n">
        <v>5.873757885282566e-08</v>
      </c>
      <c r="H142" s="684" t="n">
        <v>9.222340135201252e-09</v>
      </c>
      <c r="I142" s="684" t="n">
        <v>1.726386506363959e-07</v>
      </c>
      <c r="J142" s="684" t="n">
        <v>-1.113998572270288e-07</v>
      </c>
      <c r="K142" s="684" t="n">
        <v>1.905003475657476e-07</v>
      </c>
      <c r="L142" s="684" t="n">
        <v>-1.312696048953186e-08</v>
      </c>
      <c r="M142" s="684" t="n">
        <v>3.012669067456718e-07</v>
      </c>
      <c r="N142" s="684" t="n">
        <v>2.435186001860459e-08</v>
      </c>
      <c r="O142" s="684" t="n">
        <v>2.265695262960866e-07</v>
      </c>
      <c r="P142" s="684" t="n">
        <v>0</v>
      </c>
      <c r="Q142" s="684" t="n">
        <v>0</v>
      </c>
      <c r="R142" s="685" t="n">
        <v>2.041511460884544e-17</v>
      </c>
      <c r="S142" s="686" t="n">
        <v>1.000000000000001</v>
      </c>
      <c r="T142" s="687" t="n">
        <v>-0.0002097731060406078</v>
      </c>
      <c r="U142" s="542" t="n"/>
      <c r="V142" s="688" t="n">
        <v>-0.004316165054134486</v>
      </c>
      <c r="W142" s="90">
        <f>$AB$131*SQRT(INDEX($B$131:$Q$146,12,12))</f>
        <v/>
      </c>
      <c r="X142" s="23" t="n"/>
      <c r="Y142" s="682" t="n">
        <v>-0.5323768391896166</v>
      </c>
      <c r="Z142" s="689" t="n"/>
      <c r="AA142" s="3" t="n">
        <v>2.785327524179593e-12</v>
      </c>
      <c r="AB142" s="23" t="n"/>
      <c r="AC142" s="23" t="n"/>
      <c r="AD142" s="23" t="n"/>
      <c r="AE142" s="23" t="n"/>
    </row>
    <row r="143" ht="14.1" customHeight="1">
      <c r="B143" s="683" t="n">
        <v>1.089971561858753e-07</v>
      </c>
      <c r="C143" s="684" t="n">
        <v>-3.924229763904458e-08</v>
      </c>
      <c r="D143" s="684" t="n">
        <v>1.579312333388834e-07</v>
      </c>
      <c r="E143" s="684" t="n">
        <v>-1.052906983393592e-07</v>
      </c>
      <c r="F143" s="684" t="n">
        <v>-9.911908623331197e-09</v>
      </c>
      <c r="G143" s="684" t="n">
        <v>-7.670613282539111e-10</v>
      </c>
      <c r="H143" s="684" t="n">
        <v>2.731345603875728e-08</v>
      </c>
      <c r="I143" s="684" t="n">
        <v>-2.412426184588885e-09</v>
      </c>
      <c r="J143" s="684" t="n">
        <v>-6.975103652690722e-10</v>
      </c>
      <c r="K143" s="684" t="n">
        <v>1.192783997412786e-09</v>
      </c>
      <c r="L143" s="684" t="n">
        <v>7.345189299933874e-08</v>
      </c>
      <c r="M143" s="684" t="n">
        <v>2.435186001860456e-08</v>
      </c>
      <c r="N143" s="684" t="n">
        <v>5.979310589252534e-07</v>
      </c>
      <c r="O143" s="684" t="n">
        <v>5.744000679874619e-08</v>
      </c>
      <c r="P143" s="684" t="n">
        <v>0</v>
      </c>
      <c r="Q143" s="684" t="n">
        <v>0</v>
      </c>
      <c r="R143" s="685" t="n">
        <v>1.000000000000001</v>
      </c>
      <c r="S143" s="686" t="n">
        <v>9.989100528197438e-17</v>
      </c>
      <c r="T143" s="687" t="n">
        <v>5.047172476164993e-05</v>
      </c>
      <c r="U143" s="542" t="n"/>
      <c r="V143" s="688" t="n">
        <v>-0.002605108197837812</v>
      </c>
      <c r="W143" s="90">
        <f>$AB$131*SQRT(INDEX($B$131:$Q$146,13,13))</f>
        <v/>
      </c>
      <c r="X143" s="23" t="n"/>
      <c r="Y143" s="682" t="n">
        <v>-0.5284026687297141</v>
      </c>
      <c r="Z143" s="23" t="n"/>
      <c r="AA143" s="3" t="n">
        <v>2.046363078989089e-12</v>
      </c>
      <c r="AB143" s="23" t="n"/>
      <c r="AC143" s="23" t="n"/>
      <c r="AD143" s="23" t="n"/>
      <c r="AE143" s="23" t="n"/>
    </row>
    <row r="144">
      <c r="B144" s="683" t="n">
        <v>-2.612298091666667e-07</v>
      </c>
      <c r="C144" s="684" t="n">
        <v>1.613302039483137e-07</v>
      </c>
      <c r="D144" s="684" t="n">
        <v>-1.722622558594765e-07</v>
      </c>
      <c r="E144" s="684" t="n">
        <v>-5.248643689942719e-08</v>
      </c>
      <c r="F144" s="684" t="n">
        <v>1.279872521344788e-07</v>
      </c>
      <c r="G144" s="684" t="n">
        <v>-3.374155569031349e-08</v>
      </c>
      <c r="H144" s="684" t="n">
        <v>7.554287249747251e-08</v>
      </c>
      <c r="I144" s="684" t="n">
        <v>1.026671606337473e-07</v>
      </c>
      <c r="J144" s="684" t="n">
        <v>-9.322947977226659e-08</v>
      </c>
      <c r="K144" s="684" t="n">
        <v>1.594279269478405e-07</v>
      </c>
      <c r="L144" s="684" t="n">
        <v>6.52752397650094e-08</v>
      </c>
      <c r="M144" s="684" t="n">
        <v>2.265695262960865e-07</v>
      </c>
      <c r="N144" s="684" t="n">
        <v>5.744000679874624e-08</v>
      </c>
      <c r="O144" s="684" t="n">
        <v>4.335260967810363e-07</v>
      </c>
      <c r="P144" s="684" t="n">
        <v>0</v>
      </c>
      <c r="Q144" s="684" t="n">
        <v>0</v>
      </c>
      <c r="R144" s="685" t="n">
        <v>7.85489359162165e-18</v>
      </c>
      <c r="S144" s="686" t="n">
        <v>1.000000000000001</v>
      </c>
      <c r="T144" s="687" t="n">
        <v>-0.0002570903480046547</v>
      </c>
      <c r="U144" s="542" t="n"/>
      <c r="V144" s="688" t="n">
        <v>-0.004249257233747857</v>
      </c>
      <c r="W144" s="90">
        <f>$AB$131*SQRT(INDEX($B$131:$Q$146,14,14))</f>
        <v/>
      </c>
      <c r="X144" s="23" t="n"/>
      <c r="Y144" s="682" t="n">
        <v>-0.1388767060667933</v>
      </c>
      <c r="Z144" s="23" t="n"/>
      <c r="AA144" s="3" t="n">
        <v>5.144329406903125e-12</v>
      </c>
      <c r="AB144" s="23" t="n"/>
      <c r="AC144" s="23" t="n"/>
      <c r="AD144" s="23" t="n"/>
      <c r="AE144" s="23" t="n"/>
    </row>
    <row r="145">
      <c r="B145" s="683" t="n">
        <v>0</v>
      </c>
      <c r="C145" s="684" t="n">
        <v>0</v>
      </c>
      <c r="D145" s="684" t="n">
        <v>0</v>
      </c>
      <c r="E145" s="684" t="n">
        <v>0</v>
      </c>
      <c r="F145" s="684" t="n">
        <v>0</v>
      </c>
      <c r="G145" s="684" t="n">
        <v>0</v>
      </c>
      <c r="H145" s="684" t="n">
        <v>0</v>
      </c>
      <c r="I145" s="684" t="n">
        <v>0</v>
      </c>
      <c r="J145" s="684" t="n">
        <v>0</v>
      </c>
      <c r="K145" s="684" t="n">
        <v>0</v>
      </c>
      <c r="L145" s="684" t="n">
        <v>0</v>
      </c>
      <c r="M145" s="684" t="n">
        <v>0</v>
      </c>
      <c r="N145" s="684" t="n">
        <v>0</v>
      </c>
      <c r="O145" s="684" t="n">
        <v>0</v>
      </c>
      <c r="P145" s="684" t="n">
        <v>0</v>
      </c>
      <c r="Q145" s="684" t="n">
        <v>0</v>
      </c>
      <c r="R145" s="685" t="n">
        <v>1</v>
      </c>
      <c r="S145" s="686" t="n">
        <v>0</v>
      </c>
      <c r="T145" s="687" t="n">
        <v>0</v>
      </c>
      <c r="U145" s="542" t="n"/>
      <c r="V145" s="688" t="n">
        <v>0</v>
      </c>
      <c r="W145" s="90">
        <f>$AB$131*SQRT(INDEX($B$131:$Q$146,15,15))</f>
        <v/>
      </c>
      <c r="X145" s="23" t="n"/>
      <c r="Y145" s="682" t="n">
        <v>-0.6704638998253218</v>
      </c>
      <c r="Z145" s="23" t="n"/>
      <c r="AA145" s="3" t="n">
        <v>5.115907697472721e-13</v>
      </c>
      <c r="AB145" s="23" t="n"/>
      <c r="AC145" s="23" t="n"/>
      <c r="AD145" s="23" t="n"/>
      <c r="AE145" s="23" t="n"/>
    </row>
    <row r="146">
      <c r="B146" s="683" t="n">
        <v>0</v>
      </c>
      <c r="C146" s="684" t="n">
        <v>0</v>
      </c>
      <c r="D146" s="684" t="n">
        <v>0</v>
      </c>
      <c r="E146" s="684" t="n">
        <v>0</v>
      </c>
      <c r="F146" s="684" t="n">
        <v>0</v>
      </c>
      <c r="G146" s="684" t="n">
        <v>0</v>
      </c>
      <c r="H146" s="684" t="n">
        <v>0</v>
      </c>
      <c r="I146" s="684" t="n">
        <v>0</v>
      </c>
      <c r="J146" s="684" t="n">
        <v>0</v>
      </c>
      <c r="K146" s="684" t="n">
        <v>0</v>
      </c>
      <c r="L146" s="684" t="n">
        <v>0</v>
      </c>
      <c r="M146" s="684" t="n">
        <v>0</v>
      </c>
      <c r="N146" s="684" t="n">
        <v>0</v>
      </c>
      <c r="O146" s="684" t="n">
        <v>0</v>
      </c>
      <c r="P146" s="684" t="n">
        <v>0</v>
      </c>
      <c r="Q146" s="684" t="n">
        <v>0</v>
      </c>
      <c r="R146" s="685" t="n">
        <v>0</v>
      </c>
      <c r="S146" s="686" t="n">
        <v>1</v>
      </c>
      <c r="T146" s="687" t="n">
        <v>0</v>
      </c>
      <c r="U146" s="542" t="n"/>
      <c r="V146" s="688" t="n">
        <v>0</v>
      </c>
      <c r="W146" s="91">
        <f>$AB$131*SQRT(INDEX($B$131:$Q$146,16,16))</f>
        <v/>
      </c>
      <c r="X146" s="23" t="n"/>
      <c r="Y146" s="682" t="n">
        <v>-0.340741626009831</v>
      </c>
      <c r="Z146" s="23" t="n"/>
      <c r="AA146" s="3" t="n">
        <v>-5.002220859751105e-12</v>
      </c>
      <c r="AB146" s="23" t="n"/>
      <c r="AC146" s="23" t="n"/>
      <c r="AD146" s="23" t="n"/>
      <c r="AE146" s="23" t="n"/>
    </row>
    <row r="147" ht="25.75" customHeight="1">
      <c r="A147" s="21" t="inlineStr">
        <is>
          <t>S(-1)</t>
        </is>
      </c>
      <c r="B147" s="683" t="n">
        <v>0.9999999999999999</v>
      </c>
      <c r="C147" s="684" t="n">
        <v>-3.999501347390972e-17</v>
      </c>
      <c r="D147" s="684" t="n">
        <v>0.9999999999999999</v>
      </c>
      <c r="E147" s="684" t="n">
        <v>-2.79965094317368e-16</v>
      </c>
      <c r="F147" s="684" t="n">
        <v>1</v>
      </c>
      <c r="G147" s="684" t="n">
        <v>7.999002694781943e-17</v>
      </c>
      <c r="H147" s="684" t="n">
        <v>0.9999999999999996</v>
      </c>
      <c r="I147" s="684" t="n">
        <v>7.999002694781943e-17</v>
      </c>
      <c r="J147" s="684" t="n">
        <v>0.9999999999999999</v>
      </c>
      <c r="K147" s="684" t="n">
        <v>1.599800538956389e-16</v>
      </c>
      <c r="L147" s="684" t="n">
        <v>0.9999999999999999</v>
      </c>
      <c r="M147" s="684" t="n">
        <v>1.599800538956389e-16</v>
      </c>
      <c r="N147" s="684" t="n">
        <v>1</v>
      </c>
      <c r="O147" s="684" t="n">
        <v>3.199601077912777e-16</v>
      </c>
      <c r="P147" s="684" t="n">
        <v>1</v>
      </c>
      <c r="Q147" s="684" t="n">
        <v>0</v>
      </c>
      <c r="R147" s="685" t="n">
        <v>-3.085006028413771e-09</v>
      </c>
      <c r="S147" s="686" t="n">
        <v>3.492459654808036e-10</v>
      </c>
      <c r="T147" s="687" t="n">
        <v>3.59151067218726e-13</v>
      </c>
      <c r="U147" s="542" t="n"/>
      <c r="V147" s="688" t="n"/>
      <c r="W147" s="23" t="n"/>
      <c r="X147" s="23" t="n"/>
      <c r="Y147" s="682" t="n">
        <v>-1.410381126659769</v>
      </c>
      <c r="Z147" s="23" t="n"/>
      <c r="AA147" s="3" t="n">
        <v>-1.780176006604961e-11</v>
      </c>
      <c r="AB147" s="23" t="n"/>
      <c r="AC147" s="23" t="n"/>
      <c r="AD147" s="23" t="n"/>
      <c r="AE147" s="23" t="n"/>
    </row>
    <row r="148">
      <c r="A148" s="601" t="n"/>
      <c r="B148" s="683" t="n">
        <v>-5.087803610063377e-16</v>
      </c>
      <c r="C148" s="684" t="n">
        <v>1.000000000000001</v>
      </c>
      <c r="D148" s="684" t="n">
        <v>-1.674604651289292e-16</v>
      </c>
      <c r="E148" s="684" t="n">
        <v>0.9999999999999997</v>
      </c>
      <c r="F148" s="684" t="n">
        <v>2.750798930703409e-16</v>
      </c>
      <c r="G148" s="684" t="n">
        <v>0.9999999999999998</v>
      </c>
      <c r="H148" s="684" t="n">
        <v>2.773961425608351e-16</v>
      </c>
      <c r="I148" s="684" t="n">
        <v>1</v>
      </c>
      <c r="J148" s="684" t="n">
        <v>-3.477735505869637e-16</v>
      </c>
      <c r="K148" s="684" t="n">
        <v>1.000000000000001</v>
      </c>
      <c r="L148" s="684" t="n">
        <v>2.742454670498641e-16</v>
      </c>
      <c r="M148" s="684" t="n">
        <v>1.000000000000001</v>
      </c>
      <c r="N148" s="684" t="n">
        <v>4.409481369139277e-16</v>
      </c>
      <c r="O148" s="684" t="n">
        <v>1.000000000000001</v>
      </c>
      <c r="P148" s="684" t="n">
        <v>0</v>
      </c>
      <c r="Q148" s="684" t="n">
        <v>1</v>
      </c>
      <c r="R148" s="685" t="n">
        <v>1.455191522836684e-09</v>
      </c>
      <c r="S148" s="686" t="n">
        <v>9.31322574615481e-10</v>
      </c>
      <c r="T148" s="687" t="n">
        <v>-9.724253844531572e-13</v>
      </c>
      <c r="U148" s="542" t="n"/>
      <c r="V148" s="688" t="n"/>
      <c r="W148" s="23" t="n"/>
      <c r="X148" s="23" t="n"/>
      <c r="Y148" s="682" t="n">
        <v>-0.8001483801194236</v>
      </c>
      <c r="Z148" s="23" t="n"/>
      <c r="AA148" s="3" t="n">
        <v>-3.382183422218077e-12</v>
      </c>
      <c r="AB148" s="23" t="n"/>
      <c r="AE148" s="23" t="n"/>
    </row>
    <row r="149">
      <c r="A149" s="606" t="n"/>
      <c r="B149" s="683" t="n">
        <v>0.0002397406926178375</v>
      </c>
      <c r="C149" s="684" t="n">
        <v>-0.0001151386221125141</v>
      </c>
      <c r="D149" s="684" t="n">
        <v>0.0002003096576477984</v>
      </c>
      <c r="E149" s="684" t="n">
        <v>0.0001135613807137124</v>
      </c>
      <c r="F149" s="684" t="n">
        <v>-0.0002570903480046545</v>
      </c>
      <c r="G149" s="684" t="n">
        <v>0.0001924234506537906</v>
      </c>
      <c r="H149" s="684" t="n">
        <v>-0.0003438386249387404</v>
      </c>
      <c r="I149" s="684" t="n">
        <v>-2.839034517842809e-05</v>
      </c>
      <c r="J149" s="684" t="n">
        <v>-0.0004542455228548499</v>
      </c>
      <c r="K149" s="684" t="n">
        <v>-0.0002649765549986625</v>
      </c>
      <c r="L149" s="684" t="n">
        <v>-0.0001782282780645766</v>
      </c>
      <c r="M149" s="684" t="n">
        <v>-0.0002097731060406078</v>
      </c>
      <c r="N149" s="684" t="n">
        <v>5.04717247616499e-05</v>
      </c>
      <c r="O149" s="684" t="n">
        <v>-0.0002570903480046548</v>
      </c>
      <c r="P149" s="684" t="n">
        <v>0</v>
      </c>
      <c r="Q149" s="684" t="n">
        <v>0</v>
      </c>
      <c r="R149" s="685" t="n">
        <v>3.340876108407324e-13</v>
      </c>
      <c r="S149" s="686" t="n">
        <v>-8.493114833436704e-13</v>
      </c>
      <c r="T149" s="687" t="n">
        <v>1.665230371644472e-18</v>
      </c>
      <c r="U149" s="542" t="n"/>
      <c r="V149" s="688" t="n"/>
      <c r="W149" s="23" t="n"/>
      <c r="X149" s="23" t="n"/>
      <c r="Y149" s="682" t="n">
        <v>-0.2297874724123039</v>
      </c>
      <c r="Z149" s="23" t="n"/>
      <c r="AA149" s="4" t="n">
        <v>1.726618847897043e-11</v>
      </c>
      <c r="AB149" s="23" t="n"/>
      <c r="AE149" s="23" t="n"/>
    </row>
    <row r="150">
      <c r="B150" s="683" t="n"/>
      <c r="C150" s="684" t="n"/>
      <c r="D150" s="684" t="n"/>
      <c r="E150" s="684" t="n"/>
      <c r="F150" s="684" t="n"/>
      <c r="G150" s="684" t="n"/>
      <c r="H150" s="684" t="n"/>
      <c r="I150" s="684" t="n"/>
      <c r="J150" s="684" t="n"/>
      <c r="K150" s="684" t="n"/>
      <c r="L150" s="684" t="n"/>
      <c r="M150" s="684" t="n"/>
      <c r="N150" s="684" t="n"/>
      <c r="O150" s="684" t="n"/>
      <c r="P150" s="684" t="n"/>
      <c r="Q150" s="684" t="n"/>
      <c r="R150" s="685" t="n"/>
      <c r="S150" s="686" t="n"/>
      <c r="T150" s="687" t="n"/>
      <c r="U150" s="542" t="n"/>
      <c r="V150" s="688" t="n"/>
      <c r="W150" s="23" t="n"/>
      <c r="X150" s="23" t="n"/>
      <c r="Y150" s="682" t="n">
        <v>-0.2180114450053615</v>
      </c>
      <c r="Z150" s="23" t="n"/>
      <c r="AB150" s="23" t="n"/>
      <c r="AE150" s="23" t="n"/>
    </row>
    <row r="151">
      <c r="B151" s="683" t="n"/>
      <c r="C151" s="684" t="n"/>
      <c r="D151" s="684" t="n"/>
      <c r="E151" s="684" t="n"/>
      <c r="F151" s="684" t="n"/>
      <c r="G151" s="684" t="n"/>
      <c r="H151" s="684" t="n"/>
      <c r="I151" s="684" t="n"/>
      <c r="J151" s="684" t="n"/>
      <c r="K151" s="684" t="n"/>
      <c r="L151" s="684" t="n"/>
      <c r="M151" s="684" t="n"/>
      <c r="N151" s="684" t="n"/>
      <c r="O151" s="684" t="n"/>
      <c r="P151" s="684" t="n"/>
      <c r="Q151" s="684" t="n"/>
      <c r="R151" s="685" t="n"/>
      <c r="S151" s="686" t="n"/>
      <c r="T151" s="687" t="n"/>
      <c r="U151" s="542" t="n"/>
      <c r="V151" s="688" t="n"/>
      <c r="W151" s="23" t="n"/>
      <c r="X151" s="23" t="n"/>
      <c r="Y151" s="682" t="n"/>
      <c r="Z151" s="23" t="n"/>
      <c r="AA151" s="23" t="n"/>
      <c r="AB151" s="23" t="n"/>
      <c r="AE151" s="23" t="n"/>
    </row>
    <row r="152">
      <c r="B152" s="683" t="n"/>
      <c r="C152" s="684" t="n"/>
      <c r="D152" s="684" t="n"/>
      <c r="E152" s="684" t="n"/>
      <c r="F152" s="684" t="n"/>
      <c r="G152" s="684" t="n"/>
      <c r="H152" s="684" t="n"/>
      <c r="I152" s="684" t="n"/>
      <c r="J152" s="684" t="n"/>
      <c r="K152" s="684" t="n"/>
      <c r="L152" s="684" t="n"/>
      <c r="M152" s="684" t="n"/>
      <c r="N152" s="684" t="n"/>
      <c r="O152" s="684" t="n"/>
      <c r="P152" s="684" t="n"/>
      <c r="Q152" s="684" t="n"/>
      <c r="R152" s="685" t="n"/>
      <c r="S152" s="686" t="n"/>
      <c r="T152" s="687" t="n"/>
      <c r="U152" s="542" t="n"/>
      <c r="V152" s="688" t="n"/>
      <c r="W152" s="23" t="n"/>
      <c r="X152" s="23" t="n"/>
      <c r="Y152" s="682" t="n"/>
      <c r="Z152" s="23" t="n"/>
      <c r="AA152" s="23" t="n"/>
      <c r="AB152" s="23" t="n"/>
      <c r="AC152" s="23" t="n"/>
      <c r="AD152" s="23" t="n"/>
      <c r="AE152" s="23" t="n"/>
    </row>
    <row r="153">
      <c r="B153" s="683" t="n"/>
      <c r="C153" s="684" t="n"/>
      <c r="D153" s="684" t="n"/>
      <c r="E153" s="684" t="n"/>
      <c r="F153" s="684" t="n"/>
      <c r="G153" s="684" t="n"/>
      <c r="H153" s="684" t="n"/>
      <c r="I153" s="684" t="n"/>
      <c r="J153" s="684" t="n"/>
      <c r="K153" s="684" t="n"/>
      <c r="L153" s="684" t="n"/>
      <c r="M153" s="684" t="n"/>
      <c r="N153" s="684" t="n"/>
      <c r="O153" s="684" t="n"/>
      <c r="P153" s="684" t="n"/>
      <c r="Q153" s="684" t="n"/>
      <c r="R153" s="685" t="n"/>
      <c r="S153" s="686" t="n"/>
      <c r="T153" s="687" t="n"/>
      <c r="U153" s="542" t="n"/>
      <c r="V153" s="688" t="n"/>
      <c r="Y153" s="682" t="n"/>
    </row>
    <row r="154">
      <c r="B154" s="683" t="inlineStr">
        <is>
          <t>I</t>
        </is>
      </c>
      <c r="C154" s="506" t="n"/>
      <c r="D154" s="506" t="n"/>
      <c r="E154" s="506" t="n"/>
      <c r="F154" s="506" t="n"/>
      <c r="G154" s="506" t="n"/>
      <c r="H154" s="506" t="n"/>
      <c r="I154" s="506" t="n"/>
      <c r="J154" s="506" t="n"/>
      <c r="K154" s="506" t="n"/>
      <c r="L154" s="506" t="n"/>
      <c r="M154" s="506" t="n"/>
      <c r="N154" s="506" t="n"/>
      <c r="O154" s="506" t="n"/>
      <c r="P154" s="506" t="n"/>
      <c r="Q154" s="506" t="n"/>
      <c r="R154" s="506" t="n"/>
      <c r="S154" s="506" t="n"/>
      <c r="T154" s="506" t="n"/>
      <c r="U154" s="506" t="n"/>
      <c r="V154" s="506" t="n"/>
      <c r="W154" s="506" t="n"/>
      <c r="X154" s="506" t="n"/>
      <c r="Y154" s="506" t="n"/>
      <c r="Z154" s="506" t="n"/>
      <c r="AA154" s="506" t="n"/>
      <c r="AB154" s="506" t="n"/>
      <c r="AC154" s="506" t="n"/>
      <c r="AD154" s="506" t="n"/>
      <c r="AE154" s="506" t="n"/>
      <c r="AF154" s="506" t="n"/>
      <c r="AG154" s="507" t="n"/>
      <c r="AJ154" s="690" t="inlineStr">
        <is>
          <t>(ATA)-1AT</t>
        </is>
      </c>
      <c r="AK154" s="596" t="n"/>
      <c r="AL154" s="596" t="n"/>
      <c r="AM154" s="596" t="n"/>
      <c r="AN154" s="596" t="n"/>
      <c r="AO154" s="596" t="n"/>
      <c r="AP154" s="596" t="n"/>
      <c r="AQ154" s="596" t="n"/>
      <c r="AR154" s="596" t="n"/>
      <c r="AS154" s="596" t="n"/>
      <c r="AT154" s="596" t="n"/>
      <c r="AU154" s="596" t="n"/>
      <c r="AV154" s="596" t="n"/>
      <c r="AW154" s="596" t="n"/>
      <c r="AX154" s="596" t="n"/>
      <c r="AY154" s="596" t="n"/>
      <c r="AZ154" s="596" t="n"/>
      <c r="BA154" s="596" t="n"/>
      <c r="BB154" s="596" t="n"/>
      <c r="BC154" s="596" t="n"/>
      <c r="BD154" s="596" t="n"/>
      <c r="BE154" s="596" t="n"/>
      <c r="BF154" s="596" t="n"/>
      <c r="BG154" s="596" t="n"/>
      <c r="BH154" s="596" t="n"/>
      <c r="BI154" s="596" t="n"/>
      <c r="BJ154" s="596" t="n"/>
      <c r="BK154" s="596" t="n"/>
      <c r="BL154" s="596" t="n"/>
      <c r="BM154" s="596" t="n"/>
      <c r="BN154" s="596" t="n"/>
      <c r="BO154" s="597" t="n"/>
    </row>
    <row r="155">
      <c r="A155" t="n">
        <v>1</v>
      </c>
      <c r="B155" s="683">
        <f t="array" ref="B155:AG186">_xlfn.MUNIT(32)</f>
        <v/>
      </c>
      <c r="C155" s="684" t="n">
        <v>0</v>
      </c>
      <c r="D155" s="684" t="n">
        <v>0</v>
      </c>
      <c r="E155" s="684" t="n">
        <v>0</v>
      </c>
      <c r="F155" s="684" t="n">
        <v>0</v>
      </c>
      <c r="G155" s="684" t="n">
        <v>0</v>
      </c>
      <c r="H155" s="684" t="n">
        <v>0</v>
      </c>
      <c r="I155" s="684" t="n">
        <v>0</v>
      </c>
      <c r="J155" s="684" t="n">
        <v>0</v>
      </c>
      <c r="K155" s="684" t="n">
        <v>0</v>
      </c>
      <c r="L155" s="684" t="n">
        <v>0</v>
      </c>
      <c r="M155" s="684" t="n">
        <v>0</v>
      </c>
      <c r="N155" s="684" t="n">
        <v>0</v>
      </c>
      <c r="O155" s="684" t="n">
        <v>0</v>
      </c>
      <c r="P155" s="684" t="n">
        <v>0</v>
      </c>
      <c r="Q155" s="684" t="n">
        <v>0</v>
      </c>
      <c r="R155" s="685" t="n">
        <v>0</v>
      </c>
      <c r="S155" s="686" t="n">
        <v>0</v>
      </c>
      <c r="T155" s="687" t="n">
        <v>0</v>
      </c>
      <c r="U155" s="589" t="n">
        <v>0</v>
      </c>
      <c r="V155" s="691" t="n">
        <v>0</v>
      </c>
      <c r="W155" s="9" t="n">
        <v>0</v>
      </c>
      <c r="X155" s="9" t="n">
        <v>0</v>
      </c>
      <c r="Y155" s="689" t="n">
        <v>0</v>
      </c>
      <c r="Z155" s="9" t="n">
        <v>0</v>
      </c>
      <c r="AA155" s="9" t="n">
        <v>0</v>
      </c>
      <c r="AB155" s="9" t="n">
        <v>0</v>
      </c>
      <c r="AC155" s="9" t="n">
        <v>0</v>
      </c>
      <c r="AD155" s="9" t="n">
        <v>0</v>
      </c>
      <c r="AE155" s="9" t="n">
        <v>0</v>
      </c>
      <c r="AF155" s="9" t="n">
        <v>0</v>
      </c>
      <c r="AG155" s="10" t="n">
        <v>0</v>
      </c>
      <c r="AH155" s="23" t="n"/>
      <c r="AI155" s="23" t="n">
        <v>1</v>
      </c>
      <c r="AJ155" s="8">
        <f t="array" ref="AJ155:BO186">MMULT(MMULT(B76:Q107,B131:Q146),_xlfn.ANCHORARRAY(U92))</f>
        <v/>
      </c>
      <c r="AK155" s="9" t="n">
        <v>-0.004233484189268187</v>
      </c>
      <c r="AL155" s="9" t="n">
        <v>-0.02457566580324558</v>
      </c>
      <c r="AM155" s="9" t="n">
        <v>0.05777410052184097</v>
      </c>
      <c r="AN155" s="9" t="n">
        <v>0.0695232806328501</v>
      </c>
      <c r="AO155" s="9" t="n">
        <v>0.1391854210289086</v>
      </c>
      <c r="AP155" s="9" t="n">
        <v>-0.04513482722653955</v>
      </c>
      <c r="AQ155" s="9" t="n">
        <v>0.05777398477951484</v>
      </c>
      <c r="AR155" s="9" t="n">
        <v>0.04585757223888667</v>
      </c>
      <c r="AS155" s="9" t="n">
        <v>0.09247792043263477</v>
      </c>
      <c r="AT155" s="9" t="n">
        <v>0.2139351986037583</v>
      </c>
      <c r="AU155" s="9" t="n">
        <v>0.2682017639604348</v>
      </c>
      <c r="AV155" s="9" t="n">
        <v>-0.03069159105306113</v>
      </c>
      <c r="AW155" s="9" t="n">
        <v>-0.01514614494543077</v>
      </c>
      <c r="AX155" s="9" t="n">
        <v>0.008584042481634677</v>
      </c>
      <c r="AY155" s="9" t="n">
        <v>0.008366932512830483</v>
      </c>
      <c r="AZ155" s="9" t="n">
        <v>0.009750312393146943</v>
      </c>
      <c r="BA155" s="9" t="n">
        <v>0.02782181125326672</v>
      </c>
      <c r="BB155" s="9" t="n">
        <v>0.04564590343344235</v>
      </c>
      <c r="BC155" s="9" t="n">
        <v>-0.003560198334286363</v>
      </c>
      <c r="BD155" s="9" t="n">
        <v>-0.05096714958524073</v>
      </c>
      <c r="BE155" s="9" t="n">
        <v>-0.01213801987599793</v>
      </c>
      <c r="BF155" s="9" t="n">
        <v>-0.03062651358332651</v>
      </c>
      <c r="BG155" s="9" t="n">
        <v>-0.06804143342133681</v>
      </c>
      <c r="BH155" s="9" t="n">
        <v>0.06589838443981649</v>
      </c>
      <c r="BI155" s="9" t="n">
        <v>0.09587473202608546</v>
      </c>
      <c r="BJ155" s="9" t="n">
        <v>-0.05907134460494845</v>
      </c>
      <c r="BK155" s="9" t="n">
        <v>0.002928763398369175</v>
      </c>
      <c r="BL155" s="9" t="n">
        <v>0.01325414497026704</v>
      </c>
      <c r="BM155" s="9" t="n">
        <v>-0.03815349058760122</v>
      </c>
      <c r="BN155" s="9" t="n">
        <v>0.04887373490292127</v>
      </c>
      <c r="BO155" s="10" t="n">
        <v>-0.02697317466543392</v>
      </c>
      <c r="BP155" s="23" t="n"/>
      <c r="BQ155" s="23" t="n"/>
      <c r="BR155" s="23" t="n"/>
      <c r="BS155" s="23" t="n"/>
      <c r="BT155" s="23" t="n"/>
    </row>
    <row r="156">
      <c r="A156" t="n">
        <v>2</v>
      </c>
      <c r="B156" s="677" t="n">
        <v>0</v>
      </c>
      <c r="C156" s="678" t="n">
        <v>1</v>
      </c>
      <c r="D156" s="678" t="n">
        <v>0</v>
      </c>
      <c r="E156" s="678" t="n">
        <v>0</v>
      </c>
      <c r="F156" s="678" t="n">
        <v>0</v>
      </c>
      <c r="G156" s="678" t="n">
        <v>0</v>
      </c>
      <c r="H156" s="678" t="n">
        <v>0</v>
      </c>
      <c r="I156" s="678" t="n">
        <v>0</v>
      </c>
      <c r="J156" s="678" t="n">
        <v>0</v>
      </c>
      <c r="K156" s="678" t="n">
        <v>0</v>
      </c>
      <c r="L156" s="678" t="n">
        <v>0</v>
      </c>
      <c r="M156" s="678" t="n">
        <v>0</v>
      </c>
      <c r="N156" s="678" t="n">
        <v>0</v>
      </c>
      <c r="O156" s="678" t="n">
        <v>0</v>
      </c>
      <c r="P156" s="678" t="n">
        <v>0</v>
      </c>
      <c r="Q156" s="678" t="n">
        <v>0</v>
      </c>
      <c r="R156" s="677" t="n">
        <v>0</v>
      </c>
      <c r="S156" s="678" t="n">
        <v>0</v>
      </c>
      <c r="T156" s="679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2" t="n">
        <v>0</v>
      </c>
      <c r="AH156" s="23" t="n"/>
      <c r="AI156" s="23" t="n">
        <v>2</v>
      </c>
      <c r="AJ156" s="11" t="n">
        <v>-0.004233484189268194</v>
      </c>
      <c r="AK156" s="1" t="n">
        <v>0.2280985157251495</v>
      </c>
      <c r="AL156" s="1" t="n">
        <v>0.09652111725252445</v>
      </c>
      <c r="AM156" s="1" t="n">
        <v>-0.006197984875864739</v>
      </c>
      <c r="AN156" s="1" t="n">
        <v>0.03411503099053676</v>
      </c>
      <c r="AO156" s="1" t="n">
        <v>0.01246938966554767</v>
      </c>
      <c r="AP156" s="1" t="n">
        <v>0.04880567663816518</v>
      </c>
      <c r="AQ156" s="1" t="n">
        <v>-0.006197972459069341</v>
      </c>
      <c r="AR156" s="1" t="n">
        <v>0.1013137728472479</v>
      </c>
      <c r="AS156" s="1" t="n">
        <v>-0.008866755135934237</v>
      </c>
      <c r="AT156" s="1" t="n">
        <v>0.005487470994036677</v>
      </c>
      <c r="AU156" s="1" t="n">
        <v>-0.004233488184060823</v>
      </c>
      <c r="AV156" s="1" t="n">
        <v>0.01409598140508835</v>
      </c>
      <c r="AW156" s="1" t="n">
        <v>-0.01982617550785674</v>
      </c>
      <c r="AX156" s="1" t="n">
        <v>0.01858441148654731</v>
      </c>
      <c r="AY156" s="1" t="n">
        <v>-0.003837056241899409</v>
      </c>
      <c r="AZ156" s="1" t="n">
        <v>0.108952673352034</v>
      </c>
      <c r="BA156" s="1" t="n">
        <v>0.04535066182825852</v>
      </c>
      <c r="BB156" s="1" t="n">
        <v>0.05917312953627961</v>
      </c>
      <c r="BC156" s="1" t="n">
        <v>0.04185154404291301</v>
      </c>
      <c r="BD156" s="1" t="n">
        <v>-0.009584222510082435</v>
      </c>
      <c r="BE156" s="1" t="n">
        <v>-0.01604003709737194</v>
      </c>
      <c r="BF156" s="1" t="n">
        <v>-0.09230566523806143</v>
      </c>
      <c r="BG156" s="1" t="n">
        <v>0.2039260216335971</v>
      </c>
      <c r="BH156" s="1" t="n">
        <v>-0.06705057816630229</v>
      </c>
      <c r="BI156" s="1" t="n">
        <v>-0.01894551862177907</v>
      </c>
      <c r="BJ156" s="1" t="n">
        <v>-0.1002330471913581</v>
      </c>
      <c r="BK156" s="1" t="n">
        <v>0.1051648951685151</v>
      </c>
      <c r="BL156" s="1" t="n">
        <v>0.1533030621153924</v>
      </c>
      <c r="BM156" s="1" t="n">
        <v>-0.08158059336890564</v>
      </c>
      <c r="BN156" s="1" t="n">
        <v>-0.1373584044984985</v>
      </c>
      <c r="BO156" s="12" t="n">
        <v>-0.08362365497938773</v>
      </c>
      <c r="BP156" s="23" t="n"/>
      <c r="BQ156" s="23" t="n"/>
      <c r="BR156" s="23" t="n"/>
      <c r="BS156" s="23" t="n"/>
      <c r="BT156" s="23" t="n"/>
    </row>
    <row r="157">
      <c r="A157" t="n">
        <v>3</v>
      </c>
      <c r="B157" s="685" t="n">
        <v>0</v>
      </c>
      <c r="C157" s="686" t="n">
        <v>0</v>
      </c>
      <c r="D157" s="686" t="n">
        <v>1</v>
      </c>
      <c r="E157" s="686" t="n">
        <v>0</v>
      </c>
      <c r="F157" s="686" t="n">
        <v>0</v>
      </c>
      <c r="G157" s="686" t="n">
        <v>0</v>
      </c>
      <c r="H157" s="686" t="n">
        <v>0</v>
      </c>
      <c r="I157" s="686" t="n">
        <v>0</v>
      </c>
      <c r="J157" s="686" t="n">
        <v>0</v>
      </c>
      <c r="K157" s="686" t="n">
        <v>0</v>
      </c>
      <c r="L157" s="686" t="n">
        <v>0</v>
      </c>
      <c r="M157" s="686" t="n">
        <v>0</v>
      </c>
      <c r="N157" s="686" t="n">
        <v>0</v>
      </c>
      <c r="O157" s="686" t="n">
        <v>0</v>
      </c>
      <c r="P157" s="686" t="n">
        <v>0</v>
      </c>
      <c r="Q157" s="686" t="n">
        <v>0</v>
      </c>
      <c r="R157" s="685" t="n">
        <v>0</v>
      </c>
      <c r="S157" s="686" t="n">
        <v>0</v>
      </c>
      <c r="T157" s="687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2" t="n">
        <v>0</v>
      </c>
      <c r="AH157" s="23" t="n"/>
      <c r="AI157" s="23" t="n">
        <v>3</v>
      </c>
      <c r="AJ157" s="11" t="n">
        <v>-0.02457566580324555</v>
      </c>
      <c r="AK157" s="1" t="n">
        <v>0.09652111725252452</v>
      </c>
      <c r="AL157" s="1" t="n">
        <v>0.248606045182378</v>
      </c>
      <c r="AM157" s="1" t="n">
        <v>-0.04099596973095903</v>
      </c>
      <c r="AN157" s="1" t="n">
        <v>-0.03183981639194945</v>
      </c>
      <c r="AO157" s="1" t="n">
        <v>0.01490793648287274</v>
      </c>
      <c r="AP157" s="1" t="n">
        <v>0.01070362471181394</v>
      </c>
      <c r="AQ157" s="1" t="n">
        <v>-0.04099588760127024</v>
      </c>
      <c r="AR157" s="1" t="n">
        <v>0.1769381139544338</v>
      </c>
      <c r="AS157" s="1" t="n">
        <v>0.00502694178414164</v>
      </c>
      <c r="AT157" s="1" t="n">
        <v>0.02543287522426306</v>
      </c>
      <c r="AU157" s="1" t="n">
        <v>-0.02457568899329068</v>
      </c>
      <c r="AV157" s="1" t="n">
        <v>-0.0004645280769878784</v>
      </c>
      <c r="AW157" s="1" t="n">
        <v>-0.003510649140802871</v>
      </c>
      <c r="AX157" s="1" t="n">
        <v>0.003131776947444384</v>
      </c>
      <c r="AY157" s="1" t="n">
        <v>-0.005925683265346888</v>
      </c>
      <c r="AZ157" s="1" t="n">
        <v>0.03084690565712</v>
      </c>
      <c r="BA157" s="1" t="n">
        <v>0.01237076956309819</v>
      </c>
      <c r="BB157" s="1" t="n">
        <v>0.1758077461635874</v>
      </c>
      <c r="BC157" s="1" t="n">
        <v>0.1696859131928916</v>
      </c>
      <c r="BD157" s="1" t="n">
        <v>-0.01560777072367281</v>
      </c>
      <c r="BE157" s="1" t="n">
        <v>-0.0139842410463509</v>
      </c>
      <c r="BF157" s="1" t="n">
        <v>-0.03161948580277269</v>
      </c>
      <c r="BG157" s="1" t="n">
        <v>0.1111065924245316</v>
      </c>
      <c r="BH157" s="1" t="n">
        <v>-0.04706658293239319</v>
      </c>
      <c r="BI157" s="1" t="n">
        <v>-0.002828511919342053</v>
      </c>
      <c r="BJ157" s="1" t="n">
        <v>-0.0162368192897254</v>
      </c>
      <c r="BK157" s="1" t="n">
        <v>-0.05506210495563658</v>
      </c>
      <c r="BL157" s="1" t="n">
        <v>-0.1055595762979112</v>
      </c>
      <c r="BM157" s="1" t="n">
        <v>0.1881094011907277</v>
      </c>
      <c r="BN157" s="1" t="n">
        <v>-0.1114887984906825</v>
      </c>
      <c r="BO157" s="12" t="n">
        <v>-0.02149233389022761</v>
      </c>
      <c r="BP157" s="23" t="n"/>
      <c r="BQ157" s="23" t="n"/>
      <c r="BR157" s="23" t="n"/>
      <c r="BS157" s="23" t="n"/>
      <c r="BT157" s="23" t="n"/>
    </row>
    <row r="158">
      <c r="A158" t="n">
        <v>4</v>
      </c>
      <c r="B158" s="692" t="n">
        <v>0</v>
      </c>
      <c r="C158" s="693" t="n">
        <v>0</v>
      </c>
      <c r="D158" s="693" t="n">
        <v>0</v>
      </c>
      <c r="E158" s="693" t="n">
        <v>1</v>
      </c>
      <c r="F158" s="693" t="n">
        <v>0</v>
      </c>
      <c r="G158" s="693" t="n">
        <v>0</v>
      </c>
      <c r="H158" s="693" t="n">
        <v>0</v>
      </c>
      <c r="I158" s="693" t="n">
        <v>0</v>
      </c>
      <c r="J158" s="693" t="n">
        <v>0</v>
      </c>
      <c r="K158" s="693" t="n">
        <v>0</v>
      </c>
      <c r="L158" s="693" t="n">
        <v>0</v>
      </c>
      <c r="M158" s="693" t="n">
        <v>0</v>
      </c>
      <c r="N158" s="693" t="n">
        <v>0</v>
      </c>
      <c r="O158" s="693" t="n">
        <v>0</v>
      </c>
      <c r="P158" s="693" t="n">
        <v>0</v>
      </c>
      <c r="Q158" s="693" t="n">
        <v>0</v>
      </c>
      <c r="R158" s="692" t="n">
        <v>0</v>
      </c>
      <c r="S158" s="693" t="n">
        <v>0</v>
      </c>
      <c r="T158" s="694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2" t="n">
        <v>0</v>
      </c>
      <c r="AH158" s="23" t="n"/>
      <c r="AI158" s="23" t="n">
        <v>4</v>
      </c>
      <c r="AJ158" s="11" t="n">
        <v>0.05777410052184097</v>
      </c>
      <c r="AK158" s="1" t="n">
        <v>-0.006197984875864732</v>
      </c>
      <c r="AL158" s="1" t="n">
        <v>-0.04099596973095909</v>
      </c>
      <c r="AM158" s="1" t="n">
        <v>0.2124738165802105</v>
      </c>
      <c r="AN158" s="1" t="n">
        <v>0.05697984711552381</v>
      </c>
      <c r="AO158" s="1" t="n">
        <v>-0.01481990015170782</v>
      </c>
      <c r="AP158" s="1" t="n">
        <v>0.1305687827018137</v>
      </c>
      <c r="AQ158" s="1" t="n">
        <v>0.2124733909186504</v>
      </c>
      <c r="AR158" s="1" t="n">
        <v>0.141972820429437</v>
      </c>
      <c r="AS158" s="1" t="n">
        <v>-0.04624052989013312</v>
      </c>
      <c r="AT158" s="1" t="n">
        <v>-0.04894088027384612</v>
      </c>
      <c r="AU158" s="1" t="n">
        <v>0.05777415503853284</v>
      </c>
      <c r="AV158" s="1" t="n">
        <v>0.05352038462260495</v>
      </c>
      <c r="AW158" s="1" t="n">
        <v>-0.01998496947387048</v>
      </c>
      <c r="AX158" s="1" t="n">
        <v>-0.003968743173058571</v>
      </c>
      <c r="AY158" s="1" t="n">
        <v>-0.001465632111719312</v>
      </c>
      <c r="AZ158" s="1" t="n">
        <v>0.004197644325163031</v>
      </c>
      <c r="BA158" s="1" t="n">
        <v>0.02200033662296773</v>
      </c>
      <c r="BB158" s="1" t="n">
        <v>0.01220493019344813</v>
      </c>
      <c r="BC158" s="1" t="n">
        <v>-0.03422086272355983</v>
      </c>
      <c r="BD158" s="1" t="n">
        <v>-0.01874835833435558</v>
      </c>
      <c r="BE158" s="1" t="n">
        <v>-0.02524746127899625</v>
      </c>
      <c r="BF158" s="1" t="n">
        <v>-0.03221082715962682</v>
      </c>
      <c r="BG158" s="1" t="n">
        <v>-0.05497302537539925</v>
      </c>
      <c r="BH158" s="1" t="n">
        <v>0.2117974566131435</v>
      </c>
      <c r="BI158" s="1" t="n">
        <v>-0.08061778446476567</v>
      </c>
      <c r="BJ158" s="1" t="n">
        <v>0.05037954957513523</v>
      </c>
      <c r="BK158" s="1" t="n">
        <v>0.02622038115143797</v>
      </c>
      <c r="BL158" s="1" t="n">
        <v>0.01974001542494036</v>
      </c>
      <c r="BM158" s="1" t="n">
        <v>-0.03339385450287841</v>
      </c>
      <c r="BN158" s="1" t="n">
        <v>0.04664854130186607</v>
      </c>
      <c r="BO158" s="12" t="n">
        <v>-0.01299809111770724</v>
      </c>
      <c r="BP158" s="23" t="n"/>
      <c r="BQ158" s="23" t="n"/>
      <c r="BR158" s="23" t="n"/>
      <c r="BS158" s="23" t="n"/>
      <c r="BT158" s="23" t="n"/>
    </row>
    <row r="159">
      <c r="A159" t="n">
        <v>5</v>
      </c>
      <c r="B159" s="1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2" t="n">
        <v>0</v>
      </c>
      <c r="AH159" s="23" t="n"/>
      <c r="AI159" s="23" t="n">
        <v>5</v>
      </c>
      <c r="AJ159" s="11" t="n">
        <v>0.06952328063285008</v>
      </c>
      <c r="AK159" s="1" t="n">
        <v>0.03411503099053674</v>
      </c>
      <c r="AL159" s="1" t="n">
        <v>-0.03183981639194944</v>
      </c>
      <c r="AM159" s="1" t="n">
        <v>0.05697984711552387</v>
      </c>
      <c r="AN159" s="1" t="n">
        <v>0.197640503470436</v>
      </c>
      <c r="AO159" s="1" t="n">
        <v>-0.01129084229096601</v>
      </c>
      <c r="AP159" s="1" t="n">
        <v>0.01517069797484978</v>
      </c>
      <c r="AQ159" s="1" t="n">
        <v>0.05697973296437328</v>
      </c>
      <c r="AR159" s="1" t="n">
        <v>0.05175321368569884</v>
      </c>
      <c r="AS159" s="1" t="n">
        <v>-0.01374892591834673</v>
      </c>
      <c r="AT159" s="1" t="n">
        <v>-0.086706755338439</v>
      </c>
      <c r="AU159" s="1" t="n">
        <v>0.06952334623628195</v>
      </c>
      <c r="AV159" s="1" t="n">
        <v>0.02535121148557201</v>
      </c>
      <c r="AW159" s="1" t="n">
        <v>-0.0424734938882742</v>
      </c>
      <c r="AX159" s="1" t="n">
        <v>0.04229270036195854</v>
      </c>
      <c r="AY159" s="1" t="n">
        <v>0.05234695305005969</v>
      </c>
      <c r="AZ159" s="1" t="n">
        <v>0.08484614508981474</v>
      </c>
      <c r="BA159" s="1" t="n">
        <v>0.05426570177481109</v>
      </c>
      <c r="BB159" s="1" t="n">
        <v>0.1303474173559652</v>
      </c>
      <c r="BC159" s="1" t="n">
        <v>0.004448407965701104</v>
      </c>
      <c r="BD159" s="1" t="n">
        <v>0.09180776140412092</v>
      </c>
      <c r="BE159" s="1" t="n">
        <v>0.07844945446198598</v>
      </c>
      <c r="BF159" s="1" t="n">
        <v>-0.02862811631971891</v>
      </c>
      <c r="BG159" s="1" t="n">
        <v>-0.105479312477367</v>
      </c>
      <c r="BH159" s="1" t="n">
        <v>-0.07314023974529792</v>
      </c>
      <c r="BI159" s="1" t="n">
        <v>0.03699045267627696</v>
      </c>
      <c r="BJ159" s="1" t="n">
        <v>-0.1089426732431557</v>
      </c>
      <c r="BK159" s="1" t="n">
        <v>0.07428862373029876</v>
      </c>
      <c r="BL159" s="1" t="n">
        <v>0.004591817569736756</v>
      </c>
      <c r="BM159" s="1" t="n">
        <v>-0.09698943012648636</v>
      </c>
      <c r="BN159" s="1" t="n">
        <v>0.1589934940157897</v>
      </c>
      <c r="BO159" s="12" t="n">
        <v>-0.1001384146216119</v>
      </c>
      <c r="BP159" s="23" t="n"/>
      <c r="BQ159" s="23" t="n"/>
      <c r="BR159" s="23" t="n"/>
      <c r="BS159" s="23" t="n"/>
      <c r="BT159" s="23" t="n"/>
    </row>
    <row r="160">
      <c r="A160" t="n">
        <v>6</v>
      </c>
      <c r="B160" s="1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2" t="n">
        <v>0</v>
      </c>
      <c r="AH160" s="23" t="n"/>
      <c r="AI160" s="23" t="n">
        <v>6</v>
      </c>
      <c r="AJ160" s="11" t="n">
        <v>0.1391854210289085</v>
      </c>
      <c r="AK160" s="1" t="n">
        <v>0.01246938966554768</v>
      </c>
      <c r="AL160" s="1" t="n">
        <v>0.01490793648287275</v>
      </c>
      <c r="AM160" s="1" t="n">
        <v>-0.01481990015170779</v>
      </c>
      <c r="AN160" s="1" t="n">
        <v>-0.01129084229096598</v>
      </c>
      <c r="AO160" s="1" t="n">
        <v>0.2795624606189288</v>
      </c>
      <c r="AP160" s="1" t="n">
        <v>0.1542489182553471</v>
      </c>
      <c r="AQ160" s="1" t="n">
        <v>-0.01481987046211149</v>
      </c>
      <c r="AR160" s="1" t="n">
        <v>-0.02758791408413159</v>
      </c>
      <c r="AS160" s="1" t="n">
        <v>0.005413090729433431</v>
      </c>
      <c r="AT160" s="1" t="n">
        <v>0.1341420791419223</v>
      </c>
      <c r="AU160" s="1" t="n">
        <v>0.1391855523668029</v>
      </c>
      <c r="AV160" s="1" t="n">
        <v>0.1269323521644199</v>
      </c>
      <c r="AW160" s="1" t="n">
        <v>-0.06131674947191285</v>
      </c>
      <c r="AX160" s="1" t="n">
        <v>-0.04586269462568149</v>
      </c>
      <c r="AY160" s="1" t="n">
        <v>-0.01716376145306639</v>
      </c>
      <c r="AZ160" s="1" t="n">
        <v>-0.003044616827058589</v>
      </c>
      <c r="BA160" s="1" t="n">
        <v>0.008453467679187809</v>
      </c>
      <c r="BB160" s="1" t="n">
        <v>-0.008949590647520036</v>
      </c>
      <c r="BC160" s="1" t="n">
        <v>-0.0213072858791067</v>
      </c>
      <c r="BD160" s="1" t="n">
        <v>-0.09408548944118129</v>
      </c>
      <c r="BE160" s="1" t="n">
        <v>-0.03226954826776365</v>
      </c>
      <c r="BF160" s="1" t="n">
        <v>-0.02437828252316308</v>
      </c>
      <c r="BG160" s="1" t="n">
        <v>0.01952587491586952</v>
      </c>
      <c r="BH160" s="1" t="n">
        <v>-0.1113386899200649</v>
      </c>
      <c r="BI160" s="1" t="n">
        <v>0.2425461352363034</v>
      </c>
      <c r="BJ160" s="1" t="n">
        <v>0.1056013410370578</v>
      </c>
      <c r="BK160" s="1" t="n">
        <v>0.02257235443881784</v>
      </c>
      <c r="BL160" s="1" t="n">
        <v>-0.001915005311229312</v>
      </c>
      <c r="BM160" s="1" t="n">
        <v>0.03952480560277691</v>
      </c>
      <c r="BN160" s="1" t="n">
        <v>-0.02096200994161151</v>
      </c>
      <c r="BO160" s="12" t="n">
        <v>0.02226412262880963</v>
      </c>
      <c r="BP160" s="23" t="n"/>
      <c r="BQ160" s="23" t="n"/>
      <c r="BR160" s="23" t="n"/>
      <c r="BS160" s="23" t="n"/>
      <c r="BT160" s="23" t="n"/>
    </row>
    <row r="161">
      <c r="A161" t="n">
        <v>7</v>
      </c>
      <c r="B161" s="695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2" t="n">
        <v>0</v>
      </c>
      <c r="AH161" s="658" t="n"/>
      <c r="AI161" s="23" t="n">
        <v>7</v>
      </c>
      <c r="AJ161" s="695" t="n">
        <v>-0.04513482722653955</v>
      </c>
      <c r="AK161" s="1" t="n">
        <v>0.04880567663816517</v>
      </c>
      <c r="AL161" s="1" t="n">
        <v>0.01070362471181392</v>
      </c>
      <c r="AM161" s="1" t="n">
        <v>0.1305687827018137</v>
      </c>
      <c r="AN161" s="1" t="n">
        <v>0.01517069797484978</v>
      </c>
      <c r="AO161" s="1" t="n">
        <v>0.1542489182553471</v>
      </c>
      <c r="AP161" s="1" t="n">
        <v>0.4511954881529705</v>
      </c>
      <c r="AQ161" s="1" t="n">
        <v>0.1305685211255282</v>
      </c>
      <c r="AR161" s="1" t="n">
        <v>0.06389336761552863</v>
      </c>
      <c r="AS161" s="1" t="n">
        <v>-0.0345364513448911</v>
      </c>
      <c r="AT161" s="1" t="n">
        <v>0.01307748436890174</v>
      </c>
      <c r="AU161" s="1" t="n">
        <v>-0.04513486981658326</v>
      </c>
      <c r="AV161" s="1" t="n">
        <v>0.2369683737036326</v>
      </c>
      <c r="AW161" s="1" t="n">
        <v>-0.1187855786454277</v>
      </c>
      <c r="AX161" s="1" t="n">
        <v>-0.05729726388495118</v>
      </c>
      <c r="AY161" s="1" t="n">
        <v>0.01161137309178633</v>
      </c>
      <c r="AZ161" s="1" t="n">
        <v>0.05636606390860949</v>
      </c>
      <c r="BA161" s="1" t="n">
        <v>-0.002236830520097851</v>
      </c>
      <c r="BB161" s="1" t="n">
        <v>-0.02375312073380009</v>
      </c>
      <c r="BC161" s="1" t="n">
        <v>-0.04450607831694909</v>
      </c>
      <c r="BD161" s="1" t="n">
        <v>-0.00376730137924032</v>
      </c>
      <c r="BE161" s="1" t="n">
        <v>0.07689860150519917</v>
      </c>
      <c r="BF161" s="1" t="n">
        <v>0.02091187150566177</v>
      </c>
      <c r="BG161" s="1" t="n">
        <v>0.0753436701728214</v>
      </c>
      <c r="BH161" s="1" t="n">
        <v>-0.08661350374063956</v>
      </c>
      <c r="BI161" s="1" t="n">
        <v>-0.08277333806380247</v>
      </c>
      <c r="BJ161" s="1" t="n">
        <v>0.2410178548476245</v>
      </c>
      <c r="BK161" s="1" t="n">
        <v>0.1103917403286763</v>
      </c>
      <c r="BL161" s="1" t="n">
        <v>-0.0134546043706768</v>
      </c>
      <c r="BM161" s="1" t="n">
        <v>0.02262425904999591</v>
      </c>
      <c r="BN161" s="1" t="n">
        <v>0.02633127146592364</v>
      </c>
      <c r="BO161" s="12" t="n">
        <v>0.003982860413865221</v>
      </c>
      <c r="BP161" s="23" t="n"/>
      <c r="BQ161" s="658" t="n"/>
      <c r="BR161" s="23" t="n"/>
      <c r="BS161" s="23" t="n"/>
      <c r="BT161" s="23" t="n"/>
    </row>
    <row r="162">
      <c r="A162" t="n">
        <v>8</v>
      </c>
      <c r="B162" s="696" t="n">
        <v>0</v>
      </c>
      <c r="C162" s="697" t="n">
        <v>0</v>
      </c>
      <c r="D162" s="697" t="n">
        <v>0</v>
      </c>
      <c r="E162" s="697" t="n">
        <v>0</v>
      </c>
      <c r="F162" s="697" t="n">
        <v>0</v>
      </c>
      <c r="G162" s="697" t="n">
        <v>0</v>
      </c>
      <c r="H162" s="697" t="n">
        <v>0</v>
      </c>
      <c r="I162" s="697" t="n">
        <v>1</v>
      </c>
      <c r="J162" s="697" t="n">
        <v>0</v>
      </c>
      <c r="K162" s="697" t="n">
        <v>0</v>
      </c>
      <c r="L162" s="697" t="n">
        <v>0</v>
      </c>
      <c r="M162" s="697" t="n">
        <v>0</v>
      </c>
      <c r="N162" s="697" t="n">
        <v>0</v>
      </c>
      <c r="O162" s="697" t="n">
        <v>0</v>
      </c>
      <c r="P162" s="697" t="n">
        <v>0</v>
      </c>
      <c r="Q162" s="697" t="n">
        <v>0</v>
      </c>
      <c r="R162" s="697" t="n">
        <v>0</v>
      </c>
      <c r="S162" s="697" t="n">
        <v>0</v>
      </c>
      <c r="T162" s="697" t="n">
        <v>0</v>
      </c>
      <c r="U162" s="697" t="n">
        <v>0</v>
      </c>
      <c r="V162" s="697" t="n">
        <v>0</v>
      </c>
      <c r="W162" s="697" t="n">
        <v>0</v>
      </c>
      <c r="X162" s="697" t="n">
        <v>0</v>
      </c>
      <c r="Y162" s="697" t="n">
        <v>0</v>
      </c>
      <c r="Z162" s="697" t="n">
        <v>0</v>
      </c>
      <c r="AA162" s="697" t="n">
        <v>0</v>
      </c>
      <c r="AB162" s="697" t="n">
        <v>0</v>
      </c>
      <c r="AC162" s="697" t="n">
        <v>0</v>
      </c>
      <c r="AD162" s="697" t="n">
        <v>0</v>
      </c>
      <c r="AE162" s="697" t="n">
        <v>0</v>
      </c>
      <c r="AF162" s="697" t="n">
        <v>0</v>
      </c>
      <c r="AG162" s="698" t="n">
        <v>0</v>
      </c>
      <c r="AH162" s="699" t="n"/>
      <c r="AI162" s="23" t="n">
        <v>8</v>
      </c>
      <c r="AJ162" s="580" t="n">
        <v>0.05777398477951484</v>
      </c>
      <c r="AK162" s="581" t="n">
        <v>-0.006197972459069338</v>
      </c>
      <c r="AL162" s="581" t="n">
        <v>-0.04099588760127026</v>
      </c>
      <c r="AM162" s="581" t="n">
        <v>0.2124733909186504</v>
      </c>
      <c r="AN162" s="581" t="n">
        <v>0.05697973296437325</v>
      </c>
      <c r="AO162" s="581" t="n">
        <v>-0.01481987046211151</v>
      </c>
      <c r="AP162" s="581" t="n">
        <v>0.1305685211255282</v>
      </c>
      <c r="AQ162" s="581" t="n">
        <v>0.212472965257943</v>
      </c>
      <c r="AR162" s="581" t="n">
        <v>0.1419725360067575</v>
      </c>
      <c r="AS162" s="581" t="n">
        <v>-0.04624043725370192</v>
      </c>
      <c r="AT162" s="581" t="n">
        <v>-0.04894078222764076</v>
      </c>
      <c r="AU162" s="581" t="n">
        <v>0.05777403929609749</v>
      </c>
      <c r="AV162" s="581" t="n">
        <v>0.05352027740200357</v>
      </c>
      <c r="AW162" s="581" t="n">
        <v>-0.01998492943678067</v>
      </c>
      <c r="AX162" s="581" t="n">
        <v>-0.003968735222237001</v>
      </c>
      <c r="AY162" s="581" t="n">
        <v>-0.001465629175530449</v>
      </c>
      <c r="AZ162" s="581" t="n">
        <v>0.004197635915769974</v>
      </c>
      <c r="BA162" s="581" t="n">
        <v>0.0220002925483718</v>
      </c>
      <c r="BB162" s="581" t="n">
        <v>0.01220490574257832</v>
      </c>
      <c r="BC162" s="581" t="n">
        <v>-0.03422079416684985</v>
      </c>
      <c r="BD162" s="581" t="n">
        <v>-0.01874832077464308</v>
      </c>
      <c r="BE162" s="581" t="n">
        <v>-0.02524741069924043</v>
      </c>
      <c r="BF162" s="581" t="n">
        <v>-0.03221076262974183</v>
      </c>
      <c r="BG162" s="581" t="n">
        <v>-0.05497291524463527</v>
      </c>
      <c r="BH162" s="581" t="n">
        <v>0.2117970323065759</v>
      </c>
      <c r="BI162" s="581" t="n">
        <v>-0.08061762295831532</v>
      </c>
      <c r="BJ162" s="581" t="n">
        <v>0.05037944864675749</v>
      </c>
      <c r="BK162" s="581" t="n">
        <v>0.02622032862257328</v>
      </c>
      <c r="BL162" s="581" t="n">
        <v>0.01973997587858165</v>
      </c>
      <c r="BM162" s="581" t="n">
        <v>-0.03339378760296367</v>
      </c>
      <c r="BN162" s="581" t="n">
        <v>0.04664844784804104</v>
      </c>
      <c r="BO162" s="555" t="n">
        <v>-0.01299806507785049</v>
      </c>
      <c r="BP162" s="23" t="n"/>
      <c r="BQ162" s="700" t="n"/>
      <c r="BR162" s="648" t="n"/>
      <c r="BS162" s="648" t="n"/>
      <c r="BT162" s="648" t="n"/>
    </row>
    <row r="163">
      <c r="A163" t="n">
        <v>9</v>
      </c>
      <c r="B163" s="701" t="n">
        <v>0</v>
      </c>
      <c r="C163" s="702" t="n">
        <v>0</v>
      </c>
      <c r="D163" s="702" t="n">
        <v>0</v>
      </c>
      <c r="E163" s="702" t="n">
        <v>0</v>
      </c>
      <c r="F163" s="702" t="n">
        <v>0</v>
      </c>
      <c r="G163" s="702" t="n">
        <v>0</v>
      </c>
      <c r="H163" s="702" t="n">
        <v>0</v>
      </c>
      <c r="I163" s="702" t="n">
        <v>0</v>
      </c>
      <c r="J163" s="702" t="n">
        <v>1</v>
      </c>
      <c r="K163" s="702" t="n">
        <v>0</v>
      </c>
      <c r="L163" s="702" t="n">
        <v>0</v>
      </c>
      <c r="M163" s="702" t="n">
        <v>0</v>
      </c>
      <c r="N163" s="702" t="n">
        <v>0</v>
      </c>
      <c r="O163" s="702" t="n">
        <v>0</v>
      </c>
      <c r="P163" s="702" t="n">
        <v>0</v>
      </c>
      <c r="Q163" s="702" t="n">
        <v>0</v>
      </c>
      <c r="R163" s="702" t="n">
        <v>0</v>
      </c>
      <c r="S163" s="702" t="n">
        <v>0</v>
      </c>
      <c r="T163" s="702" t="n">
        <v>0</v>
      </c>
      <c r="U163" s="702" t="n">
        <v>0</v>
      </c>
      <c r="V163" s="702" t="n">
        <v>0</v>
      </c>
      <c r="W163" s="702" t="n">
        <v>0</v>
      </c>
      <c r="X163" s="702" t="n">
        <v>0</v>
      </c>
      <c r="Y163" s="702" t="n">
        <v>0</v>
      </c>
      <c r="Z163" s="702" t="n">
        <v>0</v>
      </c>
      <c r="AA163" s="702" t="n">
        <v>0</v>
      </c>
      <c r="AB163" s="702" t="n">
        <v>0</v>
      </c>
      <c r="AC163" s="702" t="n">
        <v>0</v>
      </c>
      <c r="AD163" s="702" t="n">
        <v>0</v>
      </c>
      <c r="AE163" s="702" t="n">
        <v>0</v>
      </c>
      <c r="AF163" s="702" t="n">
        <v>0</v>
      </c>
      <c r="AG163" s="703" t="n">
        <v>0</v>
      </c>
      <c r="AH163" s="704" t="n"/>
      <c r="AI163" s="23" t="n">
        <v>9</v>
      </c>
      <c r="AJ163" s="543" t="n">
        <v>0.0458575722388867</v>
      </c>
      <c r="AK163" s="1" t="n">
        <v>0.1013137728472479</v>
      </c>
      <c r="AL163" s="1" t="n">
        <v>0.1769381139544337</v>
      </c>
      <c r="AM163" s="1" t="n">
        <v>0.141972820429437</v>
      </c>
      <c r="AN163" s="1" t="n">
        <v>0.05175321368569884</v>
      </c>
      <c r="AO163" s="1" t="n">
        <v>-0.02758791408413161</v>
      </c>
      <c r="AP163" s="1" t="n">
        <v>0.06389336761552865</v>
      </c>
      <c r="AQ163" s="1" t="n">
        <v>0.1419725360067575</v>
      </c>
      <c r="AR163" s="1" t="n">
        <v>0.2973225435625372</v>
      </c>
      <c r="AS163" s="1" t="n">
        <v>-0.03574816053024776</v>
      </c>
      <c r="AT163" s="1" t="n">
        <v>-0.03199067605764664</v>
      </c>
      <c r="AU163" s="1" t="n">
        <v>0.04585761551092581</v>
      </c>
      <c r="AV163" s="1" t="n">
        <v>0.01498568396165492</v>
      </c>
      <c r="AW163" s="1" t="n">
        <v>-0.003769014410148375</v>
      </c>
      <c r="AX163" s="1" t="n">
        <v>0.007470073491341295</v>
      </c>
      <c r="AY163" s="1" t="n">
        <v>-0.01355631196258182</v>
      </c>
      <c r="AZ163" s="1" t="n">
        <v>0.04853455877054021</v>
      </c>
      <c r="BA163" s="1" t="n">
        <v>0.03051075086446346</v>
      </c>
      <c r="BB163" s="1" t="n">
        <v>0.1612015325117617</v>
      </c>
      <c r="BC163" s="1" t="n">
        <v>0.08273239658714872</v>
      </c>
      <c r="BD163" s="1" t="n">
        <v>-0.02760432529236539</v>
      </c>
      <c r="BE163" s="1" t="n">
        <v>-0.04518358820132175</v>
      </c>
      <c r="BF163" s="1" t="n">
        <v>-0.07129452284402882</v>
      </c>
      <c r="BG163" s="1" t="n">
        <v>0.06509343308607424</v>
      </c>
      <c r="BH163" s="1" t="n">
        <v>0.1454617617276776</v>
      </c>
      <c r="BI163" s="1" t="n">
        <v>-0.0664727584760359</v>
      </c>
      <c r="BJ163" s="1" t="n">
        <v>-0.08555918799064387</v>
      </c>
      <c r="BK163" s="1" t="n">
        <v>0.04137203083868075</v>
      </c>
      <c r="BL163" s="1" t="n">
        <v>-0.07970723005880424</v>
      </c>
      <c r="BM163" s="1" t="n">
        <v>0.1446979313528874</v>
      </c>
      <c r="BN163" s="1" t="n">
        <v>-0.02640696951592133</v>
      </c>
      <c r="BO163" s="544" t="n">
        <v>-0.04113233734175616</v>
      </c>
      <c r="BP163" s="23" t="n"/>
      <c r="BQ163" s="705" t="n"/>
      <c r="BR163" s="487" t="n"/>
      <c r="BS163" s="487" t="n"/>
      <c r="BT163" s="487" t="n"/>
    </row>
    <row r="164">
      <c r="A164" t="n">
        <v>10</v>
      </c>
      <c r="B164" s="701" t="n">
        <v>0</v>
      </c>
      <c r="C164" s="702" t="n">
        <v>0</v>
      </c>
      <c r="D164" s="702" t="n">
        <v>0</v>
      </c>
      <c r="E164" s="702" t="n">
        <v>0</v>
      </c>
      <c r="F164" s="702" t="n">
        <v>0</v>
      </c>
      <c r="G164" s="702" t="n">
        <v>0</v>
      </c>
      <c r="H164" s="702" t="n">
        <v>0</v>
      </c>
      <c r="I164" s="702" t="n">
        <v>0</v>
      </c>
      <c r="J164" s="702" t="n">
        <v>0</v>
      </c>
      <c r="K164" s="702" t="n">
        <v>1</v>
      </c>
      <c r="L164" s="702" t="n">
        <v>0</v>
      </c>
      <c r="M164" s="702" t="n">
        <v>0</v>
      </c>
      <c r="N164" s="702" t="n">
        <v>0</v>
      </c>
      <c r="O164" s="702" t="n">
        <v>0</v>
      </c>
      <c r="P164" s="702" t="n">
        <v>0</v>
      </c>
      <c r="Q164" s="702" t="n">
        <v>0</v>
      </c>
      <c r="R164" s="702" t="n">
        <v>0</v>
      </c>
      <c r="S164" s="702" t="n">
        <v>0</v>
      </c>
      <c r="T164" s="702" t="n">
        <v>0</v>
      </c>
      <c r="U164" s="702" t="n">
        <v>0</v>
      </c>
      <c r="V164" s="702" t="n">
        <v>0</v>
      </c>
      <c r="W164" s="702" t="n">
        <v>0</v>
      </c>
      <c r="X164" s="702" t="n">
        <v>0</v>
      </c>
      <c r="Y164" s="702" t="n">
        <v>0</v>
      </c>
      <c r="Z164" s="702" t="n">
        <v>0</v>
      </c>
      <c r="AA164" s="702" t="n">
        <v>0</v>
      </c>
      <c r="AB164" s="702" t="n">
        <v>0</v>
      </c>
      <c r="AC164" s="702" t="n">
        <v>0</v>
      </c>
      <c r="AD164" s="702" t="n">
        <v>0</v>
      </c>
      <c r="AE164" s="702" t="n">
        <v>0</v>
      </c>
      <c r="AF164" s="702" t="n">
        <v>0</v>
      </c>
      <c r="AG164" s="703" t="n">
        <v>0</v>
      </c>
      <c r="AH164" s="704" t="n"/>
      <c r="AI164" s="23" t="n">
        <v>10</v>
      </c>
      <c r="AJ164" s="543" t="n">
        <v>0.09247792043263479</v>
      </c>
      <c r="AK164" s="1" t="n">
        <v>-0.008866755135934228</v>
      </c>
      <c r="AL164" s="1" t="n">
        <v>0.005026941784141649</v>
      </c>
      <c r="AM164" s="1" t="n">
        <v>-0.04624052989013311</v>
      </c>
      <c r="AN164" s="1" t="n">
        <v>-0.01374892591834671</v>
      </c>
      <c r="AO164" s="1" t="n">
        <v>0.005413090729433544</v>
      </c>
      <c r="AP164" s="1" t="n">
        <v>-0.03453645134489107</v>
      </c>
      <c r="AQ164" s="1" t="n">
        <v>-0.0462404372537019</v>
      </c>
      <c r="AR164" s="1" t="n">
        <v>-0.0357481605302477</v>
      </c>
      <c r="AS164" s="1" t="n">
        <v>0.3478469427311826</v>
      </c>
      <c r="AT164" s="1" t="n">
        <v>0.2494766455845848</v>
      </c>
      <c r="AU164" s="1" t="n">
        <v>0.09247800769648208</v>
      </c>
      <c r="AV164" s="1" t="n">
        <v>0.09985041514927476</v>
      </c>
      <c r="AW164" s="1" t="n">
        <v>0.1155999412317621</v>
      </c>
      <c r="AX164" s="1" t="n">
        <v>0.04853705201903781</v>
      </c>
      <c r="AY164" s="1" t="n">
        <v>-0.02038746693808226</v>
      </c>
      <c r="AZ164" s="1" t="n">
        <v>-0.02759419630632307</v>
      </c>
      <c r="BA164" s="1" t="n">
        <v>-0.01082470887694631</v>
      </c>
      <c r="BB164" s="1" t="n">
        <v>-0.002530279397702316</v>
      </c>
      <c r="BC164" s="1" t="n">
        <v>0.002023514851482143</v>
      </c>
      <c r="BD164" s="1" t="n">
        <v>0.2860384841038133</v>
      </c>
      <c r="BE164" s="1" t="n">
        <v>-0.06431001943977402</v>
      </c>
      <c r="BF164" s="1" t="n">
        <v>-0.01838902035279077</v>
      </c>
      <c r="BG164" s="1" t="n">
        <v>-0.004984258019839597</v>
      </c>
      <c r="BH164" s="1" t="n">
        <v>-0.04120835305477778</v>
      </c>
      <c r="BI164" s="1" t="n">
        <v>-0.1571468332366311</v>
      </c>
      <c r="BJ164" s="1" t="n">
        <v>-0.004804267463149201</v>
      </c>
      <c r="BK164" s="1" t="n">
        <v>-0.01594726958614687</v>
      </c>
      <c r="BL164" s="1" t="n">
        <v>-0.003786064187979127</v>
      </c>
      <c r="BM164" s="1" t="n">
        <v>0.01562322510346389</v>
      </c>
      <c r="BN164" s="1" t="n">
        <v>-0.01381372646361686</v>
      </c>
      <c r="BO164" s="544" t="n">
        <v>-0.002545076088209254</v>
      </c>
      <c r="BP164" s="23" t="n"/>
      <c r="BQ164" s="705" t="n"/>
      <c r="BR164" s="487" t="n"/>
      <c r="BS164" s="487" t="n"/>
      <c r="BT164" s="487" t="n"/>
    </row>
    <row r="165">
      <c r="A165" t="n">
        <v>11</v>
      </c>
      <c r="B165" s="701" t="n">
        <v>0</v>
      </c>
      <c r="C165" s="702" t="n">
        <v>0</v>
      </c>
      <c r="D165" s="702" t="n">
        <v>0</v>
      </c>
      <c r="E165" s="702" t="n">
        <v>0</v>
      </c>
      <c r="F165" s="702" t="n">
        <v>0</v>
      </c>
      <c r="G165" s="702" t="n">
        <v>0</v>
      </c>
      <c r="H165" s="702" t="n">
        <v>0</v>
      </c>
      <c r="I165" s="702" t="n">
        <v>0</v>
      </c>
      <c r="J165" s="702" t="n">
        <v>0</v>
      </c>
      <c r="K165" s="702" t="n">
        <v>0</v>
      </c>
      <c r="L165" s="702" t="n">
        <v>1</v>
      </c>
      <c r="M165" s="702" t="n">
        <v>0</v>
      </c>
      <c r="N165" s="702" t="n">
        <v>0</v>
      </c>
      <c r="O165" s="702" t="n">
        <v>0</v>
      </c>
      <c r="P165" s="702" t="n">
        <v>0</v>
      </c>
      <c r="Q165" s="702" t="n">
        <v>0</v>
      </c>
      <c r="R165" s="702" t="n">
        <v>0</v>
      </c>
      <c r="S165" s="702" t="n">
        <v>0</v>
      </c>
      <c r="T165" s="702" t="n">
        <v>0</v>
      </c>
      <c r="U165" s="702" t="n">
        <v>0</v>
      </c>
      <c r="V165" s="702" t="n">
        <v>0</v>
      </c>
      <c r="W165" s="702" t="n">
        <v>0</v>
      </c>
      <c r="X165" s="702" t="n">
        <v>0</v>
      </c>
      <c r="Y165" s="702" t="n">
        <v>0</v>
      </c>
      <c r="Z165" s="702" t="n">
        <v>0</v>
      </c>
      <c r="AA165" s="702" t="n">
        <v>0</v>
      </c>
      <c r="AB165" s="702" t="n">
        <v>0</v>
      </c>
      <c r="AC165" s="702" t="n">
        <v>0</v>
      </c>
      <c r="AD165" s="702" t="n">
        <v>0</v>
      </c>
      <c r="AE165" s="702" t="n">
        <v>0</v>
      </c>
      <c r="AF165" s="702" t="n">
        <v>0</v>
      </c>
      <c r="AG165" s="703" t="n">
        <v>0</v>
      </c>
      <c r="AH165" s="704" t="n"/>
      <c r="AI165" s="23" t="n">
        <v>11</v>
      </c>
      <c r="AJ165" s="543" t="n">
        <v>0.2139351986037583</v>
      </c>
      <c r="AK165" s="1" t="n">
        <v>0.005487470994036667</v>
      </c>
      <c r="AL165" s="1" t="n">
        <v>0.02543287522426305</v>
      </c>
      <c r="AM165" s="1" t="n">
        <v>-0.0489408802738461</v>
      </c>
      <c r="AN165" s="1" t="n">
        <v>-0.08670675533843897</v>
      </c>
      <c r="AO165" s="1" t="n">
        <v>0.1341420791419224</v>
      </c>
      <c r="AP165" s="1" t="n">
        <v>0.01307748436890176</v>
      </c>
      <c r="AQ165" s="1" t="n">
        <v>-0.04894078222764073</v>
      </c>
      <c r="AR165" s="1" t="n">
        <v>-0.03199067605764662</v>
      </c>
      <c r="AS165" s="1" t="n">
        <v>0.2494766455845849</v>
      </c>
      <c r="AT165" s="1" t="n">
        <v>0.4816629145964251</v>
      </c>
      <c r="AU165" s="1" t="n">
        <v>0.2139354004769019</v>
      </c>
      <c r="AV165" s="1" t="n">
        <v>-0.07429023601880488</v>
      </c>
      <c r="AW165" s="1" t="n">
        <v>-0.01771801170747705</v>
      </c>
      <c r="AX165" s="1" t="n">
        <v>-0.01952728897007351</v>
      </c>
      <c r="AY165" s="1" t="n">
        <v>0.008039847935152784</v>
      </c>
      <c r="AZ165" s="1" t="n">
        <v>0.003684414313008047</v>
      </c>
      <c r="BA165" s="1" t="n">
        <v>-0.03763639649263957</v>
      </c>
      <c r="BB165" s="1" t="n">
        <v>-0.0600446410205616</v>
      </c>
      <c r="BC165" s="1" t="n">
        <v>0.01392196184807662</v>
      </c>
      <c r="BD165" s="1" t="n">
        <v>-0.05143716502752284</v>
      </c>
      <c r="BE165" s="1" t="n">
        <v>0.07059451571424262</v>
      </c>
      <c r="BF165" s="1" t="n">
        <v>0.06639698162977049</v>
      </c>
      <c r="BG165" s="1" t="n">
        <v>0.0917764052421618</v>
      </c>
      <c r="BH165" s="1" t="n">
        <v>-0.0183595312186532</v>
      </c>
      <c r="BI165" s="1" t="n">
        <v>-0.1589712063399989</v>
      </c>
      <c r="BJ165" s="1" t="n">
        <v>0.03839510492470238</v>
      </c>
      <c r="BK165" s="1" t="n">
        <v>-0.005381716429700759</v>
      </c>
      <c r="BL165" s="1" t="n">
        <v>-0.01595335976699706</v>
      </c>
      <c r="BM165" s="1" t="n">
        <v>0.02718600500765839</v>
      </c>
      <c r="BN165" s="1" t="n">
        <v>-0.0523964272787533</v>
      </c>
      <c r="BO165" s="544" t="n">
        <v>0.02990896071622517</v>
      </c>
      <c r="BP165" s="23" t="n"/>
      <c r="BQ165" s="705" t="n"/>
      <c r="BR165" s="487" t="n"/>
      <c r="BS165" s="487" t="n"/>
      <c r="BT165" s="487" t="n"/>
    </row>
    <row r="166">
      <c r="A166" t="n">
        <v>12</v>
      </c>
      <c r="B166" s="701" t="n">
        <v>0</v>
      </c>
      <c r="C166" s="702" t="n">
        <v>0</v>
      </c>
      <c r="D166" s="702" t="n">
        <v>0</v>
      </c>
      <c r="E166" s="702" t="n">
        <v>0</v>
      </c>
      <c r="F166" s="702" t="n">
        <v>0</v>
      </c>
      <c r="G166" s="702" t="n">
        <v>0</v>
      </c>
      <c r="H166" s="702" t="n">
        <v>0</v>
      </c>
      <c r="I166" s="702" t="n">
        <v>0</v>
      </c>
      <c r="J166" s="702" t="n">
        <v>0</v>
      </c>
      <c r="K166" s="702" t="n">
        <v>0</v>
      </c>
      <c r="L166" s="702" t="n">
        <v>0</v>
      </c>
      <c r="M166" s="702" t="n">
        <v>1</v>
      </c>
      <c r="N166" s="702" t="n">
        <v>0</v>
      </c>
      <c r="O166" s="702" t="n">
        <v>0</v>
      </c>
      <c r="P166" s="702" t="n">
        <v>0</v>
      </c>
      <c r="Q166" s="702" t="n">
        <v>0</v>
      </c>
      <c r="R166" s="702" t="n">
        <v>0</v>
      </c>
      <c r="S166" s="702" t="n">
        <v>0</v>
      </c>
      <c r="T166" s="702" t="n">
        <v>0</v>
      </c>
      <c r="U166" s="702" t="n">
        <v>0</v>
      </c>
      <c r="V166" s="702" t="n">
        <v>0</v>
      </c>
      <c r="W166" s="702" t="n">
        <v>0</v>
      </c>
      <c r="X166" s="702" t="n">
        <v>0</v>
      </c>
      <c r="Y166" s="702" t="n">
        <v>0</v>
      </c>
      <c r="Z166" s="702" t="n">
        <v>0</v>
      </c>
      <c r="AA166" s="702" t="n">
        <v>0</v>
      </c>
      <c r="AB166" s="702" t="n">
        <v>0</v>
      </c>
      <c r="AC166" s="702" t="n">
        <v>0</v>
      </c>
      <c r="AD166" s="702" t="n">
        <v>0</v>
      </c>
      <c r="AE166" s="702" t="n">
        <v>0</v>
      </c>
      <c r="AF166" s="702" t="n">
        <v>0</v>
      </c>
      <c r="AG166" s="703" t="n">
        <v>0</v>
      </c>
      <c r="AH166" s="704" t="n"/>
      <c r="AI166" s="23" t="n">
        <v>12</v>
      </c>
      <c r="AJ166" s="543" t="n">
        <v>0.2682017639604348</v>
      </c>
      <c r="AK166" s="1" t="n">
        <v>-0.00423348818406085</v>
      </c>
      <c r="AL166" s="1" t="n">
        <v>-0.02457568899329074</v>
      </c>
      <c r="AM166" s="1" t="n">
        <v>0.05777415503853287</v>
      </c>
      <c r="AN166" s="1" t="n">
        <v>0.06952334623628198</v>
      </c>
      <c r="AO166" s="1" t="n">
        <v>0.1391855523668029</v>
      </c>
      <c r="AP166" s="1" t="n">
        <v>-0.04513486981658326</v>
      </c>
      <c r="AQ166" s="1" t="n">
        <v>0.05777403929609751</v>
      </c>
      <c r="AR166" s="1" t="n">
        <v>0.04585761551092579</v>
      </c>
      <c r="AS166" s="1" t="n">
        <v>0.09247800769648205</v>
      </c>
      <c r="AT166" s="1" t="n">
        <v>0.2139354004769018</v>
      </c>
      <c r="AU166" s="1" t="n">
        <v>0.2682020170404963</v>
      </c>
      <c r="AV166" s="1" t="n">
        <v>-0.03069162001420452</v>
      </c>
      <c r="AW166" s="1" t="n">
        <v>-0.01514615923760856</v>
      </c>
      <c r="AX166" s="1" t="n">
        <v>0.008584050581693252</v>
      </c>
      <c r="AY166" s="1" t="n">
        <v>0.008366940408020121</v>
      </c>
      <c r="AZ166" s="1" t="n">
        <v>0.009750321593719032</v>
      </c>
      <c r="BA166" s="1" t="n">
        <v>0.02782183750643375</v>
      </c>
      <c r="BB166" s="1" t="n">
        <v>0.04564594650574687</v>
      </c>
      <c r="BC166" s="1" t="n">
        <v>-0.003560201693754306</v>
      </c>
      <c r="BD166" s="1" t="n">
        <v>-0.05096719767876992</v>
      </c>
      <c r="BE166" s="1" t="n">
        <v>-0.01213803132965428</v>
      </c>
      <c r="BF166" s="1" t="n">
        <v>-0.03062654248306169</v>
      </c>
      <c r="BG166" s="1" t="n">
        <v>-0.06804149762647067</v>
      </c>
      <c r="BH166" s="1" t="n">
        <v>0.06589844662273041</v>
      </c>
      <c r="BI166" s="1" t="n">
        <v>0.09587482249522614</v>
      </c>
      <c r="BJ166" s="1" t="n">
        <v>-0.05907140034574349</v>
      </c>
      <c r="BK166" s="1" t="n">
        <v>0.002928766162003663</v>
      </c>
      <c r="BL166" s="1" t="n">
        <v>0.01325415747711923</v>
      </c>
      <c r="BM166" s="1" t="n">
        <v>-0.0381535265899287</v>
      </c>
      <c r="BN166" s="1" t="n">
        <v>0.04887378102106633</v>
      </c>
      <c r="BO166" s="544" t="n">
        <v>-0.02697320011781201</v>
      </c>
      <c r="BP166" s="23" t="n"/>
      <c r="BQ166" s="705" t="n"/>
      <c r="BR166" s="487" t="n"/>
      <c r="BS166" s="487" t="n"/>
      <c r="BT166" s="487" t="n"/>
    </row>
    <row r="167">
      <c r="A167" t="n">
        <v>13</v>
      </c>
      <c r="B167" s="701" t="n">
        <v>0</v>
      </c>
      <c r="C167" s="702" t="n">
        <v>0</v>
      </c>
      <c r="D167" s="702" t="n">
        <v>0</v>
      </c>
      <c r="E167" s="702" t="n">
        <v>0</v>
      </c>
      <c r="F167" s="702" t="n">
        <v>0</v>
      </c>
      <c r="G167" s="702" t="n">
        <v>0</v>
      </c>
      <c r="H167" s="702" t="n">
        <v>0</v>
      </c>
      <c r="I167" s="702" t="n">
        <v>0</v>
      </c>
      <c r="J167" s="702" t="n">
        <v>0</v>
      </c>
      <c r="K167" s="702" t="n">
        <v>0</v>
      </c>
      <c r="L167" s="702" t="n">
        <v>0</v>
      </c>
      <c r="M167" s="702" t="n">
        <v>0</v>
      </c>
      <c r="N167" s="702" t="n">
        <v>1</v>
      </c>
      <c r="O167" s="702" t="n">
        <v>0</v>
      </c>
      <c r="P167" s="702" t="n">
        <v>0</v>
      </c>
      <c r="Q167" s="702" t="n">
        <v>0</v>
      </c>
      <c r="R167" s="702" t="n">
        <v>0</v>
      </c>
      <c r="S167" s="702" t="n">
        <v>0</v>
      </c>
      <c r="T167" s="702" t="n">
        <v>0</v>
      </c>
      <c r="U167" s="702" t="n">
        <v>0</v>
      </c>
      <c r="V167" s="702" t="n">
        <v>0</v>
      </c>
      <c r="W167" s="702" t="n">
        <v>0</v>
      </c>
      <c r="X167" s="702" t="n">
        <v>0</v>
      </c>
      <c r="Y167" s="702" t="n">
        <v>0</v>
      </c>
      <c r="Z167" s="702" t="n">
        <v>0</v>
      </c>
      <c r="AA167" s="702" t="n">
        <v>0</v>
      </c>
      <c r="AB167" s="702" t="n">
        <v>0</v>
      </c>
      <c r="AC167" s="702" t="n">
        <v>0</v>
      </c>
      <c r="AD167" s="702" t="n">
        <v>0</v>
      </c>
      <c r="AE167" s="702" t="n">
        <v>0</v>
      </c>
      <c r="AF167" s="702" t="n">
        <v>0</v>
      </c>
      <c r="AG167" s="703" t="n">
        <v>0</v>
      </c>
      <c r="AH167" s="704" t="n"/>
      <c r="AI167" s="23" t="n">
        <v>13</v>
      </c>
      <c r="AJ167" s="543" t="n">
        <v>-0.03069159105306112</v>
      </c>
      <c r="AK167" s="1" t="n">
        <v>0.01409598140508837</v>
      </c>
      <c r="AL167" s="1" t="n">
        <v>-0.0004645280769878931</v>
      </c>
      <c r="AM167" s="1" t="n">
        <v>0.05352038462260494</v>
      </c>
      <c r="AN167" s="1" t="n">
        <v>0.02535121148557204</v>
      </c>
      <c r="AO167" s="1" t="n">
        <v>0.1269323521644199</v>
      </c>
      <c r="AP167" s="1" t="n">
        <v>0.2369683737036325</v>
      </c>
      <c r="AQ167" s="1" t="n">
        <v>0.05352027740200355</v>
      </c>
      <c r="AR167" s="1" t="n">
        <v>0.01498568396165487</v>
      </c>
      <c r="AS167" s="1" t="n">
        <v>0.09985041514927465</v>
      </c>
      <c r="AT167" s="1" t="n">
        <v>-0.07429023601880491</v>
      </c>
      <c r="AU167" s="1" t="n">
        <v>-0.03069162001420451</v>
      </c>
      <c r="AV167" s="1" t="n">
        <v>0.4432534189188593</v>
      </c>
      <c r="AW167" s="1" t="n">
        <v>0.2731597589923362</v>
      </c>
      <c r="AX167" s="1" t="n">
        <v>0.1340340518869921</v>
      </c>
      <c r="AY167" s="1" t="n">
        <v>-0.02879010220767073</v>
      </c>
      <c r="AZ167" s="1" t="n">
        <v>-0.0125495510552067</v>
      </c>
      <c r="BA167" s="1" t="n">
        <v>-0.02839407679219616</v>
      </c>
      <c r="BB167" s="1" t="n">
        <v>-0.0004032975762045019</v>
      </c>
      <c r="BC167" s="1" t="n">
        <v>-0.02642131153181677</v>
      </c>
      <c r="BD167" s="1" t="n">
        <v>0.09113728435970811</v>
      </c>
      <c r="BE167" s="1" t="n">
        <v>-0.08762828794873652</v>
      </c>
      <c r="BF167" s="1" t="n">
        <v>-0.02731756299982889</v>
      </c>
      <c r="BG167" s="1" t="n">
        <v>0.01331065505034182</v>
      </c>
      <c r="BH167" s="1" t="n">
        <v>-0.08301089044977669</v>
      </c>
      <c r="BI167" s="1" t="n">
        <v>0.09350880198829219</v>
      </c>
      <c r="BJ167" s="1" t="n">
        <v>0.1267049305793843</v>
      </c>
      <c r="BK167" s="1" t="n">
        <v>0.05722642702837624</v>
      </c>
      <c r="BL167" s="1" t="n">
        <v>-0.01779239553503903</v>
      </c>
      <c r="BM167" s="1" t="n">
        <v>0.01477194774928115</v>
      </c>
      <c r="BN167" s="1" t="n">
        <v>0.03541463818785463</v>
      </c>
      <c r="BO167" s="544" t="n">
        <v>-0.04016016146369498</v>
      </c>
      <c r="BP167" s="23" t="n"/>
      <c r="BQ167" s="705" t="n"/>
      <c r="BR167" s="487" t="n"/>
      <c r="BS167" s="487" t="n"/>
      <c r="BT167" s="487" t="n"/>
    </row>
    <row r="168">
      <c r="A168" t="n">
        <v>14</v>
      </c>
      <c r="B168" s="701" t="n">
        <v>0</v>
      </c>
      <c r="C168" s="702" t="n">
        <v>0</v>
      </c>
      <c r="D168" s="702" t="n">
        <v>0</v>
      </c>
      <c r="E168" s="702" t="n">
        <v>0</v>
      </c>
      <c r="F168" s="702" t="n">
        <v>0</v>
      </c>
      <c r="G168" s="702" t="n">
        <v>0</v>
      </c>
      <c r="H168" s="702" t="n">
        <v>0</v>
      </c>
      <c r="I168" s="702" t="n">
        <v>0</v>
      </c>
      <c r="J168" s="702" t="n">
        <v>0</v>
      </c>
      <c r="K168" s="702" t="n">
        <v>0</v>
      </c>
      <c r="L168" s="702" t="n">
        <v>0</v>
      </c>
      <c r="M168" s="702" t="n">
        <v>0</v>
      </c>
      <c r="N168" s="702" t="n">
        <v>0</v>
      </c>
      <c r="O168" s="702" t="n">
        <v>1</v>
      </c>
      <c r="P168" s="702" t="n">
        <v>0</v>
      </c>
      <c r="Q168" s="702" t="n">
        <v>0</v>
      </c>
      <c r="R168" s="702" t="n">
        <v>0</v>
      </c>
      <c r="S168" s="702" t="n">
        <v>0</v>
      </c>
      <c r="T168" s="702" t="n">
        <v>0</v>
      </c>
      <c r="U168" s="702" t="n">
        <v>0</v>
      </c>
      <c r="V168" s="702" t="n">
        <v>0</v>
      </c>
      <c r="W168" s="702" t="n">
        <v>0</v>
      </c>
      <c r="X168" s="702" t="n">
        <v>0</v>
      </c>
      <c r="Y168" s="702" t="n">
        <v>0</v>
      </c>
      <c r="Z168" s="702" t="n">
        <v>0</v>
      </c>
      <c r="AA168" s="702" t="n">
        <v>0</v>
      </c>
      <c r="AB168" s="702" t="n">
        <v>0</v>
      </c>
      <c r="AC168" s="702" t="n">
        <v>0</v>
      </c>
      <c r="AD168" s="702" t="n">
        <v>0</v>
      </c>
      <c r="AE168" s="702" t="n">
        <v>0</v>
      </c>
      <c r="AF168" s="702" t="n">
        <v>0</v>
      </c>
      <c r="AG168" s="703" t="n">
        <v>0</v>
      </c>
      <c r="AH168" s="704" t="n"/>
      <c r="AI168" s="23" t="n">
        <v>14</v>
      </c>
      <c r="AJ168" s="543" t="n">
        <v>-0.01514614494543075</v>
      </c>
      <c r="AK168" s="1" t="n">
        <v>-0.01982617550785673</v>
      </c>
      <c r="AL168" s="1" t="n">
        <v>-0.003510649140802912</v>
      </c>
      <c r="AM168" s="1" t="n">
        <v>-0.01998496947387045</v>
      </c>
      <c r="AN168" s="1" t="n">
        <v>-0.04247349388827415</v>
      </c>
      <c r="AO168" s="1" t="n">
        <v>-0.06131674947191276</v>
      </c>
      <c r="AP168" s="1" t="n">
        <v>-0.1187855786454276</v>
      </c>
      <c r="AQ168" s="1" t="n">
        <v>-0.01998492943678064</v>
      </c>
      <c r="AR168" s="1" t="n">
        <v>-0.003769014410148399</v>
      </c>
      <c r="AS168" s="1" t="n">
        <v>0.1155999412317619</v>
      </c>
      <c r="AT168" s="1" t="n">
        <v>-0.01771801170747706</v>
      </c>
      <c r="AU168" s="1" t="n">
        <v>-0.01514615923760853</v>
      </c>
      <c r="AV168" s="1" t="n">
        <v>0.2731597589923362</v>
      </c>
      <c r="AW168" s="1" t="n">
        <v>0.5663152846893255</v>
      </c>
      <c r="AX168" s="1" t="n">
        <v>0.2905906719442367</v>
      </c>
      <c r="AY168" s="1" t="n">
        <v>-0.01590599732379967</v>
      </c>
      <c r="AZ168" s="1" t="n">
        <v>-0.0429568323141523</v>
      </c>
      <c r="BA168" s="1" t="n">
        <v>-0.0949930163063203</v>
      </c>
      <c r="BB168" s="1" t="n">
        <v>-0.03579506128178224</v>
      </c>
      <c r="BC168" s="1" t="n">
        <v>0.03239119616868816</v>
      </c>
      <c r="BD168" s="1" t="n">
        <v>-0.1156614215500512</v>
      </c>
      <c r="BE168" s="1" t="n">
        <v>-0.05511647202608971</v>
      </c>
      <c r="BF168" s="1" t="n">
        <v>0.05322007639087666</v>
      </c>
      <c r="BG168" s="1" t="n">
        <v>0.04289283619760276</v>
      </c>
      <c r="BH168" s="1" t="n">
        <v>0.07573538474841021</v>
      </c>
      <c r="BI168" s="1" t="n">
        <v>-0.001070403760748684</v>
      </c>
      <c r="BJ168" s="1" t="n">
        <v>-0.06663729985252034</v>
      </c>
      <c r="BK168" s="1" t="n">
        <v>-0.01554422473829416</v>
      </c>
      <c r="BL168" s="1" t="n">
        <v>-0.03343696626775949</v>
      </c>
      <c r="BM168" s="1" t="n">
        <v>-0.02334396590259041</v>
      </c>
      <c r="BN168" s="1" t="n">
        <v>0.01756903318158461</v>
      </c>
      <c r="BO168" s="544" t="n">
        <v>-0.06770564858931344</v>
      </c>
      <c r="BP168" s="23" t="n"/>
      <c r="BQ168" s="705" t="n"/>
      <c r="BR168" s="487" t="n"/>
      <c r="BS168" s="487" t="n"/>
      <c r="BT168" s="487" t="n"/>
    </row>
    <row r="169">
      <c r="A169" t="n">
        <v>15</v>
      </c>
      <c r="B169" s="701" t="n">
        <v>0</v>
      </c>
      <c r="C169" s="702" t="n">
        <v>0</v>
      </c>
      <c r="D169" s="702" t="n">
        <v>0</v>
      </c>
      <c r="E169" s="702" t="n">
        <v>0</v>
      </c>
      <c r="F169" s="702" t="n">
        <v>0</v>
      </c>
      <c r="G169" s="702" t="n">
        <v>0</v>
      </c>
      <c r="H169" s="702" t="n">
        <v>0</v>
      </c>
      <c r="I169" s="702" t="n">
        <v>0</v>
      </c>
      <c r="J169" s="702" t="n">
        <v>0</v>
      </c>
      <c r="K169" s="702" t="n">
        <v>0</v>
      </c>
      <c r="L169" s="702" t="n">
        <v>0</v>
      </c>
      <c r="M169" s="702" t="n">
        <v>0</v>
      </c>
      <c r="N169" s="702" t="n">
        <v>0</v>
      </c>
      <c r="O169" s="702" t="n">
        <v>0</v>
      </c>
      <c r="P169" s="702" t="n">
        <v>1</v>
      </c>
      <c r="Q169" s="702" t="n">
        <v>0</v>
      </c>
      <c r="R169" s="702" t="n">
        <v>0</v>
      </c>
      <c r="S169" s="702" t="n">
        <v>0</v>
      </c>
      <c r="T169" s="702" t="n">
        <v>0</v>
      </c>
      <c r="U169" s="702" t="n">
        <v>0</v>
      </c>
      <c r="V169" s="702" t="n">
        <v>0</v>
      </c>
      <c r="W169" s="702" t="n">
        <v>0</v>
      </c>
      <c r="X169" s="702" t="n">
        <v>0</v>
      </c>
      <c r="Y169" s="702" t="n">
        <v>0</v>
      </c>
      <c r="Z169" s="702" t="n">
        <v>0</v>
      </c>
      <c r="AA169" s="702" t="n">
        <v>0</v>
      </c>
      <c r="AB169" s="702" t="n">
        <v>0</v>
      </c>
      <c r="AC169" s="702" t="n">
        <v>0</v>
      </c>
      <c r="AD169" s="702" t="n">
        <v>0</v>
      </c>
      <c r="AE169" s="702" t="n">
        <v>0</v>
      </c>
      <c r="AF169" s="702" t="n">
        <v>0</v>
      </c>
      <c r="AG169" s="703" t="n">
        <v>0</v>
      </c>
      <c r="AH169" s="704" t="n"/>
      <c r="AI169" s="23" t="n">
        <v>15</v>
      </c>
      <c r="AJ169" s="543" t="n">
        <v>0.008584042481634704</v>
      </c>
      <c r="AK169" s="1" t="n">
        <v>0.0185844114865473</v>
      </c>
      <c r="AL169" s="1" t="n">
        <v>0.003131776947444334</v>
      </c>
      <c r="AM169" s="1" t="n">
        <v>-0.003968743173058516</v>
      </c>
      <c r="AN169" s="1" t="n">
        <v>0.04229270036195859</v>
      </c>
      <c r="AO169" s="1" t="n">
        <v>-0.0458626946256815</v>
      </c>
      <c r="AP169" s="1" t="n">
        <v>-0.05729726388495111</v>
      </c>
      <c r="AQ169" s="1" t="n">
        <v>-0.003968735222236945</v>
      </c>
      <c r="AR169" s="1" t="n">
        <v>0.007470073491341288</v>
      </c>
      <c r="AS169" s="1" t="n">
        <v>0.04853705201903779</v>
      </c>
      <c r="AT169" s="1" t="n">
        <v>-0.01952728897007348</v>
      </c>
      <c r="AU169" s="1" t="n">
        <v>0.00858405058169328</v>
      </c>
      <c r="AV169" s="1" t="n">
        <v>0.134034051886992</v>
      </c>
      <c r="AW169" s="1" t="n">
        <v>0.2905906719442366</v>
      </c>
      <c r="AX169" s="1" t="n">
        <v>0.4115993973180737</v>
      </c>
      <c r="AY169" s="1" t="n">
        <v>0.0633868508631289</v>
      </c>
      <c r="AZ169" s="1" t="n">
        <v>0.08945895751375976</v>
      </c>
      <c r="BA169" s="1" t="n">
        <v>0.1737338358272418</v>
      </c>
      <c r="BB169" s="1" t="n">
        <v>0.05393611486041243</v>
      </c>
      <c r="BC169" s="1" t="n">
        <v>-0.02066744994302152</v>
      </c>
      <c r="BD169" s="1" t="n">
        <v>-0.06752822741202757</v>
      </c>
      <c r="BE169" s="1" t="n">
        <v>0.2038316737004919</v>
      </c>
      <c r="BF169" s="1" t="n">
        <v>-0.04007315193529282</v>
      </c>
      <c r="BG169" s="1" t="n">
        <v>-0.07408893127021715</v>
      </c>
      <c r="BH169" s="1" t="n">
        <v>-0.003456667753064635</v>
      </c>
      <c r="BI169" s="1" t="n">
        <v>-0.01868469532988976</v>
      </c>
      <c r="BJ169" s="1" t="n">
        <v>-0.03281542044394278</v>
      </c>
      <c r="BK169" s="1" t="n">
        <v>-0.02927304893432862</v>
      </c>
      <c r="BL169" s="1" t="n">
        <v>0.06929497112414762</v>
      </c>
      <c r="BM169" s="1" t="n">
        <v>0.01093209559136134</v>
      </c>
      <c r="BN169" s="1" t="n">
        <v>-0.05586893460949134</v>
      </c>
      <c r="BO169" s="544" t="n">
        <v>0.1421084268527533</v>
      </c>
      <c r="BP169" s="23" t="n"/>
      <c r="BQ169" s="705" t="n"/>
      <c r="BR169" s="487" t="n"/>
      <c r="BS169" s="487" t="n"/>
      <c r="BT169" s="487" t="n"/>
    </row>
    <row r="170">
      <c r="A170" t="n">
        <v>16</v>
      </c>
      <c r="B170" s="701" t="n">
        <v>0</v>
      </c>
      <c r="C170" s="702" t="n">
        <v>0</v>
      </c>
      <c r="D170" s="702" t="n">
        <v>0</v>
      </c>
      <c r="E170" s="702" t="n">
        <v>0</v>
      </c>
      <c r="F170" s="702" t="n">
        <v>0</v>
      </c>
      <c r="G170" s="702" t="n">
        <v>0</v>
      </c>
      <c r="H170" s="702" t="n">
        <v>0</v>
      </c>
      <c r="I170" s="702" t="n">
        <v>0</v>
      </c>
      <c r="J170" s="702" t="n">
        <v>0</v>
      </c>
      <c r="K170" s="702" t="n">
        <v>0</v>
      </c>
      <c r="L170" s="702" t="n">
        <v>0</v>
      </c>
      <c r="M170" s="702" t="n">
        <v>0</v>
      </c>
      <c r="N170" s="702" t="n">
        <v>0</v>
      </c>
      <c r="O170" s="702" t="n">
        <v>0</v>
      </c>
      <c r="P170" s="702" t="n">
        <v>0</v>
      </c>
      <c r="Q170" s="702" t="n">
        <v>1</v>
      </c>
      <c r="R170" s="702" t="n">
        <v>0</v>
      </c>
      <c r="S170" s="702" t="n">
        <v>0</v>
      </c>
      <c r="T170" s="702" t="n">
        <v>0</v>
      </c>
      <c r="U170" s="702" t="n">
        <v>0</v>
      </c>
      <c r="V170" s="702" t="n">
        <v>0</v>
      </c>
      <c r="W170" s="702" t="n">
        <v>0</v>
      </c>
      <c r="X170" s="702" t="n">
        <v>0</v>
      </c>
      <c r="Y170" s="702" t="n">
        <v>0</v>
      </c>
      <c r="Z170" s="702" t="n">
        <v>0</v>
      </c>
      <c r="AA170" s="702" t="n">
        <v>0</v>
      </c>
      <c r="AB170" s="702" t="n">
        <v>0</v>
      </c>
      <c r="AC170" s="702" t="n">
        <v>0</v>
      </c>
      <c r="AD170" s="702" t="n">
        <v>0</v>
      </c>
      <c r="AE170" s="702" t="n">
        <v>0</v>
      </c>
      <c r="AF170" s="702" t="n">
        <v>0</v>
      </c>
      <c r="AG170" s="703" t="n">
        <v>0</v>
      </c>
      <c r="AH170" s="704" t="n"/>
      <c r="AI170" s="23" t="n">
        <v>16</v>
      </c>
      <c r="AJ170" s="543" t="n">
        <v>0.008366932512830473</v>
      </c>
      <c r="AK170" s="1" t="n">
        <v>-0.003837056241899346</v>
      </c>
      <c r="AL170" s="1" t="n">
        <v>-0.005925683265346871</v>
      </c>
      <c r="AM170" s="1" t="n">
        <v>-0.001465632111719309</v>
      </c>
      <c r="AN170" s="1" t="n">
        <v>0.05234695305005975</v>
      </c>
      <c r="AO170" s="1" t="n">
        <v>-0.01716376145306642</v>
      </c>
      <c r="AP170" s="1" t="n">
        <v>0.01161137309178632</v>
      </c>
      <c r="AQ170" s="1" t="n">
        <v>-0.001465629175530461</v>
      </c>
      <c r="AR170" s="1" t="n">
        <v>-0.01355631196258181</v>
      </c>
      <c r="AS170" s="1" t="n">
        <v>-0.02038746693808223</v>
      </c>
      <c r="AT170" s="1" t="n">
        <v>0.008039847935152764</v>
      </c>
      <c r="AU170" s="1" t="n">
        <v>0.008366940408020114</v>
      </c>
      <c r="AV170" s="1" t="n">
        <v>-0.02879010220767079</v>
      </c>
      <c r="AW170" s="1" t="n">
        <v>-0.01590599732379978</v>
      </c>
      <c r="AX170" s="1" t="n">
        <v>0.06338685086312891</v>
      </c>
      <c r="AY170" s="1" t="n">
        <v>0.3464034473779907</v>
      </c>
      <c r="AZ170" s="1" t="n">
        <v>0.221384468774407</v>
      </c>
      <c r="BA170" s="1" t="n">
        <v>0.1212732773161305</v>
      </c>
      <c r="BB170" s="1" t="n">
        <v>0.05885822557545146</v>
      </c>
      <c r="BC170" s="1" t="n">
        <v>-0.04390850887548935</v>
      </c>
      <c r="BD170" s="1" t="n">
        <v>-0.03501507130638257</v>
      </c>
      <c r="BE170" s="1" t="n">
        <v>-0.07769988718173036</v>
      </c>
      <c r="BF170" s="1" t="n">
        <v>0.3234943389455387</v>
      </c>
      <c r="BG170" s="1" t="n">
        <v>-0.1178159900777392</v>
      </c>
      <c r="BH170" s="1" t="n">
        <v>-0.05046742861932432</v>
      </c>
      <c r="BI170" s="1" t="n">
        <v>-0.04249596176036219</v>
      </c>
      <c r="BJ170" s="1" t="n">
        <v>0.02846735973433352</v>
      </c>
      <c r="BK170" s="1" t="n">
        <v>-0.03455265326717116</v>
      </c>
      <c r="BL170" s="1" t="n">
        <v>0.06069251331754116</v>
      </c>
      <c r="BM170" s="1" t="n">
        <v>0.04077265814975146</v>
      </c>
      <c r="BN170" s="1" t="n">
        <v>-0.04831507326156799</v>
      </c>
      <c r="BO170" s="544" t="n">
        <v>-0.09132340710983848</v>
      </c>
      <c r="BP170" s="23" t="n"/>
      <c r="BQ170" s="705" t="n"/>
      <c r="BR170" s="487" t="n"/>
      <c r="BS170" s="487" t="n"/>
      <c r="BT170" s="487" t="n"/>
    </row>
    <row r="171">
      <c r="A171" t="n">
        <v>17</v>
      </c>
      <c r="B171" s="701" t="n">
        <v>0</v>
      </c>
      <c r="C171" s="702" t="n">
        <v>0</v>
      </c>
      <c r="D171" s="702" t="n">
        <v>0</v>
      </c>
      <c r="E171" s="702" t="n">
        <v>0</v>
      </c>
      <c r="F171" s="702" t="n">
        <v>0</v>
      </c>
      <c r="G171" s="702" t="n">
        <v>0</v>
      </c>
      <c r="H171" s="702" t="n">
        <v>0</v>
      </c>
      <c r="I171" s="702" t="n">
        <v>0</v>
      </c>
      <c r="J171" s="702" t="n">
        <v>0</v>
      </c>
      <c r="K171" s="702" t="n">
        <v>0</v>
      </c>
      <c r="L171" s="702" t="n">
        <v>0</v>
      </c>
      <c r="M171" s="702" t="n">
        <v>0</v>
      </c>
      <c r="N171" s="702" t="n">
        <v>0</v>
      </c>
      <c r="O171" s="702" t="n">
        <v>0</v>
      </c>
      <c r="P171" s="702" t="n">
        <v>0</v>
      </c>
      <c r="Q171" s="702" t="n">
        <v>0</v>
      </c>
      <c r="R171" s="702" t="n">
        <v>1</v>
      </c>
      <c r="S171" s="702" t="n">
        <v>0</v>
      </c>
      <c r="T171" s="702" t="n">
        <v>0</v>
      </c>
      <c r="U171" s="702" t="n">
        <v>0</v>
      </c>
      <c r="V171" s="702" t="n">
        <v>0</v>
      </c>
      <c r="W171" s="702" t="n">
        <v>0</v>
      </c>
      <c r="X171" s="702" t="n">
        <v>0</v>
      </c>
      <c r="Y171" s="702" t="n">
        <v>0</v>
      </c>
      <c r="Z171" s="702" t="n">
        <v>0</v>
      </c>
      <c r="AA171" s="702" t="n">
        <v>0</v>
      </c>
      <c r="AB171" s="702" t="n">
        <v>0</v>
      </c>
      <c r="AC171" s="702" t="n">
        <v>0</v>
      </c>
      <c r="AD171" s="702" t="n">
        <v>0</v>
      </c>
      <c r="AE171" s="702" t="n">
        <v>0</v>
      </c>
      <c r="AF171" s="702" t="n">
        <v>0</v>
      </c>
      <c r="AG171" s="703" t="n">
        <v>0</v>
      </c>
      <c r="AH171" s="704" t="n"/>
      <c r="AI171" s="23" t="n">
        <v>17</v>
      </c>
      <c r="AJ171" s="543" t="n">
        <v>0.009750312393146936</v>
      </c>
      <c r="AK171" s="1" t="n">
        <v>0.108952673352034</v>
      </c>
      <c r="AL171" s="1" t="n">
        <v>0.03084690565711995</v>
      </c>
      <c r="AM171" s="1" t="n">
        <v>0.004197644325163036</v>
      </c>
      <c r="AN171" s="1" t="n">
        <v>0.08484614508981475</v>
      </c>
      <c r="AO171" s="1" t="n">
        <v>-0.003044616827058622</v>
      </c>
      <c r="AP171" s="1" t="n">
        <v>0.05636606390860952</v>
      </c>
      <c r="AQ171" s="1" t="n">
        <v>0.004197635915769989</v>
      </c>
      <c r="AR171" s="1" t="n">
        <v>0.04853455877054019</v>
      </c>
      <c r="AS171" s="1" t="n">
        <v>-0.02759419630632301</v>
      </c>
      <c r="AT171" s="1" t="n">
        <v>0.003684414313008068</v>
      </c>
      <c r="AU171" s="1" t="n">
        <v>0.009750321593719025</v>
      </c>
      <c r="AV171" s="1" t="n">
        <v>-0.01254955105520673</v>
      </c>
      <c r="AW171" s="1" t="n">
        <v>-0.04295683231415238</v>
      </c>
      <c r="AX171" s="1" t="n">
        <v>0.08945895751375976</v>
      </c>
      <c r="AY171" s="1" t="n">
        <v>0.2213844687744069</v>
      </c>
      <c r="AZ171" s="1" t="n">
        <v>0.299446773239991</v>
      </c>
      <c r="BA171" s="1" t="n">
        <v>0.174838787766542</v>
      </c>
      <c r="BB171" s="1" t="n">
        <v>0.06391366553025071</v>
      </c>
      <c r="BC171" s="1" t="n">
        <v>0.02859452078033477</v>
      </c>
      <c r="BD171" s="1" t="n">
        <v>-0.02703196302635869</v>
      </c>
      <c r="BE171" s="1" t="n">
        <v>-0.07702658986002528</v>
      </c>
      <c r="BF171" s="1" t="n">
        <v>0.1735173684681962</v>
      </c>
      <c r="BG171" s="1" t="n">
        <v>0.07370067709204416</v>
      </c>
      <c r="BH171" s="1" t="n">
        <v>-0.09484986918598891</v>
      </c>
      <c r="BI171" s="1" t="n">
        <v>-0.04830962348786746</v>
      </c>
      <c r="BJ171" s="1" t="n">
        <v>-0.07378965825232706</v>
      </c>
      <c r="BK171" s="1" t="n">
        <v>0.09158621463849903</v>
      </c>
      <c r="BL171" s="1" t="n">
        <v>0.0394154064633036</v>
      </c>
      <c r="BM171" s="1" t="n">
        <v>-0.07703071253622142</v>
      </c>
      <c r="BN171" s="1" t="n">
        <v>0.03038704814879142</v>
      </c>
      <c r="BO171" s="544" t="n">
        <v>0.1137941696104211</v>
      </c>
      <c r="BP171" s="23" t="n"/>
      <c r="BQ171" s="705" t="n"/>
      <c r="BR171" s="487" t="n"/>
      <c r="BS171" s="487" t="n"/>
      <c r="BT171" s="487" t="n"/>
    </row>
    <row r="172">
      <c r="A172" t="n">
        <v>18</v>
      </c>
      <c r="B172" s="701" t="n">
        <v>0</v>
      </c>
      <c r="C172" s="702" t="n">
        <v>0</v>
      </c>
      <c r="D172" s="702" t="n">
        <v>0</v>
      </c>
      <c r="E172" s="702" t="n">
        <v>0</v>
      </c>
      <c r="F172" s="702" t="n">
        <v>0</v>
      </c>
      <c r="G172" s="702" t="n">
        <v>0</v>
      </c>
      <c r="H172" s="702" t="n">
        <v>0</v>
      </c>
      <c r="I172" s="702" t="n">
        <v>0</v>
      </c>
      <c r="J172" s="702" t="n">
        <v>0</v>
      </c>
      <c r="K172" s="702" t="n">
        <v>0</v>
      </c>
      <c r="L172" s="702" t="n">
        <v>0</v>
      </c>
      <c r="M172" s="702" t="n">
        <v>0</v>
      </c>
      <c r="N172" s="702" t="n">
        <v>0</v>
      </c>
      <c r="O172" s="702" t="n">
        <v>0</v>
      </c>
      <c r="P172" s="702" t="n">
        <v>0</v>
      </c>
      <c r="Q172" s="702" t="n">
        <v>0</v>
      </c>
      <c r="R172" s="702" t="n">
        <v>0</v>
      </c>
      <c r="S172" s="702" t="n">
        <v>1</v>
      </c>
      <c r="T172" s="702" t="n">
        <v>0</v>
      </c>
      <c r="U172" s="702" t="n">
        <v>0</v>
      </c>
      <c r="V172" s="702" t="n">
        <v>0</v>
      </c>
      <c r="W172" s="702" t="n">
        <v>0</v>
      </c>
      <c r="X172" s="702" t="n">
        <v>0</v>
      </c>
      <c r="Y172" s="702" t="n">
        <v>0</v>
      </c>
      <c r="Z172" s="702" t="n">
        <v>0</v>
      </c>
      <c r="AA172" s="702" t="n">
        <v>0</v>
      </c>
      <c r="AB172" s="702" t="n">
        <v>0</v>
      </c>
      <c r="AC172" s="702" t="n">
        <v>0</v>
      </c>
      <c r="AD172" s="702" t="n">
        <v>0</v>
      </c>
      <c r="AE172" s="702" t="n">
        <v>0</v>
      </c>
      <c r="AF172" s="702" t="n">
        <v>0</v>
      </c>
      <c r="AG172" s="703" t="n">
        <v>0</v>
      </c>
      <c r="AH172" s="704" t="n"/>
      <c r="AI172" s="23" t="n">
        <v>18</v>
      </c>
      <c r="AJ172" s="543" t="n">
        <v>0.02782181125326672</v>
      </c>
      <c r="AK172" s="1" t="n">
        <v>0.0453506618282585</v>
      </c>
      <c r="AL172" s="1" t="n">
        <v>0.01237076956309818</v>
      </c>
      <c r="AM172" s="1" t="n">
        <v>0.02200033662296776</v>
      </c>
      <c r="AN172" s="1" t="n">
        <v>0.05426570177481112</v>
      </c>
      <c r="AO172" s="1" t="n">
        <v>0.008453467679187775</v>
      </c>
      <c r="AP172" s="1" t="n">
        <v>-0.002236830520097833</v>
      </c>
      <c r="AQ172" s="1" t="n">
        <v>0.02200029254837183</v>
      </c>
      <c r="AR172" s="1" t="n">
        <v>0.03051075086446348</v>
      </c>
      <c r="AS172" s="1" t="n">
        <v>-0.01082470887694623</v>
      </c>
      <c r="AT172" s="1" t="n">
        <v>-0.03763639649263956</v>
      </c>
      <c r="AU172" s="1" t="n">
        <v>0.02782183750643375</v>
      </c>
      <c r="AV172" s="1" t="n">
        <v>-0.02839407679219613</v>
      </c>
      <c r="AW172" s="1" t="n">
        <v>-0.09499301630632026</v>
      </c>
      <c r="AX172" s="1" t="n">
        <v>0.1737338358272418</v>
      </c>
      <c r="AY172" s="1" t="n">
        <v>0.1212732773161304</v>
      </c>
      <c r="AZ172" s="1" t="n">
        <v>0.174838787766542</v>
      </c>
      <c r="BA172" s="1" t="n">
        <v>0.2871531494398327</v>
      </c>
      <c r="BB172" s="1" t="n">
        <v>0.07028444038794993</v>
      </c>
      <c r="BC172" s="1" t="n">
        <v>-0.03900577746272665</v>
      </c>
      <c r="BD172" s="1" t="n">
        <v>0.07707635473533533</v>
      </c>
      <c r="BE172" s="1" t="n">
        <v>0.002747577682160718</v>
      </c>
      <c r="BF172" s="1" t="n">
        <v>-0.03538571695619294</v>
      </c>
      <c r="BG172" s="1" t="n">
        <v>-0.08265939564735438</v>
      </c>
      <c r="BH172" s="1" t="n">
        <v>-0.005962368012945952</v>
      </c>
      <c r="BI172" s="1" t="n">
        <v>0.04418354819899718</v>
      </c>
      <c r="BJ172" s="1" t="n">
        <v>-0.001918295736561934</v>
      </c>
      <c r="BK172" s="1" t="n">
        <v>-0.02536236551905533</v>
      </c>
      <c r="BL172" s="1" t="n">
        <v>0.1119280733352027</v>
      </c>
      <c r="BM172" s="1" t="n">
        <v>0.02298833829254911</v>
      </c>
      <c r="BN172" s="1" t="n">
        <v>-0.09943967232344979</v>
      </c>
      <c r="BO172" s="544" t="n">
        <v>0.2512404034222374</v>
      </c>
      <c r="BP172" s="23" t="n"/>
      <c r="BQ172" s="705" t="n"/>
      <c r="BR172" s="487" t="n"/>
      <c r="BS172" s="487" t="n"/>
      <c r="BT172" s="487" t="n"/>
    </row>
    <row r="173">
      <c r="A173" t="n">
        <v>19</v>
      </c>
      <c r="B173" s="701" t="n">
        <v>0</v>
      </c>
      <c r="C173" s="702" t="n">
        <v>0</v>
      </c>
      <c r="D173" s="702" t="n">
        <v>0</v>
      </c>
      <c r="E173" s="702" t="n">
        <v>0</v>
      </c>
      <c r="F173" s="702" t="n">
        <v>0</v>
      </c>
      <c r="G173" s="702" t="n">
        <v>0</v>
      </c>
      <c r="H173" s="702" t="n">
        <v>0</v>
      </c>
      <c r="I173" s="702" t="n">
        <v>0</v>
      </c>
      <c r="J173" s="702" t="n">
        <v>0</v>
      </c>
      <c r="K173" s="702" t="n">
        <v>0</v>
      </c>
      <c r="L173" s="702" t="n">
        <v>0</v>
      </c>
      <c r="M173" s="702" t="n">
        <v>0</v>
      </c>
      <c r="N173" s="702" t="n">
        <v>0</v>
      </c>
      <c r="O173" s="702" t="n">
        <v>0</v>
      </c>
      <c r="P173" s="702" t="n">
        <v>0</v>
      </c>
      <c r="Q173" s="702" t="n">
        <v>0</v>
      </c>
      <c r="R173" s="702" t="n">
        <v>0</v>
      </c>
      <c r="S173" s="702" t="n">
        <v>0</v>
      </c>
      <c r="T173" s="702" t="n">
        <v>1</v>
      </c>
      <c r="U173" s="702" t="n">
        <v>0</v>
      </c>
      <c r="V173" s="702" t="n">
        <v>0</v>
      </c>
      <c r="W173" s="702" t="n">
        <v>0</v>
      </c>
      <c r="X173" s="702" t="n">
        <v>0</v>
      </c>
      <c r="Y173" s="702" t="n">
        <v>0</v>
      </c>
      <c r="Z173" s="702" t="n">
        <v>0</v>
      </c>
      <c r="AA173" s="702" t="n">
        <v>0</v>
      </c>
      <c r="AB173" s="702" t="n">
        <v>0</v>
      </c>
      <c r="AC173" s="702" t="n">
        <v>0</v>
      </c>
      <c r="AD173" s="702" t="n">
        <v>0</v>
      </c>
      <c r="AE173" s="702" t="n">
        <v>0</v>
      </c>
      <c r="AF173" s="702" t="n">
        <v>0</v>
      </c>
      <c r="AG173" s="703" t="n">
        <v>0</v>
      </c>
      <c r="AH173" s="704" t="n"/>
      <c r="AI173" s="23" t="n">
        <v>19</v>
      </c>
      <c r="AJ173" s="543" t="n">
        <v>0.04564590343344235</v>
      </c>
      <c r="AK173" s="1" t="n">
        <v>0.05917312953627969</v>
      </c>
      <c r="AL173" s="1" t="n">
        <v>0.1758077461635874</v>
      </c>
      <c r="AM173" s="1" t="n">
        <v>0.01220493019344815</v>
      </c>
      <c r="AN173" s="1" t="n">
        <v>0.1303474173559651</v>
      </c>
      <c r="AO173" s="1" t="n">
        <v>-0.008949590647520073</v>
      </c>
      <c r="AP173" s="1" t="n">
        <v>-0.02375312073380008</v>
      </c>
      <c r="AQ173" s="1" t="n">
        <v>0.01220490574257833</v>
      </c>
      <c r="AR173" s="1" t="n">
        <v>0.1612015325117617</v>
      </c>
      <c r="AS173" s="1" t="n">
        <v>-0.002530279397702324</v>
      </c>
      <c r="AT173" s="1" t="n">
        <v>-0.06004464102056162</v>
      </c>
      <c r="AU173" s="1" t="n">
        <v>0.04564594650574687</v>
      </c>
      <c r="AV173" s="1" t="n">
        <v>-0.0004032975762045046</v>
      </c>
      <c r="AW173" s="1" t="n">
        <v>-0.03579506128178225</v>
      </c>
      <c r="AX173" s="1" t="n">
        <v>0.0539361148604124</v>
      </c>
      <c r="AY173" s="1" t="n">
        <v>0.05885822557545142</v>
      </c>
      <c r="AZ173" s="1" t="n">
        <v>0.06391366553025074</v>
      </c>
      <c r="BA173" s="1" t="n">
        <v>0.07028444038794993</v>
      </c>
      <c r="BB173" s="1" t="n">
        <v>0.302442356913897</v>
      </c>
      <c r="BC173" s="1" t="n">
        <v>0.2244159399163691</v>
      </c>
      <c r="BD173" s="1" t="n">
        <v>0.07978449557363075</v>
      </c>
      <c r="BE173" s="1" t="n">
        <v>0.0600476310533337</v>
      </c>
      <c r="BF173" s="1" t="n">
        <v>-0.04042429329945477</v>
      </c>
      <c r="BG173" s="1" t="n">
        <v>-0.08034070555508663</v>
      </c>
      <c r="BH173" s="1" t="n">
        <v>-0.06746954468359619</v>
      </c>
      <c r="BI173" s="1" t="n">
        <v>0.04840241691117317</v>
      </c>
      <c r="BJ173" s="1" t="n">
        <v>-0.008990078758796399</v>
      </c>
      <c r="BK173" s="1" t="n">
        <v>-0.1242174493960981</v>
      </c>
      <c r="BL173" s="1" t="n">
        <v>-0.06884697809149948</v>
      </c>
      <c r="BM173" s="1" t="n">
        <v>0.02693051580850864</v>
      </c>
      <c r="BN173" s="1" t="n">
        <v>0.01607943593204877</v>
      </c>
      <c r="BO173" s="544" t="n">
        <v>-0.1078517158796181</v>
      </c>
      <c r="BP173" s="23" t="n"/>
      <c r="BQ173" s="705" t="n"/>
      <c r="BR173" s="487" t="n"/>
      <c r="BS173" s="487" t="n"/>
      <c r="BT173" s="487" t="n"/>
    </row>
    <row r="174">
      <c r="A174" t="n">
        <v>20</v>
      </c>
      <c r="B174" s="701" t="n">
        <v>0</v>
      </c>
      <c r="C174" s="702" t="n">
        <v>0</v>
      </c>
      <c r="D174" s="702" t="n">
        <v>0</v>
      </c>
      <c r="E174" s="702" t="n">
        <v>0</v>
      </c>
      <c r="F174" s="702" t="n">
        <v>0</v>
      </c>
      <c r="G174" s="702" t="n">
        <v>0</v>
      </c>
      <c r="H174" s="702" t="n">
        <v>0</v>
      </c>
      <c r="I174" s="702" t="n">
        <v>0</v>
      </c>
      <c r="J174" s="702" t="n">
        <v>0</v>
      </c>
      <c r="K174" s="702" t="n">
        <v>0</v>
      </c>
      <c r="L174" s="702" t="n">
        <v>0</v>
      </c>
      <c r="M174" s="702" t="n">
        <v>0</v>
      </c>
      <c r="N174" s="702" t="n">
        <v>0</v>
      </c>
      <c r="O174" s="702" t="n">
        <v>0</v>
      </c>
      <c r="P174" s="702" t="n">
        <v>0</v>
      </c>
      <c r="Q174" s="702" t="n">
        <v>0</v>
      </c>
      <c r="R174" s="702" t="n">
        <v>0</v>
      </c>
      <c r="S174" s="702" t="n">
        <v>0</v>
      </c>
      <c r="T174" s="702" t="n">
        <v>0</v>
      </c>
      <c r="U174" s="702" t="n">
        <v>1</v>
      </c>
      <c r="V174" s="702" t="n">
        <v>0</v>
      </c>
      <c r="W174" s="702" t="n">
        <v>0</v>
      </c>
      <c r="X174" s="702" t="n">
        <v>0</v>
      </c>
      <c r="Y174" s="702" t="n">
        <v>0</v>
      </c>
      <c r="Z174" s="702" t="n">
        <v>0</v>
      </c>
      <c r="AA174" s="702" t="n">
        <v>0</v>
      </c>
      <c r="AB174" s="702" t="n">
        <v>0</v>
      </c>
      <c r="AC174" s="702" t="n">
        <v>0</v>
      </c>
      <c r="AD174" s="702" t="n">
        <v>0</v>
      </c>
      <c r="AE174" s="702" t="n">
        <v>0</v>
      </c>
      <c r="AF174" s="702" t="n">
        <v>0</v>
      </c>
      <c r="AG174" s="703" t="n">
        <v>0</v>
      </c>
      <c r="AH174" s="704" t="n"/>
      <c r="AI174" s="23" t="n">
        <v>20</v>
      </c>
      <c r="AJ174" s="543" t="n">
        <v>-0.003560198334286391</v>
      </c>
      <c r="AK174" s="1" t="n">
        <v>0.04185154404291304</v>
      </c>
      <c r="AL174" s="1" t="n">
        <v>0.1696859131928914</v>
      </c>
      <c r="AM174" s="1" t="n">
        <v>-0.03422086272355986</v>
      </c>
      <c r="AN174" s="1" t="n">
        <v>0.00444840796570109</v>
      </c>
      <c r="AO174" s="1" t="n">
        <v>-0.0213072858791067</v>
      </c>
      <c r="AP174" s="1" t="n">
        <v>-0.04450607831694904</v>
      </c>
      <c r="AQ174" s="1" t="n">
        <v>-0.03422079416684988</v>
      </c>
      <c r="AR174" s="1" t="n">
        <v>0.08273239658714866</v>
      </c>
      <c r="AS174" s="1" t="n">
        <v>0.00202351485148217</v>
      </c>
      <c r="AT174" s="1" t="n">
        <v>0.01392196184807668</v>
      </c>
      <c r="AU174" s="1" t="n">
        <v>-0.003560201693754317</v>
      </c>
      <c r="AV174" s="1" t="n">
        <v>-0.02642131153181677</v>
      </c>
      <c r="AW174" s="1" t="n">
        <v>0.03239119616868814</v>
      </c>
      <c r="AX174" s="1" t="n">
        <v>-0.02066744994302161</v>
      </c>
      <c r="AY174" s="1" t="n">
        <v>-0.04390850887548936</v>
      </c>
      <c r="AZ174" s="1" t="n">
        <v>0.02859452078033482</v>
      </c>
      <c r="BA174" s="1" t="n">
        <v>-0.03900577746272672</v>
      </c>
      <c r="BB174" s="1" t="n">
        <v>0.224415939916369</v>
      </c>
      <c r="BC174" s="1" t="n">
        <v>0.4464619787786158</v>
      </c>
      <c r="BD174" s="1" t="n">
        <v>-0.03037567997088189</v>
      </c>
      <c r="BE174" s="1" t="n">
        <v>-0.03128573950947952</v>
      </c>
      <c r="BF174" s="1" t="n">
        <v>-0.007014669068348361</v>
      </c>
      <c r="BG174" s="1" t="n">
        <v>0.1121338410077918</v>
      </c>
      <c r="BH174" s="1" t="n">
        <v>-0.03005010928007706</v>
      </c>
      <c r="BI174" s="1" t="n">
        <v>-0.01340764317900489</v>
      </c>
      <c r="BJ174" s="1" t="n">
        <v>0.1162500247010715</v>
      </c>
      <c r="BK174" s="1" t="n">
        <v>-0.2303956436212685</v>
      </c>
      <c r="BL174" s="1" t="n">
        <v>-0.1233017854295552</v>
      </c>
      <c r="BM174" s="1" t="n">
        <v>-0.2120568970980384</v>
      </c>
      <c r="BN174" s="1" t="n">
        <v>0.06844466888352838</v>
      </c>
      <c r="BO174" s="544" t="n">
        <v>0.02933254648612103</v>
      </c>
      <c r="BP174" s="23" t="n"/>
      <c r="BQ174" s="705" t="n"/>
      <c r="BR174" s="487" t="n"/>
      <c r="BS174" s="487" t="n"/>
      <c r="BT174" s="487" t="n"/>
    </row>
    <row r="175">
      <c r="A175" t="n">
        <v>21</v>
      </c>
      <c r="B175" s="701" t="n">
        <v>0</v>
      </c>
      <c r="C175" s="702" t="n">
        <v>0</v>
      </c>
      <c r="D175" s="702" t="n">
        <v>0</v>
      </c>
      <c r="E175" s="702" t="n">
        <v>0</v>
      </c>
      <c r="F175" s="702" t="n">
        <v>0</v>
      </c>
      <c r="G175" s="702" t="n">
        <v>0</v>
      </c>
      <c r="H175" s="702" t="n">
        <v>0</v>
      </c>
      <c r="I175" s="702" t="n">
        <v>0</v>
      </c>
      <c r="J175" s="702" t="n">
        <v>0</v>
      </c>
      <c r="K175" s="702" t="n">
        <v>0</v>
      </c>
      <c r="L175" s="702" t="n">
        <v>0</v>
      </c>
      <c r="M175" s="702" t="n">
        <v>0</v>
      </c>
      <c r="N175" s="702" t="n">
        <v>0</v>
      </c>
      <c r="O175" s="702" t="n">
        <v>0</v>
      </c>
      <c r="P175" s="702" t="n">
        <v>0</v>
      </c>
      <c r="Q175" s="702" t="n">
        <v>0</v>
      </c>
      <c r="R175" s="702" t="n">
        <v>0</v>
      </c>
      <c r="S175" s="702" t="n">
        <v>0</v>
      </c>
      <c r="T175" s="702" t="n">
        <v>0</v>
      </c>
      <c r="U175" s="702" t="n">
        <v>0</v>
      </c>
      <c r="V175" s="702" t="n">
        <v>1</v>
      </c>
      <c r="W175" s="702" t="n">
        <v>0</v>
      </c>
      <c r="X175" s="702" t="n">
        <v>0</v>
      </c>
      <c r="Y175" s="702" t="n">
        <v>0</v>
      </c>
      <c r="Z175" s="702" t="n">
        <v>0</v>
      </c>
      <c r="AA175" s="702" t="n">
        <v>0</v>
      </c>
      <c r="AB175" s="702" t="n">
        <v>0</v>
      </c>
      <c r="AC175" s="702" t="n">
        <v>0</v>
      </c>
      <c r="AD175" s="702" t="n">
        <v>0</v>
      </c>
      <c r="AE175" s="702" t="n">
        <v>0</v>
      </c>
      <c r="AF175" s="702" t="n">
        <v>0</v>
      </c>
      <c r="AG175" s="703" t="n">
        <v>0</v>
      </c>
      <c r="AH175" s="704" t="n"/>
      <c r="AI175" s="23" t="n">
        <v>21</v>
      </c>
      <c r="AJ175" s="543" t="n">
        <v>-0.05096714958524073</v>
      </c>
      <c r="AK175" s="1" t="n">
        <v>-0.009584222510082445</v>
      </c>
      <c r="AL175" s="1" t="n">
        <v>-0.01560777072367273</v>
      </c>
      <c r="AM175" s="1" t="n">
        <v>-0.01874835833435556</v>
      </c>
      <c r="AN175" s="1" t="n">
        <v>0.09180776140412089</v>
      </c>
      <c r="AO175" s="1" t="n">
        <v>-0.09408548944118124</v>
      </c>
      <c r="AP175" s="1" t="n">
        <v>-0.003767301379240331</v>
      </c>
      <c r="AQ175" s="1" t="n">
        <v>-0.0187483207746431</v>
      </c>
      <c r="AR175" s="1" t="n">
        <v>-0.0276043252923653</v>
      </c>
      <c r="AS175" s="1" t="n">
        <v>0.2860384841038134</v>
      </c>
      <c r="AT175" s="1" t="n">
        <v>-0.05143716502752295</v>
      </c>
      <c r="AU175" s="1" t="n">
        <v>-0.05096719767876989</v>
      </c>
      <c r="AV175" s="1" t="n">
        <v>0.09113728435970833</v>
      </c>
      <c r="AW175" s="1" t="n">
        <v>-0.1156614215500509</v>
      </c>
      <c r="AX175" s="1" t="n">
        <v>-0.0675282274120276</v>
      </c>
      <c r="AY175" s="1" t="n">
        <v>-0.03501507130638268</v>
      </c>
      <c r="AZ175" s="1" t="n">
        <v>-0.02703196302635879</v>
      </c>
      <c r="BA175" s="1" t="n">
        <v>0.07707635473533526</v>
      </c>
      <c r="BB175" s="1" t="n">
        <v>0.07978449557363076</v>
      </c>
      <c r="BC175" s="1" t="n">
        <v>-0.0303756799708819</v>
      </c>
      <c r="BD175" s="1" t="n">
        <v>0.6298866667389311</v>
      </c>
      <c r="BE175" s="1" t="n">
        <v>-0.1548308000819413</v>
      </c>
      <c r="BF175" s="1" t="n">
        <v>-0.133929693513181</v>
      </c>
      <c r="BG175" s="1" t="n">
        <v>-0.130556569700859</v>
      </c>
      <c r="BH175" s="1" t="n">
        <v>-0.09914022786515338</v>
      </c>
      <c r="BI175" s="1" t="n">
        <v>-0.1114293755777964</v>
      </c>
      <c r="BJ175" s="1" t="n">
        <v>-0.008801318492881649</v>
      </c>
      <c r="BK175" s="1" t="n">
        <v>-0.01331820021987737</v>
      </c>
      <c r="BL175" s="1" t="n">
        <v>0.0300047101252217</v>
      </c>
      <c r="BM175" s="1" t="n">
        <v>0.01320578684425952</v>
      </c>
      <c r="BN175" s="1" t="n">
        <v>0.01984113421164774</v>
      </c>
      <c r="BO175" s="544" t="n">
        <v>0.004722223728076375</v>
      </c>
      <c r="BP175" s="23" t="n"/>
      <c r="BQ175" s="705" t="n"/>
      <c r="BR175" s="487" t="n"/>
      <c r="BS175" s="487" t="n"/>
      <c r="BT175" s="487" t="n"/>
    </row>
    <row r="176">
      <c r="A176" t="n">
        <v>22</v>
      </c>
      <c r="B176" s="701" t="n">
        <v>0</v>
      </c>
      <c r="C176" s="702" t="n">
        <v>0</v>
      </c>
      <c r="D176" s="702" t="n">
        <v>0</v>
      </c>
      <c r="E176" s="702" t="n">
        <v>0</v>
      </c>
      <c r="F176" s="702" t="n">
        <v>0</v>
      </c>
      <c r="G176" s="702" t="n">
        <v>0</v>
      </c>
      <c r="H176" s="702" t="n">
        <v>0</v>
      </c>
      <c r="I176" s="702" t="n">
        <v>0</v>
      </c>
      <c r="J176" s="702" t="n">
        <v>0</v>
      </c>
      <c r="K176" s="702" t="n">
        <v>0</v>
      </c>
      <c r="L176" s="702" t="n">
        <v>0</v>
      </c>
      <c r="M176" s="702" t="n">
        <v>0</v>
      </c>
      <c r="N176" s="702" t="n">
        <v>0</v>
      </c>
      <c r="O176" s="702" t="n">
        <v>0</v>
      </c>
      <c r="P176" s="702" t="n">
        <v>0</v>
      </c>
      <c r="Q176" s="702" t="n">
        <v>0</v>
      </c>
      <c r="R176" s="702" t="n">
        <v>0</v>
      </c>
      <c r="S176" s="702" t="n">
        <v>0</v>
      </c>
      <c r="T176" s="702" t="n">
        <v>0</v>
      </c>
      <c r="U176" s="702" t="n">
        <v>0</v>
      </c>
      <c r="V176" s="702" t="n">
        <v>0</v>
      </c>
      <c r="W176" s="702" t="n">
        <v>1</v>
      </c>
      <c r="X176" s="702" t="n">
        <v>0</v>
      </c>
      <c r="Y176" s="702" t="n">
        <v>0</v>
      </c>
      <c r="Z176" s="702" t="n">
        <v>0</v>
      </c>
      <c r="AA176" s="702" t="n">
        <v>0</v>
      </c>
      <c r="AB176" s="702" t="n">
        <v>0</v>
      </c>
      <c r="AC176" s="702" t="n">
        <v>0</v>
      </c>
      <c r="AD176" s="702" t="n">
        <v>0</v>
      </c>
      <c r="AE176" s="702" t="n">
        <v>0</v>
      </c>
      <c r="AF176" s="702" t="n">
        <v>0</v>
      </c>
      <c r="AG176" s="703" t="n">
        <v>0</v>
      </c>
      <c r="AH176" s="704" t="n"/>
      <c r="AI176" s="23" t="n">
        <v>22</v>
      </c>
      <c r="AJ176" s="543" t="n">
        <v>-0.01213801987599794</v>
      </c>
      <c r="AK176" s="1" t="n">
        <v>-0.01604003709737198</v>
      </c>
      <c r="AL176" s="1" t="n">
        <v>-0.01398424104635088</v>
      </c>
      <c r="AM176" s="1" t="n">
        <v>-0.02524746127899627</v>
      </c>
      <c r="AN176" s="1" t="n">
        <v>0.07844945446198598</v>
      </c>
      <c r="AO176" s="1" t="n">
        <v>-0.0322695482677637</v>
      </c>
      <c r="AP176" s="1" t="n">
        <v>0.07689860150519917</v>
      </c>
      <c r="AQ176" s="1" t="n">
        <v>-0.02524741069924043</v>
      </c>
      <c r="AR176" s="1" t="n">
        <v>-0.04518358820132178</v>
      </c>
      <c r="AS176" s="1" t="n">
        <v>-0.06431001943977394</v>
      </c>
      <c r="AT176" s="1" t="n">
        <v>0.07059451571424269</v>
      </c>
      <c r="AU176" s="1" t="n">
        <v>-0.01213803132965428</v>
      </c>
      <c r="AV176" s="1" t="n">
        <v>-0.08762828794873653</v>
      </c>
      <c r="AW176" s="1" t="n">
        <v>-0.05511647202608984</v>
      </c>
      <c r="AX176" s="1" t="n">
        <v>0.2038316737004919</v>
      </c>
      <c r="AY176" s="1" t="n">
        <v>-0.07769988718173045</v>
      </c>
      <c r="AZ176" s="1" t="n">
        <v>-0.07702658986002535</v>
      </c>
      <c r="BA176" s="1" t="n">
        <v>0.002747577682160759</v>
      </c>
      <c r="BB176" s="1" t="n">
        <v>0.06004763105333374</v>
      </c>
      <c r="BC176" s="1" t="n">
        <v>-0.03128573950947944</v>
      </c>
      <c r="BD176" s="1" t="n">
        <v>-0.154830800081941</v>
      </c>
      <c r="BE176" s="1" t="n">
        <v>0.7103032235755172</v>
      </c>
      <c r="BF176" s="1" t="n">
        <v>-0.1401282589207331</v>
      </c>
      <c r="BG176" s="1" t="n">
        <v>-0.103867244580791</v>
      </c>
      <c r="BH176" s="1" t="n">
        <v>-0.1495565618439652</v>
      </c>
      <c r="BI176" s="1" t="n">
        <v>-0.161920358148087</v>
      </c>
      <c r="BJ176" s="1" t="n">
        <v>0.04277484341563578</v>
      </c>
      <c r="BK176" s="1" t="n">
        <v>0.007069352763494349</v>
      </c>
      <c r="BL176" s="1" t="n">
        <v>-0.001548537864884791</v>
      </c>
      <c r="BM176" s="1" t="n">
        <v>0.02338047658937377</v>
      </c>
      <c r="BN176" s="1" t="n">
        <v>0.04295081034172513</v>
      </c>
      <c r="BO176" s="544" t="n">
        <v>-0.05829359216140489</v>
      </c>
      <c r="BP176" s="23" t="n"/>
      <c r="BQ176" s="705" t="n"/>
      <c r="BR176" s="487" t="n"/>
      <c r="BS176" s="487" t="n"/>
      <c r="BT176" s="487" t="n"/>
    </row>
    <row r="177">
      <c r="A177" t="n">
        <v>23</v>
      </c>
      <c r="B177" s="701" t="n">
        <v>0</v>
      </c>
      <c r="C177" s="702" t="n">
        <v>0</v>
      </c>
      <c r="D177" s="702" t="n">
        <v>0</v>
      </c>
      <c r="E177" s="702" t="n">
        <v>0</v>
      </c>
      <c r="F177" s="702" t="n">
        <v>0</v>
      </c>
      <c r="G177" s="702" t="n">
        <v>0</v>
      </c>
      <c r="H177" s="702" t="n">
        <v>0</v>
      </c>
      <c r="I177" s="702" t="n">
        <v>0</v>
      </c>
      <c r="J177" s="702" t="n">
        <v>0</v>
      </c>
      <c r="K177" s="702" t="n">
        <v>0</v>
      </c>
      <c r="L177" s="702" t="n">
        <v>0</v>
      </c>
      <c r="M177" s="702" t="n">
        <v>0</v>
      </c>
      <c r="N177" s="702" t="n">
        <v>0</v>
      </c>
      <c r="O177" s="702" t="n">
        <v>0</v>
      </c>
      <c r="P177" s="702" t="n">
        <v>0</v>
      </c>
      <c r="Q177" s="702" t="n">
        <v>0</v>
      </c>
      <c r="R177" s="702" t="n">
        <v>0</v>
      </c>
      <c r="S177" s="702" t="n">
        <v>0</v>
      </c>
      <c r="T177" s="702" t="n">
        <v>0</v>
      </c>
      <c r="U177" s="702" t="n">
        <v>0</v>
      </c>
      <c r="V177" s="702" t="n">
        <v>0</v>
      </c>
      <c r="W177" s="702" t="n">
        <v>0</v>
      </c>
      <c r="X177" s="702" t="n">
        <v>1</v>
      </c>
      <c r="Y177" s="702" t="n">
        <v>0</v>
      </c>
      <c r="Z177" s="702" t="n">
        <v>0</v>
      </c>
      <c r="AA177" s="702" t="n">
        <v>0</v>
      </c>
      <c r="AB177" s="702" t="n">
        <v>0</v>
      </c>
      <c r="AC177" s="702" t="n">
        <v>0</v>
      </c>
      <c r="AD177" s="702" t="n">
        <v>0</v>
      </c>
      <c r="AE177" s="702" t="n">
        <v>0</v>
      </c>
      <c r="AF177" s="702" t="n">
        <v>0</v>
      </c>
      <c r="AG177" s="703" t="n">
        <v>0</v>
      </c>
      <c r="AH177" s="704" t="n"/>
      <c r="AI177" s="23" t="n">
        <v>23</v>
      </c>
      <c r="AJ177" s="543" t="n">
        <v>-0.03062651358332651</v>
      </c>
      <c r="AK177" s="1" t="n">
        <v>-0.09230566523806141</v>
      </c>
      <c r="AL177" s="1" t="n">
        <v>-0.03161948580277268</v>
      </c>
      <c r="AM177" s="1" t="n">
        <v>-0.03221082715962685</v>
      </c>
      <c r="AN177" s="1" t="n">
        <v>-0.02862811631971887</v>
      </c>
      <c r="AO177" s="1" t="n">
        <v>-0.02437828252316306</v>
      </c>
      <c r="AP177" s="1" t="n">
        <v>0.02091187150566177</v>
      </c>
      <c r="AQ177" s="1" t="n">
        <v>-0.03221076262974185</v>
      </c>
      <c r="AR177" s="1" t="n">
        <v>-0.07129452284402882</v>
      </c>
      <c r="AS177" s="1" t="n">
        <v>-0.01838902035279083</v>
      </c>
      <c r="AT177" s="1" t="n">
        <v>0.06639698162977048</v>
      </c>
      <c r="AU177" s="1" t="n">
        <v>-0.0306265424830617</v>
      </c>
      <c r="AV177" s="1" t="n">
        <v>-0.02731756299982899</v>
      </c>
      <c r="AW177" s="1" t="n">
        <v>0.05322007639087652</v>
      </c>
      <c r="AX177" s="1" t="n">
        <v>-0.04007315193529282</v>
      </c>
      <c r="AY177" s="1" t="n">
        <v>0.3234943389455388</v>
      </c>
      <c r="AZ177" s="1" t="n">
        <v>0.1735173684681963</v>
      </c>
      <c r="BA177" s="1" t="n">
        <v>-0.03538571695619289</v>
      </c>
      <c r="BB177" s="1" t="n">
        <v>-0.04042429329945475</v>
      </c>
      <c r="BC177" s="1" t="n">
        <v>-0.007014669068348477</v>
      </c>
      <c r="BD177" s="1" t="n">
        <v>-0.133929693513181</v>
      </c>
      <c r="BE177" s="1" t="n">
        <v>-0.1401282589207329</v>
      </c>
      <c r="BF177" s="1" t="n">
        <v>0.466076714899959</v>
      </c>
      <c r="BG177" s="1" t="n">
        <v>-0.04444513803965398</v>
      </c>
      <c r="BH177" s="1" t="n">
        <v>-0.04198879652398076</v>
      </c>
      <c r="BI177" s="1" t="n">
        <v>-0.1055848279024103</v>
      </c>
      <c r="BJ177" s="1" t="n">
        <v>0.06260026987996427</v>
      </c>
      <c r="BK177" s="1" t="n">
        <v>-0.02301663226271674</v>
      </c>
      <c r="BL177" s="1" t="n">
        <v>-0.09403145043873043</v>
      </c>
      <c r="BM177" s="1" t="n">
        <v>0.03606501961550034</v>
      </c>
      <c r="BN177" s="1" t="n">
        <v>0.07760648228824066</v>
      </c>
      <c r="BO177" s="544" t="n">
        <v>-0.08801600040436153</v>
      </c>
      <c r="BP177" s="23" t="n"/>
      <c r="BQ177" s="705" t="n"/>
      <c r="BR177" s="487" t="n"/>
      <c r="BS177" s="487" t="n"/>
      <c r="BT177" s="487" t="n"/>
    </row>
    <row r="178">
      <c r="A178" t="n">
        <v>24</v>
      </c>
      <c r="B178" s="701" t="n">
        <v>0</v>
      </c>
      <c r="C178" s="702" t="n">
        <v>0</v>
      </c>
      <c r="D178" s="702" t="n">
        <v>0</v>
      </c>
      <c r="E178" s="702" t="n">
        <v>0</v>
      </c>
      <c r="F178" s="702" t="n">
        <v>0</v>
      </c>
      <c r="G178" s="702" t="n">
        <v>0</v>
      </c>
      <c r="H178" s="702" t="n">
        <v>0</v>
      </c>
      <c r="I178" s="702" t="n">
        <v>0</v>
      </c>
      <c r="J178" s="702" t="n">
        <v>0</v>
      </c>
      <c r="K178" s="702" t="n">
        <v>0</v>
      </c>
      <c r="L178" s="702" t="n">
        <v>0</v>
      </c>
      <c r="M178" s="702" t="n">
        <v>0</v>
      </c>
      <c r="N178" s="702" t="n">
        <v>0</v>
      </c>
      <c r="O178" s="702" t="n">
        <v>0</v>
      </c>
      <c r="P178" s="702" t="n">
        <v>0</v>
      </c>
      <c r="Q178" s="702" t="n">
        <v>0</v>
      </c>
      <c r="R178" s="702" t="n">
        <v>0</v>
      </c>
      <c r="S178" s="702" t="n">
        <v>0</v>
      </c>
      <c r="T178" s="702" t="n">
        <v>0</v>
      </c>
      <c r="U178" s="702" t="n">
        <v>0</v>
      </c>
      <c r="V178" s="702" t="n">
        <v>0</v>
      </c>
      <c r="W178" s="702" t="n">
        <v>0</v>
      </c>
      <c r="X178" s="702" t="n">
        <v>0</v>
      </c>
      <c r="Y178" s="702" t="n">
        <v>1</v>
      </c>
      <c r="Z178" s="702" t="n">
        <v>0</v>
      </c>
      <c r="AA178" s="702" t="n">
        <v>0</v>
      </c>
      <c r="AB178" s="702" t="n">
        <v>0</v>
      </c>
      <c r="AC178" s="702" t="n">
        <v>0</v>
      </c>
      <c r="AD178" s="702" t="n">
        <v>0</v>
      </c>
      <c r="AE178" s="702" t="n">
        <v>0</v>
      </c>
      <c r="AF178" s="702" t="n">
        <v>0</v>
      </c>
      <c r="AG178" s="703" t="n">
        <v>0</v>
      </c>
      <c r="AH178" s="704" t="n"/>
      <c r="AI178" s="23" t="n">
        <v>24</v>
      </c>
      <c r="AJ178" s="543" t="n">
        <v>-0.0680414334213368</v>
      </c>
      <c r="AK178" s="1" t="n">
        <v>0.2039260216335971</v>
      </c>
      <c r="AL178" s="1" t="n">
        <v>0.1111065924245315</v>
      </c>
      <c r="AM178" s="1" t="n">
        <v>-0.05497302537539922</v>
      </c>
      <c r="AN178" s="1" t="n">
        <v>-0.105479312477367</v>
      </c>
      <c r="AO178" s="1" t="n">
        <v>0.01952587491586949</v>
      </c>
      <c r="AP178" s="1" t="n">
        <v>0.07534367017282143</v>
      </c>
      <c r="AQ178" s="1" t="n">
        <v>-0.05497291524463524</v>
      </c>
      <c r="AR178" s="1" t="n">
        <v>0.06509343308607415</v>
      </c>
      <c r="AS178" s="1" t="n">
        <v>-0.004984258019839593</v>
      </c>
      <c r="AT178" s="1" t="n">
        <v>0.09177640524216187</v>
      </c>
      <c r="AU178" s="1" t="n">
        <v>-0.06804149762647066</v>
      </c>
      <c r="AV178" s="1" t="n">
        <v>0.0133106550503418</v>
      </c>
      <c r="AW178" s="1" t="n">
        <v>0.04289283619760276</v>
      </c>
      <c r="AX178" s="1" t="n">
        <v>-0.07408893127021715</v>
      </c>
      <c r="AY178" s="1" t="n">
        <v>-0.1178159900777393</v>
      </c>
      <c r="AZ178" s="1" t="n">
        <v>0.07370067709204417</v>
      </c>
      <c r="BA178" s="1" t="n">
        <v>-0.08265939564735438</v>
      </c>
      <c r="BB178" s="1" t="n">
        <v>-0.08034070555508677</v>
      </c>
      <c r="BC178" s="1" t="n">
        <v>0.1121338410077917</v>
      </c>
      <c r="BD178" s="1" t="n">
        <v>-0.130556569700859</v>
      </c>
      <c r="BE178" s="1" t="n">
        <v>-0.103867244580791</v>
      </c>
      <c r="BF178" s="1" t="n">
        <v>-0.0444451380396539</v>
      </c>
      <c r="BG178" s="1" t="n">
        <v>0.4236658040755411</v>
      </c>
      <c r="BH178" s="1" t="n">
        <v>-0.05228608845012431</v>
      </c>
      <c r="BI178" s="1" t="n">
        <v>-0.09251076330411295</v>
      </c>
      <c r="BJ178" s="1" t="n">
        <v>-0.08048569688481551</v>
      </c>
      <c r="BK178" s="1" t="n">
        <v>0.1530924186927765</v>
      </c>
      <c r="BL178" s="1" t="n">
        <v>0.01058005767059496</v>
      </c>
      <c r="BM178" s="1" t="n">
        <v>-0.1084928726511722</v>
      </c>
      <c r="BN178" s="1" t="n">
        <v>-0.06095338237805351</v>
      </c>
      <c r="BO178" s="544" t="n">
        <v>0.07600484343724566</v>
      </c>
      <c r="BP178" s="23" t="n"/>
      <c r="BQ178" s="705" t="n"/>
      <c r="BR178" s="487" t="n"/>
      <c r="BS178" s="487" t="n"/>
      <c r="BT178" s="487" t="n"/>
    </row>
    <row r="179">
      <c r="A179" t="n">
        <v>25</v>
      </c>
      <c r="B179" s="701" t="n">
        <v>0</v>
      </c>
      <c r="C179" s="702" t="n">
        <v>0</v>
      </c>
      <c r="D179" s="702" t="n">
        <v>0</v>
      </c>
      <c r="E179" s="702" t="n">
        <v>0</v>
      </c>
      <c r="F179" s="702" t="n">
        <v>0</v>
      </c>
      <c r="G179" s="702" t="n">
        <v>0</v>
      </c>
      <c r="H179" s="702" t="n">
        <v>0</v>
      </c>
      <c r="I179" s="702" t="n">
        <v>0</v>
      </c>
      <c r="J179" s="702" t="n">
        <v>0</v>
      </c>
      <c r="K179" s="702" t="n">
        <v>0</v>
      </c>
      <c r="L179" s="702" t="n">
        <v>0</v>
      </c>
      <c r="M179" s="702" t="n">
        <v>0</v>
      </c>
      <c r="N179" s="702" t="n">
        <v>0</v>
      </c>
      <c r="O179" s="702" t="n">
        <v>0</v>
      </c>
      <c r="P179" s="702" t="n">
        <v>0</v>
      </c>
      <c r="Q179" s="702" t="n">
        <v>0</v>
      </c>
      <c r="R179" s="702" t="n">
        <v>0</v>
      </c>
      <c r="S179" s="702" t="n">
        <v>0</v>
      </c>
      <c r="T179" s="702" t="n">
        <v>0</v>
      </c>
      <c r="U179" s="702" t="n">
        <v>0</v>
      </c>
      <c r="V179" s="702" t="n">
        <v>0</v>
      </c>
      <c r="W179" s="702" t="n">
        <v>0</v>
      </c>
      <c r="X179" s="702" t="n">
        <v>0</v>
      </c>
      <c r="Y179" s="702" t="n">
        <v>0</v>
      </c>
      <c r="Z179" s="702" t="n">
        <v>1</v>
      </c>
      <c r="AA179" s="702" t="n">
        <v>0</v>
      </c>
      <c r="AB179" s="702" t="n">
        <v>0</v>
      </c>
      <c r="AC179" s="702" t="n">
        <v>0</v>
      </c>
      <c r="AD179" s="702" t="n">
        <v>0</v>
      </c>
      <c r="AE179" s="702" t="n">
        <v>0</v>
      </c>
      <c r="AF179" s="702" t="n">
        <v>0</v>
      </c>
      <c r="AG179" s="703" t="n">
        <v>0</v>
      </c>
      <c r="AH179" s="704" t="n"/>
      <c r="AI179" s="23" t="n">
        <v>25</v>
      </c>
      <c r="AJ179" s="543" t="n">
        <v>0.06589838443981649</v>
      </c>
      <c r="AK179" s="1" t="n">
        <v>-0.06705057816630232</v>
      </c>
      <c r="AL179" s="1" t="n">
        <v>-0.04706658293239324</v>
      </c>
      <c r="AM179" s="1" t="n">
        <v>0.2117974566131434</v>
      </c>
      <c r="AN179" s="1" t="n">
        <v>-0.07314023974529794</v>
      </c>
      <c r="AO179" s="1" t="n">
        <v>-0.1113386899200649</v>
      </c>
      <c r="AP179" s="1" t="n">
        <v>-0.08661350374063953</v>
      </c>
      <c r="AQ179" s="1" t="n">
        <v>0.2117970323065758</v>
      </c>
      <c r="AR179" s="1" t="n">
        <v>0.1454617617276776</v>
      </c>
      <c r="AS179" s="1" t="n">
        <v>-0.04120835305477781</v>
      </c>
      <c r="AT179" s="1" t="n">
        <v>-0.01835953121865321</v>
      </c>
      <c r="AU179" s="1" t="n">
        <v>0.06589844662273039</v>
      </c>
      <c r="AV179" s="1" t="n">
        <v>-0.08301089044977661</v>
      </c>
      <c r="AW179" s="1" t="n">
        <v>0.07573538474841024</v>
      </c>
      <c r="AX179" s="1" t="n">
        <v>-0.003456667753064645</v>
      </c>
      <c r="AY179" s="1" t="n">
        <v>-0.05046742861932424</v>
      </c>
      <c r="AZ179" s="1" t="n">
        <v>-0.09484986918598891</v>
      </c>
      <c r="BA179" s="1" t="n">
        <v>-0.005962368012945983</v>
      </c>
      <c r="BB179" s="1" t="n">
        <v>-0.06746954468359617</v>
      </c>
      <c r="BC179" s="1" t="n">
        <v>-0.030050109280077</v>
      </c>
      <c r="BD179" s="1" t="n">
        <v>-0.09914022786515352</v>
      </c>
      <c r="BE179" s="1" t="n">
        <v>-0.1495565618439652</v>
      </c>
      <c r="BF179" s="1" t="n">
        <v>-0.04198879652398067</v>
      </c>
      <c r="BG179" s="1" t="n">
        <v>-0.05228608845012438</v>
      </c>
      <c r="BH179" s="1" t="n">
        <v>0.4482811336399449</v>
      </c>
      <c r="BI179" s="1" t="n">
        <v>-0.1053094589567214</v>
      </c>
      <c r="BJ179" s="1" t="n">
        <v>0.01429635339418561</v>
      </c>
      <c r="BK179" s="1" t="n">
        <v>-0.08539708770344477</v>
      </c>
      <c r="BL179" s="1" t="n">
        <v>0.03624412978792357</v>
      </c>
      <c r="BM179" s="1" t="n">
        <v>0.008424724646658955</v>
      </c>
      <c r="BN179" s="1" t="n">
        <v>-0.06639359764715337</v>
      </c>
      <c r="BO179" s="544" t="n">
        <v>0.05500259690993997</v>
      </c>
      <c r="BP179" s="23" t="n"/>
      <c r="BQ179" s="705" t="n"/>
      <c r="BR179" s="487" t="n"/>
      <c r="BS179" s="487" t="n"/>
      <c r="BT179" s="487" t="n"/>
    </row>
    <row r="180">
      <c r="A180" t="n">
        <v>26</v>
      </c>
      <c r="B180" s="701" t="n">
        <v>0</v>
      </c>
      <c r="C180" s="702" t="n">
        <v>0</v>
      </c>
      <c r="D180" s="702" t="n">
        <v>0</v>
      </c>
      <c r="E180" s="702" t="n">
        <v>0</v>
      </c>
      <c r="F180" s="702" t="n">
        <v>0</v>
      </c>
      <c r="G180" s="702" t="n">
        <v>0</v>
      </c>
      <c r="H180" s="702" t="n">
        <v>0</v>
      </c>
      <c r="I180" s="702" t="n">
        <v>0</v>
      </c>
      <c r="J180" s="702" t="n">
        <v>0</v>
      </c>
      <c r="K180" s="702" t="n">
        <v>0</v>
      </c>
      <c r="L180" s="702" t="n">
        <v>0</v>
      </c>
      <c r="M180" s="702" t="n">
        <v>0</v>
      </c>
      <c r="N180" s="702" t="n">
        <v>0</v>
      </c>
      <c r="O180" s="702" t="n">
        <v>0</v>
      </c>
      <c r="P180" s="702" t="n">
        <v>0</v>
      </c>
      <c r="Q180" s="702" t="n">
        <v>0</v>
      </c>
      <c r="R180" s="702" t="n">
        <v>0</v>
      </c>
      <c r="S180" s="702" t="n">
        <v>0</v>
      </c>
      <c r="T180" s="702" t="n">
        <v>0</v>
      </c>
      <c r="U180" s="702" t="n">
        <v>0</v>
      </c>
      <c r="V180" s="702" t="n">
        <v>0</v>
      </c>
      <c r="W180" s="702" t="n">
        <v>0</v>
      </c>
      <c r="X180" s="702" t="n">
        <v>0</v>
      </c>
      <c r="Y180" s="702" t="n">
        <v>0</v>
      </c>
      <c r="Z180" s="702" t="n">
        <v>0</v>
      </c>
      <c r="AA180" s="702" t="n">
        <v>1</v>
      </c>
      <c r="AB180" s="702" t="n">
        <v>0</v>
      </c>
      <c r="AC180" s="702" t="n">
        <v>0</v>
      </c>
      <c r="AD180" s="702" t="n">
        <v>0</v>
      </c>
      <c r="AE180" s="702" t="n">
        <v>0</v>
      </c>
      <c r="AF180" s="702" t="n">
        <v>0</v>
      </c>
      <c r="AG180" s="703" t="n">
        <v>0</v>
      </c>
      <c r="AH180" s="704" t="n"/>
      <c r="AI180" s="23" t="n">
        <v>26</v>
      </c>
      <c r="AJ180" s="543" t="n">
        <v>0.09587473202608546</v>
      </c>
      <c r="AK180" s="1" t="n">
        <v>-0.01894551862177903</v>
      </c>
      <c r="AL180" s="1" t="n">
        <v>-0.002828511919342039</v>
      </c>
      <c r="AM180" s="1" t="n">
        <v>-0.08061778446476559</v>
      </c>
      <c r="AN180" s="1" t="n">
        <v>0.03699045267627699</v>
      </c>
      <c r="AO180" s="1" t="n">
        <v>0.2425461352363034</v>
      </c>
      <c r="AP180" s="1" t="n">
        <v>-0.08277333806380252</v>
      </c>
      <c r="AQ180" s="1" t="n">
        <v>-0.08061762295831526</v>
      </c>
      <c r="AR180" s="1" t="n">
        <v>-0.06647275847603587</v>
      </c>
      <c r="AS180" s="1" t="n">
        <v>-0.1571468332366314</v>
      </c>
      <c r="AT180" s="1" t="n">
        <v>-0.1589712063399989</v>
      </c>
      <c r="AU180" s="1" t="n">
        <v>0.09587482249522612</v>
      </c>
      <c r="AV180" s="1" t="n">
        <v>0.09350880198829203</v>
      </c>
      <c r="AW180" s="1" t="n">
        <v>-0.001070403760748712</v>
      </c>
      <c r="AX180" s="1" t="n">
        <v>-0.01868469532988964</v>
      </c>
      <c r="AY180" s="1" t="n">
        <v>-0.04249596176036212</v>
      </c>
      <c r="AZ180" s="1" t="n">
        <v>-0.04830962348786735</v>
      </c>
      <c r="BA180" s="1" t="n">
        <v>0.04418354819899727</v>
      </c>
      <c r="BB180" s="1" t="n">
        <v>0.0484024169111732</v>
      </c>
      <c r="BC180" s="1" t="n">
        <v>-0.01340764317900484</v>
      </c>
      <c r="BD180" s="1" t="n">
        <v>-0.1114293755777966</v>
      </c>
      <c r="BE180" s="1" t="n">
        <v>-0.1619203581480869</v>
      </c>
      <c r="BF180" s="1" t="n">
        <v>-0.1055848279024103</v>
      </c>
      <c r="BG180" s="1" t="n">
        <v>-0.09251076330411284</v>
      </c>
      <c r="BH180" s="1" t="n">
        <v>-0.1053094589567214</v>
      </c>
      <c r="BI180" s="1" t="n">
        <v>0.576754783889128</v>
      </c>
      <c r="BJ180" s="1" t="n">
        <v>-0.03038445131208846</v>
      </c>
      <c r="BK180" s="1" t="n">
        <v>-0.03842985127023204</v>
      </c>
      <c r="BL180" s="1" t="n">
        <v>0.01875109071987495</v>
      </c>
      <c r="BM180" s="1" t="n">
        <v>0.02741686495537951</v>
      </c>
      <c r="BN180" s="1" t="n">
        <v>-0.0130514468164066</v>
      </c>
      <c r="BO180" s="544" t="n">
        <v>0.01057992849050447</v>
      </c>
      <c r="BP180" s="23" t="n"/>
      <c r="BQ180" s="705" t="n"/>
      <c r="BR180" s="487" t="n"/>
      <c r="BS180" s="487" t="n"/>
      <c r="BT180" s="487" t="n"/>
    </row>
    <row r="181">
      <c r="A181" t="n">
        <v>27</v>
      </c>
      <c r="B181" s="701" t="n">
        <v>0</v>
      </c>
      <c r="C181" s="702" t="n">
        <v>0</v>
      </c>
      <c r="D181" s="702" t="n">
        <v>0</v>
      </c>
      <c r="E181" s="702" t="n">
        <v>0</v>
      </c>
      <c r="F181" s="702" t="n">
        <v>0</v>
      </c>
      <c r="G181" s="702" t="n">
        <v>0</v>
      </c>
      <c r="H181" s="702" t="n">
        <v>0</v>
      </c>
      <c r="I181" s="702" t="n">
        <v>0</v>
      </c>
      <c r="J181" s="702" t="n">
        <v>0</v>
      </c>
      <c r="K181" s="702" t="n">
        <v>0</v>
      </c>
      <c r="L181" s="702" t="n">
        <v>0</v>
      </c>
      <c r="M181" s="702" t="n">
        <v>0</v>
      </c>
      <c r="N181" s="702" t="n">
        <v>0</v>
      </c>
      <c r="O181" s="702" t="n">
        <v>0</v>
      </c>
      <c r="P181" s="702" t="n">
        <v>0</v>
      </c>
      <c r="Q181" s="702" t="n">
        <v>0</v>
      </c>
      <c r="R181" s="702" t="n">
        <v>0</v>
      </c>
      <c r="S181" s="702" t="n">
        <v>0</v>
      </c>
      <c r="T181" s="702" t="n">
        <v>0</v>
      </c>
      <c r="U181" s="702" t="n">
        <v>0</v>
      </c>
      <c r="V181" s="702" t="n">
        <v>0</v>
      </c>
      <c r="W181" s="702" t="n">
        <v>0</v>
      </c>
      <c r="X181" s="702" t="n">
        <v>0</v>
      </c>
      <c r="Y181" s="702" t="n">
        <v>0</v>
      </c>
      <c r="Z181" s="702" t="n">
        <v>0</v>
      </c>
      <c r="AA181" s="702" t="n">
        <v>0</v>
      </c>
      <c r="AB181" s="702" t="n">
        <v>1</v>
      </c>
      <c r="AC181" s="702" t="n">
        <v>0</v>
      </c>
      <c r="AD181" s="702" t="n">
        <v>0</v>
      </c>
      <c r="AE181" s="702" t="n">
        <v>0</v>
      </c>
      <c r="AF181" s="702" t="n">
        <v>0</v>
      </c>
      <c r="AG181" s="703" t="n">
        <v>0</v>
      </c>
      <c r="AH181" s="704" t="n"/>
      <c r="AI181" s="23" t="n">
        <v>27</v>
      </c>
      <c r="AJ181" s="543" t="n">
        <v>-0.05907134460494845</v>
      </c>
      <c r="AK181" s="1" t="n">
        <v>-0.1002330471913581</v>
      </c>
      <c r="AL181" s="1" t="n">
        <v>-0.01623681928972539</v>
      </c>
      <c r="AM181" s="1" t="n">
        <v>0.05037954957513517</v>
      </c>
      <c r="AN181" s="1" t="n">
        <v>-0.1089426732431557</v>
      </c>
      <c r="AO181" s="1" t="n">
        <v>0.1056013410370578</v>
      </c>
      <c r="AP181" s="1" t="n">
        <v>0.2410178548476245</v>
      </c>
      <c r="AQ181" s="1" t="n">
        <v>0.05037944864675745</v>
      </c>
      <c r="AR181" s="1" t="n">
        <v>-0.0855591879906439</v>
      </c>
      <c r="AS181" s="1" t="n">
        <v>-0.004804267463149216</v>
      </c>
      <c r="AT181" s="1" t="n">
        <v>0.03839510492470238</v>
      </c>
      <c r="AU181" s="1" t="n">
        <v>-0.0590714003457435</v>
      </c>
      <c r="AV181" s="1" t="n">
        <v>0.1267049305793842</v>
      </c>
      <c r="AW181" s="1" t="n">
        <v>-0.06663729985252043</v>
      </c>
      <c r="AX181" s="1" t="n">
        <v>-0.03281542044394287</v>
      </c>
      <c r="AY181" s="1" t="n">
        <v>0.02846735973433363</v>
      </c>
      <c r="AZ181" s="1" t="n">
        <v>-0.07378965825232701</v>
      </c>
      <c r="BA181" s="1" t="n">
        <v>-0.001918295736561951</v>
      </c>
      <c r="BB181" s="1" t="n">
        <v>-0.008990078758796365</v>
      </c>
      <c r="BC181" s="1" t="n">
        <v>0.1162500247010715</v>
      </c>
      <c r="BD181" s="1" t="n">
        <v>-0.008801318492881611</v>
      </c>
      <c r="BE181" s="1" t="n">
        <v>0.04277484341563573</v>
      </c>
      <c r="BF181" s="1" t="n">
        <v>0.06260026987996434</v>
      </c>
      <c r="BG181" s="1" t="n">
        <v>-0.08048569688481551</v>
      </c>
      <c r="BH181" s="1" t="n">
        <v>0.01429635339418549</v>
      </c>
      <c r="BI181" s="1" t="n">
        <v>-0.03038445131208842</v>
      </c>
      <c r="BJ181" s="1" t="n">
        <v>0.4578707747781967</v>
      </c>
      <c r="BK181" s="1" t="n">
        <v>-0.2523741924370262</v>
      </c>
      <c r="BL181" s="1" t="n">
        <v>0.03299519866695398</v>
      </c>
      <c r="BM181" s="1" t="n">
        <v>-0.06298874756783945</v>
      </c>
      <c r="BN181" s="1" t="n">
        <v>-0.1015396300018001</v>
      </c>
      <c r="BO181" s="544" t="n">
        <v>0.04490223860974915</v>
      </c>
      <c r="BP181" s="23" t="n"/>
      <c r="BQ181" s="705" t="n"/>
      <c r="BR181" s="487" t="n"/>
      <c r="BS181" s="487" t="n"/>
      <c r="BT181" s="487" t="n"/>
    </row>
    <row r="182">
      <c r="A182" t="n">
        <v>28</v>
      </c>
      <c r="B182" s="701" t="n">
        <v>0</v>
      </c>
      <c r="C182" s="702" t="n">
        <v>0</v>
      </c>
      <c r="D182" s="702" t="n">
        <v>0</v>
      </c>
      <c r="E182" s="702" t="n">
        <v>0</v>
      </c>
      <c r="F182" s="702" t="n">
        <v>0</v>
      </c>
      <c r="G182" s="702" t="n">
        <v>0</v>
      </c>
      <c r="H182" s="702" t="n">
        <v>0</v>
      </c>
      <c r="I182" s="702" t="n">
        <v>0</v>
      </c>
      <c r="J182" s="702" t="n">
        <v>0</v>
      </c>
      <c r="K182" s="702" t="n">
        <v>0</v>
      </c>
      <c r="L182" s="702" t="n">
        <v>0</v>
      </c>
      <c r="M182" s="702" t="n">
        <v>0</v>
      </c>
      <c r="N182" s="702" t="n">
        <v>0</v>
      </c>
      <c r="O182" s="702" t="n">
        <v>0</v>
      </c>
      <c r="P182" s="702" t="n">
        <v>0</v>
      </c>
      <c r="Q182" s="702" t="n">
        <v>0</v>
      </c>
      <c r="R182" s="702" t="n">
        <v>0</v>
      </c>
      <c r="S182" s="702" t="n">
        <v>0</v>
      </c>
      <c r="T182" s="702" t="n">
        <v>0</v>
      </c>
      <c r="U182" s="702" t="n">
        <v>0</v>
      </c>
      <c r="V182" s="702" t="n">
        <v>0</v>
      </c>
      <c r="W182" s="702" t="n">
        <v>0</v>
      </c>
      <c r="X182" s="702" t="n">
        <v>0</v>
      </c>
      <c r="Y182" s="702" t="n">
        <v>0</v>
      </c>
      <c r="Z182" s="702" t="n">
        <v>0</v>
      </c>
      <c r="AA182" s="702" t="n">
        <v>0</v>
      </c>
      <c r="AB182" s="702" t="n">
        <v>0</v>
      </c>
      <c r="AC182" s="702" t="n">
        <v>1</v>
      </c>
      <c r="AD182" s="702" t="n">
        <v>0</v>
      </c>
      <c r="AE182" s="702" t="n">
        <v>0</v>
      </c>
      <c r="AF182" s="702" t="n">
        <v>0</v>
      </c>
      <c r="AG182" s="703" t="n">
        <v>0</v>
      </c>
      <c r="AH182" s="704" t="n"/>
      <c r="AI182" s="23" t="n">
        <v>28</v>
      </c>
      <c r="AJ182" s="543" t="n">
        <v>0.002928763398369186</v>
      </c>
      <c r="AK182" s="1" t="n">
        <v>0.1051648951685151</v>
      </c>
      <c r="AL182" s="1" t="n">
        <v>-0.0550621049556366</v>
      </c>
      <c r="AM182" s="1" t="n">
        <v>0.02622038115143802</v>
      </c>
      <c r="AN182" s="1" t="n">
        <v>0.07428862373029878</v>
      </c>
      <c r="AO182" s="1" t="n">
        <v>0.0225723544388178</v>
      </c>
      <c r="AP182" s="1" t="n">
        <v>0.1103917403286763</v>
      </c>
      <c r="AQ182" s="1" t="n">
        <v>0.02622032862257331</v>
      </c>
      <c r="AR182" s="1" t="n">
        <v>0.04137203083868075</v>
      </c>
      <c r="AS182" s="1" t="n">
        <v>-0.01594726958614689</v>
      </c>
      <c r="AT182" s="1" t="n">
        <v>-0.00538171642970077</v>
      </c>
      <c r="AU182" s="1" t="n">
        <v>0.002928766162003674</v>
      </c>
      <c r="AV182" s="1" t="n">
        <v>0.05722642702837624</v>
      </c>
      <c r="AW182" s="1" t="n">
        <v>-0.01554422473829416</v>
      </c>
      <c r="AX182" s="1" t="n">
        <v>-0.02927304893432858</v>
      </c>
      <c r="AY182" s="1" t="n">
        <v>-0.03455265326717116</v>
      </c>
      <c r="AZ182" s="1" t="n">
        <v>0.09158621463849898</v>
      </c>
      <c r="BA182" s="1" t="n">
        <v>-0.02536236551905533</v>
      </c>
      <c r="BB182" s="1" t="n">
        <v>-0.1242174493960981</v>
      </c>
      <c r="BC182" s="1" t="n">
        <v>-0.2303956436212686</v>
      </c>
      <c r="BD182" s="1" t="n">
        <v>-0.01331820021987739</v>
      </c>
      <c r="BE182" s="1" t="n">
        <v>0.007069352763494414</v>
      </c>
      <c r="BF182" s="1" t="n">
        <v>-0.02301663226271682</v>
      </c>
      <c r="BG182" s="1" t="n">
        <v>0.1530924186927765</v>
      </c>
      <c r="BH182" s="1" t="n">
        <v>-0.08539708770344467</v>
      </c>
      <c r="BI182" s="1" t="n">
        <v>-0.03842985127023205</v>
      </c>
      <c r="BJ182" s="1" t="n">
        <v>-0.2523741924370262</v>
      </c>
      <c r="BK182" s="1" t="n">
        <v>0.3691871390947867</v>
      </c>
      <c r="BL182" s="1" t="n">
        <v>-0.01070923396280932</v>
      </c>
      <c r="BM182" s="1" t="n">
        <v>0.05001229041121416</v>
      </c>
      <c r="BN182" s="1" t="n">
        <v>0.1216520460581781</v>
      </c>
      <c r="BO182" s="544" t="n">
        <v>-0.003504128432494494</v>
      </c>
      <c r="BP182" s="23" t="n"/>
      <c r="BQ182" s="705" t="n"/>
      <c r="BR182" s="487" t="n"/>
      <c r="BS182" s="487" t="n"/>
      <c r="BT182" s="487" t="n"/>
    </row>
    <row r="183">
      <c r="A183" t="n">
        <v>29</v>
      </c>
      <c r="B183" s="701" t="n">
        <v>0</v>
      </c>
      <c r="C183" s="702" t="n">
        <v>0</v>
      </c>
      <c r="D183" s="702" t="n">
        <v>0</v>
      </c>
      <c r="E183" s="702" t="n">
        <v>0</v>
      </c>
      <c r="F183" s="702" t="n">
        <v>0</v>
      </c>
      <c r="G183" s="702" t="n">
        <v>0</v>
      </c>
      <c r="H183" s="702" t="n">
        <v>0</v>
      </c>
      <c r="I183" s="702" t="n">
        <v>0</v>
      </c>
      <c r="J183" s="702" t="n">
        <v>0</v>
      </c>
      <c r="K183" s="702" t="n">
        <v>0</v>
      </c>
      <c r="L183" s="702" t="n">
        <v>0</v>
      </c>
      <c r="M183" s="702" t="n">
        <v>0</v>
      </c>
      <c r="N183" s="702" t="n">
        <v>0</v>
      </c>
      <c r="O183" s="702" t="n">
        <v>0</v>
      </c>
      <c r="P183" s="702" t="n">
        <v>0</v>
      </c>
      <c r="Q183" s="702" t="n">
        <v>0</v>
      </c>
      <c r="R183" s="702" t="n">
        <v>0</v>
      </c>
      <c r="S183" s="702" t="n">
        <v>0</v>
      </c>
      <c r="T183" s="702" t="n">
        <v>0</v>
      </c>
      <c r="U183" s="702" t="n">
        <v>0</v>
      </c>
      <c r="V183" s="702" t="n">
        <v>0</v>
      </c>
      <c r="W183" s="702" t="n">
        <v>0</v>
      </c>
      <c r="X183" s="702" t="n">
        <v>0</v>
      </c>
      <c r="Y183" s="702" t="n">
        <v>0</v>
      </c>
      <c r="Z183" s="702" t="n">
        <v>0</v>
      </c>
      <c r="AA183" s="702" t="n">
        <v>0</v>
      </c>
      <c r="AB183" s="702" t="n">
        <v>0</v>
      </c>
      <c r="AC183" s="702" t="n">
        <v>0</v>
      </c>
      <c r="AD183" s="702" t="n">
        <v>1</v>
      </c>
      <c r="AE183" s="702" t="n">
        <v>0</v>
      </c>
      <c r="AF183" s="702" t="n">
        <v>0</v>
      </c>
      <c r="AG183" s="703" t="n">
        <v>0</v>
      </c>
      <c r="AH183" s="704" t="n"/>
      <c r="AI183" s="23" t="n">
        <v>29</v>
      </c>
      <c r="AJ183" s="543" t="n">
        <v>0.01325414497026703</v>
      </c>
      <c r="AK183" s="1" t="n">
        <v>0.1533030621153924</v>
      </c>
      <c r="AL183" s="1" t="n">
        <v>-0.1055595762979112</v>
      </c>
      <c r="AM183" s="1" t="n">
        <v>0.01974001542494032</v>
      </c>
      <c r="AN183" s="1" t="n">
        <v>0.004591817569736738</v>
      </c>
      <c r="AO183" s="1" t="n">
        <v>-0.001915005311229311</v>
      </c>
      <c r="AP183" s="1" t="n">
        <v>-0.01345460437067682</v>
      </c>
      <c r="AQ183" s="1" t="n">
        <v>0.01973997587858164</v>
      </c>
      <c r="AR183" s="1" t="n">
        <v>-0.07970723005880433</v>
      </c>
      <c r="AS183" s="1" t="n">
        <v>-0.003786064187979108</v>
      </c>
      <c r="AT183" s="1" t="n">
        <v>-0.01595335976699707</v>
      </c>
      <c r="AU183" s="1" t="n">
        <v>0.01325415747711923</v>
      </c>
      <c r="AV183" s="1" t="n">
        <v>-0.01779239553503906</v>
      </c>
      <c r="AW183" s="1" t="n">
        <v>-0.03343696626775954</v>
      </c>
      <c r="AX183" s="1" t="n">
        <v>0.06929497112414768</v>
      </c>
      <c r="AY183" s="1" t="n">
        <v>0.06069251331754112</v>
      </c>
      <c r="AZ183" s="1" t="n">
        <v>0.03941540646330357</v>
      </c>
      <c r="BA183" s="1" t="n">
        <v>0.1119280733352028</v>
      </c>
      <c r="BB183" s="1" t="n">
        <v>-0.06884697809149953</v>
      </c>
      <c r="BC183" s="1" t="n">
        <v>-0.1233017854295553</v>
      </c>
      <c r="BD183" s="1" t="n">
        <v>0.0300047101252218</v>
      </c>
      <c r="BE183" s="1" t="n">
        <v>-0.001548537864884708</v>
      </c>
      <c r="BF183" s="1" t="n">
        <v>-0.09403145043873051</v>
      </c>
      <c r="BG183" s="1" t="n">
        <v>0.01058005767059491</v>
      </c>
      <c r="BH183" s="1" t="n">
        <v>0.03624412978792359</v>
      </c>
      <c r="BI183" s="1" t="n">
        <v>0.01875109071987493</v>
      </c>
      <c r="BJ183" s="1" t="n">
        <v>0.03299519866695402</v>
      </c>
      <c r="BK183" s="1" t="n">
        <v>-0.01070923396280934</v>
      </c>
      <c r="BL183" s="1" t="n">
        <v>0.4225363248977448</v>
      </c>
      <c r="BM183" s="1" t="n">
        <v>-0.2080544209168175</v>
      </c>
      <c r="BN183" s="1" t="n">
        <v>-0.2904164768248492</v>
      </c>
      <c r="BO183" s="544" t="n">
        <v>-0.1307592722820074</v>
      </c>
      <c r="BP183" s="23" t="n"/>
      <c r="BQ183" s="705" t="n"/>
      <c r="BR183" s="487" t="n"/>
      <c r="BS183" s="487" t="n"/>
      <c r="BT183" s="487" t="n"/>
    </row>
    <row r="184">
      <c r="A184" t="n">
        <v>30</v>
      </c>
      <c r="B184" s="701" t="n">
        <v>0</v>
      </c>
      <c r="C184" s="702" t="n">
        <v>0</v>
      </c>
      <c r="D184" s="702" t="n">
        <v>0</v>
      </c>
      <c r="E184" s="702" t="n">
        <v>0</v>
      </c>
      <c r="F184" s="702" t="n">
        <v>0</v>
      </c>
      <c r="G184" s="702" t="n">
        <v>0</v>
      </c>
      <c r="H184" s="702" t="n">
        <v>0</v>
      </c>
      <c r="I184" s="702" t="n">
        <v>0</v>
      </c>
      <c r="J184" s="702" t="n">
        <v>0</v>
      </c>
      <c r="K184" s="702" t="n">
        <v>0</v>
      </c>
      <c r="L184" s="702" t="n">
        <v>0</v>
      </c>
      <c r="M184" s="702" t="n">
        <v>0</v>
      </c>
      <c r="N184" s="702" t="n">
        <v>0</v>
      </c>
      <c r="O184" s="702" t="n">
        <v>0</v>
      </c>
      <c r="P184" s="702" t="n">
        <v>0</v>
      </c>
      <c r="Q184" s="702" t="n">
        <v>0</v>
      </c>
      <c r="R184" s="702" t="n">
        <v>0</v>
      </c>
      <c r="S184" s="702" t="n">
        <v>0</v>
      </c>
      <c r="T184" s="702" t="n">
        <v>0</v>
      </c>
      <c r="U184" s="702" t="n">
        <v>0</v>
      </c>
      <c r="V184" s="702" t="n">
        <v>0</v>
      </c>
      <c r="W184" s="702" t="n">
        <v>0</v>
      </c>
      <c r="X184" s="702" t="n">
        <v>0</v>
      </c>
      <c r="Y184" s="702" t="n">
        <v>0</v>
      </c>
      <c r="Z184" s="702" t="n">
        <v>0</v>
      </c>
      <c r="AA184" s="702" t="n">
        <v>0</v>
      </c>
      <c r="AB184" s="702" t="n">
        <v>0</v>
      </c>
      <c r="AC184" s="702" t="n">
        <v>0</v>
      </c>
      <c r="AD184" s="702" t="n">
        <v>0</v>
      </c>
      <c r="AE184" s="702" t="n">
        <v>1</v>
      </c>
      <c r="AF184" s="702" t="n">
        <v>0</v>
      </c>
      <c r="AG184" s="703" t="n">
        <v>0</v>
      </c>
      <c r="AH184" s="704" t="n"/>
      <c r="AI184" s="23" t="n">
        <v>30</v>
      </c>
      <c r="AJ184" s="543" t="n">
        <v>-0.03815349058760117</v>
      </c>
      <c r="AK184" s="1" t="n">
        <v>-0.08158059336890547</v>
      </c>
      <c r="AL184" s="1" t="n">
        <v>0.1881094011907278</v>
      </c>
      <c r="AM184" s="1" t="n">
        <v>-0.03339385450287838</v>
      </c>
      <c r="AN184" s="1" t="n">
        <v>-0.09698943012648632</v>
      </c>
      <c r="AO184" s="1" t="n">
        <v>0.03952480560277694</v>
      </c>
      <c r="AP184" s="1" t="n">
        <v>0.02262425904999589</v>
      </c>
      <c r="AQ184" s="1" t="n">
        <v>-0.03339378760296369</v>
      </c>
      <c r="AR184" s="1" t="n">
        <v>0.1446979313528875</v>
      </c>
      <c r="AS184" s="1" t="n">
        <v>0.01562322510346387</v>
      </c>
      <c r="AT184" s="1" t="n">
        <v>0.02718600500765833</v>
      </c>
      <c r="AU184" s="1" t="n">
        <v>-0.03815352658992863</v>
      </c>
      <c r="AV184" s="1" t="n">
        <v>0.0147719477492812</v>
      </c>
      <c r="AW184" s="1" t="n">
        <v>-0.02334396590259027</v>
      </c>
      <c r="AX184" s="1" t="n">
        <v>0.01093209559136146</v>
      </c>
      <c r="AY184" s="1" t="n">
        <v>0.04077265814975149</v>
      </c>
      <c r="AZ184" s="1" t="n">
        <v>-0.07703071253622135</v>
      </c>
      <c r="BA184" s="1" t="n">
        <v>0.02298833829254916</v>
      </c>
      <c r="BB184" s="1" t="n">
        <v>0.02693051580850872</v>
      </c>
      <c r="BC184" s="1" t="n">
        <v>-0.2120568970980383</v>
      </c>
      <c r="BD184" s="1" t="n">
        <v>0.01320578684425942</v>
      </c>
      <c r="BE184" s="1" t="n">
        <v>0.02338047658937373</v>
      </c>
      <c r="BF184" s="1" t="n">
        <v>0.03606501961550022</v>
      </c>
      <c r="BG184" s="1" t="n">
        <v>-0.1084928726511721</v>
      </c>
      <c r="BH184" s="1" t="n">
        <v>0.008424724646658943</v>
      </c>
      <c r="BI184" s="1" t="n">
        <v>0.02741686495537962</v>
      </c>
      <c r="BJ184" s="1" t="n">
        <v>-0.06298874756783954</v>
      </c>
      <c r="BK184" s="1" t="n">
        <v>0.05001229041121415</v>
      </c>
      <c r="BL184" s="1" t="n">
        <v>-0.2080544209168174</v>
      </c>
      <c r="BM184" s="1" t="n">
        <v>0.6631971760197428</v>
      </c>
      <c r="BN184" s="1" t="n">
        <v>-0.1538320572205135</v>
      </c>
      <c r="BO184" s="544" t="n">
        <v>0.006877775200118379</v>
      </c>
      <c r="BP184" s="23" t="n"/>
      <c r="BQ184" s="705" t="n"/>
      <c r="BR184" s="487" t="n"/>
      <c r="BS184" s="487" t="n"/>
      <c r="BT184" s="487" t="n"/>
    </row>
    <row r="185">
      <c r="A185" t="n">
        <v>31</v>
      </c>
      <c r="B185" s="701" t="n">
        <v>0</v>
      </c>
      <c r="C185" s="702" t="n">
        <v>0</v>
      </c>
      <c r="D185" s="702" t="n">
        <v>0</v>
      </c>
      <c r="E185" s="702" t="n">
        <v>0</v>
      </c>
      <c r="F185" s="702" t="n">
        <v>0</v>
      </c>
      <c r="G185" s="702" t="n">
        <v>0</v>
      </c>
      <c r="H185" s="702" t="n">
        <v>0</v>
      </c>
      <c r="I185" s="702" t="n">
        <v>0</v>
      </c>
      <c r="J185" s="702" t="n">
        <v>0</v>
      </c>
      <c r="K185" s="702" t="n">
        <v>0</v>
      </c>
      <c r="L185" s="702" t="n">
        <v>0</v>
      </c>
      <c r="M185" s="702" t="n">
        <v>0</v>
      </c>
      <c r="N185" s="702" t="n">
        <v>0</v>
      </c>
      <c r="O185" s="702" t="n">
        <v>0</v>
      </c>
      <c r="P185" s="702" t="n">
        <v>0</v>
      </c>
      <c r="Q185" s="702" t="n">
        <v>0</v>
      </c>
      <c r="R185" s="702" t="n">
        <v>0</v>
      </c>
      <c r="S185" s="702" t="n">
        <v>0</v>
      </c>
      <c r="T185" s="702" t="n">
        <v>0</v>
      </c>
      <c r="U185" s="702" t="n">
        <v>0</v>
      </c>
      <c r="V185" s="702" t="n">
        <v>0</v>
      </c>
      <c r="W185" s="702" t="n">
        <v>0</v>
      </c>
      <c r="X185" s="702" t="n">
        <v>0</v>
      </c>
      <c r="Y185" s="702" t="n">
        <v>0</v>
      </c>
      <c r="Z185" s="702" t="n">
        <v>0</v>
      </c>
      <c r="AA185" s="702" t="n">
        <v>0</v>
      </c>
      <c r="AB185" s="702" t="n">
        <v>0</v>
      </c>
      <c r="AC185" s="702" t="n">
        <v>0</v>
      </c>
      <c r="AD185" s="702" t="n">
        <v>0</v>
      </c>
      <c r="AE185" s="702" t="n">
        <v>0</v>
      </c>
      <c r="AF185" s="702" t="n">
        <v>1</v>
      </c>
      <c r="AG185" s="703" t="n">
        <v>0</v>
      </c>
      <c r="AH185" s="704" t="n"/>
      <c r="AI185" s="23" t="n">
        <v>31</v>
      </c>
      <c r="AJ185" s="543" t="n">
        <v>0.04887373490292128</v>
      </c>
      <c r="AK185" s="1" t="n">
        <v>-0.1373584044984986</v>
      </c>
      <c r="AL185" s="1" t="n">
        <v>-0.1114887984906825</v>
      </c>
      <c r="AM185" s="1" t="n">
        <v>0.04664854130186608</v>
      </c>
      <c r="AN185" s="1" t="n">
        <v>0.1589934940157896</v>
      </c>
      <c r="AO185" s="1" t="n">
        <v>-0.02096200994161148</v>
      </c>
      <c r="AP185" s="1" t="n">
        <v>0.02633127146592365</v>
      </c>
      <c r="AQ185" s="1" t="n">
        <v>0.04664844784804104</v>
      </c>
      <c r="AR185" s="1" t="n">
        <v>-0.02640696951592135</v>
      </c>
      <c r="AS185" s="1" t="n">
        <v>-0.01381372646361686</v>
      </c>
      <c r="AT185" s="1" t="n">
        <v>-0.05239642727875327</v>
      </c>
      <c r="AU185" s="1" t="n">
        <v>0.04887378102106631</v>
      </c>
      <c r="AV185" s="1" t="n">
        <v>0.03541463818785464</v>
      </c>
      <c r="AW185" s="1" t="n">
        <v>0.0175690331815846</v>
      </c>
      <c r="AX185" s="1" t="n">
        <v>-0.05586893460949142</v>
      </c>
      <c r="AY185" s="1" t="n">
        <v>-0.048315073261568</v>
      </c>
      <c r="AZ185" s="1" t="n">
        <v>0.03038704814879138</v>
      </c>
      <c r="BA185" s="1" t="n">
        <v>-0.09943967232344988</v>
      </c>
      <c r="BB185" s="1" t="n">
        <v>0.01607943593204877</v>
      </c>
      <c r="BC185" s="1" t="n">
        <v>0.06844466888352831</v>
      </c>
      <c r="BD185" s="1" t="n">
        <v>0.01984113421164773</v>
      </c>
      <c r="BE185" s="1" t="n">
        <v>0.04295081034172513</v>
      </c>
      <c r="BF185" s="1" t="n">
        <v>0.07760648228824071</v>
      </c>
      <c r="BG185" s="1" t="n">
        <v>-0.06095338237805353</v>
      </c>
      <c r="BH185" s="1" t="n">
        <v>-0.06639359764715339</v>
      </c>
      <c r="BI185" s="1" t="n">
        <v>-0.0130514468164066</v>
      </c>
      <c r="BJ185" s="1" t="n">
        <v>-0.1015396300018002</v>
      </c>
      <c r="BK185" s="1" t="n">
        <v>0.1216520460581781</v>
      </c>
      <c r="BL185" s="1" t="n">
        <v>-0.2904164768248491</v>
      </c>
      <c r="BM185" s="1" t="n">
        <v>-0.1538320572205135</v>
      </c>
      <c r="BN185" s="1" t="n">
        <v>0.4950250096173163</v>
      </c>
      <c r="BO185" s="544" t="n">
        <v>0.08402137738109586</v>
      </c>
      <c r="BP185" s="23" t="n"/>
      <c r="BQ185" s="705" t="n"/>
      <c r="BR185" s="487" t="n"/>
      <c r="BS185" s="487" t="n"/>
      <c r="BT185" s="487" t="n"/>
    </row>
    <row r="186">
      <c r="A186" t="n">
        <v>32</v>
      </c>
      <c r="B186" s="701" t="n">
        <v>0</v>
      </c>
      <c r="C186" s="702" t="n">
        <v>0</v>
      </c>
      <c r="D186" s="702" t="n">
        <v>0</v>
      </c>
      <c r="E186" s="702" t="n">
        <v>0</v>
      </c>
      <c r="F186" s="702" t="n">
        <v>0</v>
      </c>
      <c r="G186" s="702" t="n">
        <v>0</v>
      </c>
      <c r="H186" s="702" t="n">
        <v>0</v>
      </c>
      <c r="I186" s="702" t="n">
        <v>0</v>
      </c>
      <c r="J186" s="702" t="n">
        <v>0</v>
      </c>
      <c r="K186" s="702" t="n">
        <v>0</v>
      </c>
      <c r="L186" s="702" t="n">
        <v>0</v>
      </c>
      <c r="M186" s="702" t="n">
        <v>0</v>
      </c>
      <c r="N186" s="702" t="n">
        <v>0</v>
      </c>
      <c r="O186" s="702" t="n">
        <v>0</v>
      </c>
      <c r="P186" s="702" t="n">
        <v>0</v>
      </c>
      <c r="Q186" s="702" t="n">
        <v>0</v>
      </c>
      <c r="R186" s="702" t="n">
        <v>0</v>
      </c>
      <c r="S186" s="702" t="n">
        <v>0</v>
      </c>
      <c r="T186" s="702" t="n">
        <v>0</v>
      </c>
      <c r="U186" s="702" t="n">
        <v>0</v>
      </c>
      <c r="V186" s="702" t="n">
        <v>0</v>
      </c>
      <c r="W186" s="702" t="n">
        <v>0</v>
      </c>
      <c r="X186" s="702" t="n">
        <v>0</v>
      </c>
      <c r="Y186" s="702" t="n">
        <v>0</v>
      </c>
      <c r="Z186" s="702" t="n">
        <v>0</v>
      </c>
      <c r="AA186" s="702" t="n">
        <v>0</v>
      </c>
      <c r="AB186" s="702" t="n">
        <v>0</v>
      </c>
      <c r="AC186" s="702" t="n">
        <v>0</v>
      </c>
      <c r="AD186" s="702" t="n">
        <v>0</v>
      </c>
      <c r="AE186" s="702" t="n">
        <v>0</v>
      </c>
      <c r="AF186" s="702" t="n">
        <v>0</v>
      </c>
      <c r="AG186" s="703" t="n">
        <v>1</v>
      </c>
      <c r="AH186" s="704" t="n"/>
      <c r="AI186" s="23" t="n">
        <v>32</v>
      </c>
      <c r="AJ186" s="543" t="n">
        <v>-0.02697317466543388</v>
      </c>
      <c r="AK186" s="14" t="n">
        <v>-0.08362365497938784</v>
      </c>
      <c r="AL186" s="14" t="n">
        <v>-0.02149233389022764</v>
      </c>
      <c r="AM186" s="14" t="n">
        <v>-0.01299809111770719</v>
      </c>
      <c r="AN186" s="14" t="n">
        <v>-0.1001384146216119</v>
      </c>
      <c r="AO186" s="14" t="n">
        <v>0.02226412262880961</v>
      </c>
      <c r="AP186" s="14" t="n">
        <v>0.003982860413865275</v>
      </c>
      <c r="AQ186" s="14" t="n">
        <v>-0.01299806507785042</v>
      </c>
      <c r="AR186" s="14" t="n">
        <v>-0.04113233734175612</v>
      </c>
      <c r="AS186" s="14" t="n">
        <v>-0.00254507608820914</v>
      </c>
      <c r="AT186" s="14" t="n">
        <v>0.02990896071622523</v>
      </c>
      <c r="AU186" s="14" t="n">
        <v>-0.02697320011781197</v>
      </c>
      <c r="AV186" s="14" t="n">
        <v>-0.04016016146369487</v>
      </c>
      <c r="AW186" s="14" t="n">
        <v>-0.06770564858931326</v>
      </c>
      <c r="AX186" s="14" t="n">
        <v>0.1421084268527534</v>
      </c>
      <c r="AY186" s="14" t="n">
        <v>-0.09132340710983849</v>
      </c>
      <c r="AZ186" s="14" t="n">
        <v>0.113794169610421</v>
      </c>
      <c r="BA186" s="14" t="n">
        <v>0.2512404034222373</v>
      </c>
      <c r="BB186" s="14" t="n">
        <v>-0.1078517158796182</v>
      </c>
      <c r="BC186" s="14" t="n">
        <v>0.029332546486121</v>
      </c>
      <c r="BD186" s="14" t="n">
        <v>0.004722223728076361</v>
      </c>
      <c r="BE186" s="14" t="n">
        <v>-0.05829359216140498</v>
      </c>
      <c r="BF186" s="14" t="n">
        <v>-0.08801600040436143</v>
      </c>
      <c r="BG186" s="14" t="n">
        <v>0.07600484343724562</v>
      </c>
      <c r="BH186" s="14" t="n">
        <v>0.05500259690994003</v>
      </c>
      <c r="BI186" s="14" t="n">
        <v>0.01057992849050436</v>
      </c>
      <c r="BJ186" s="14" t="n">
        <v>0.04490223860974921</v>
      </c>
      <c r="BK186" s="14" t="n">
        <v>-0.003504128432494483</v>
      </c>
      <c r="BL186" s="14" t="n">
        <v>-0.1307592722820075</v>
      </c>
      <c r="BM186" s="14" t="n">
        <v>0.006877775200118424</v>
      </c>
      <c r="BN186" s="14" t="n">
        <v>0.08402137738109597</v>
      </c>
      <c r="BO186" s="544" t="n">
        <v>0.7408537182973371</v>
      </c>
      <c r="BP186" s="23" t="n"/>
      <c r="BQ186" s="705" t="n"/>
      <c r="BR186" s="487" t="n"/>
      <c r="BS186" s="487" t="n"/>
      <c r="BT186" s="487" t="n"/>
    </row>
    <row r="187">
      <c r="B187" s="701" t="n"/>
      <c r="C187" s="702" t="n"/>
      <c r="D187" s="702" t="n"/>
      <c r="E187" s="702" t="n"/>
      <c r="F187" s="702" t="n"/>
      <c r="G187" s="702" t="n"/>
      <c r="H187" s="702" t="n"/>
      <c r="I187" s="702" t="n"/>
      <c r="J187" s="702" t="n"/>
      <c r="K187" s="702" t="n"/>
      <c r="L187" s="702" t="n"/>
      <c r="M187" s="702" t="n"/>
      <c r="N187" s="702" t="n"/>
      <c r="O187" s="702" t="n"/>
      <c r="P187" s="702" t="n"/>
      <c r="Q187" s="702" t="n"/>
      <c r="R187" s="702" t="n"/>
      <c r="S187" s="702" t="n"/>
      <c r="T187" s="702" t="n"/>
      <c r="U187" s="702" t="n"/>
      <c r="V187" s="702" t="n"/>
      <c r="W187" s="702" t="n"/>
      <c r="X187" s="702" t="n"/>
      <c r="Y187" s="702" t="n"/>
      <c r="Z187" s="702" t="n"/>
      <c r="AA187" s="702" t="n"/>
      <c r="AB187" s="702" t="n"/>
      <c r="AC187" s="702" t="n"/>
      <c r="AD187" s="702" t="n"/>
      <c r="AE187" s="702" t="n"/>
      <c r="AF187" s="702" t="n"/>
      <c r="AG187" s="703" t="n"/>
      <c r="AH187" s="704" t="n"/>
      <c r="AI187" s="23" t="n"/>
      <c r="AJ187" s="54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 t="n"/>
      <c r="AT187" s="23" t="n"/>
      <c r="AU187" s="23" t="n"/>
      <c r="AV187" s="23" t="n"/>
      <c r="AW187" s="23" t="n"/>
      <c r="AX187" s="23" t="n"/>
      <c r="AY187" s="23" t="n"/>
      <c r="AZ187" s="23" t="n"/>
      <c r="BA187" s="23" t="n"/>
      <c r="BB187" s="23" t="n"/>
      <c r="BC187" s="23" t="n"/>
      <c r="BD187" s="23" t="n"/>
      <c r="BE187" s="23" t="n"/>
      <c r="BF187" s="23" t="n"/>
      <c r="BG187" s="23" t="n"/>
      <c r="BH187" s="23" t="n"/>
      <c r="BI187" s="23" t="n"/>
      <c r="BJ187" s="23" t="n"/>
      <c r="BK187" s="23" t="n"/>
      <c r="BL187" s="23" t="n"/>
      <c r="BM187" s="23" t="n"/>
      <c r="BN187" s="23" t="n"/>
      <c r="BO187" s="544" t="n"/>
      <c r="BP187" s="23" t="n"/>
      <c r="BQ187" s="705" t="n"/>
      <c r="BR187" s="487" t="n"/>
      <c r="BS187" s="487" t="n"/>
      <c r="BT187" s="487" t="n"/>
    </row>
    <row r="188">
      <c r="B188" s="701" t="n"/>
      <c r="C188" s="702" t="n"/>
      <c r="D188" s="702" t="n"/>
      <c r="E188" s="702" t="n"/>
      <c r="F188" s="702" t="n"/>
      <c r="G188" s="702" t="n"/>
      <c r="H188" s="702" t="n"/>
      <c r="I188" s="702" t="n"/>
      <c r="J188" s="702" t="n"/>
      <c r="K188" s="702" t="n"/>
      <c r="L188" s="702" t="n"/>
      <c r="M188" s="702" t="n"/>
      <c r="N188" s="702" t="n"/>
      <c r="O188" s="702" t="n"/>
      <c r="P188" s="702" t="n"/>
      <c r="Q188" s="702" t="n"/>
      <c r="R188" s="702" t="n"/>
      <c r="S188" s="702" t="n"/>
      <c r="T188" s="702" t="n"/>
      <c r="U188" s="702" t="n"/>
      <c r="V188" s="702" t="n"/>
      <c r="W188" s="702" t="n"/>
      <c r="X188" s="702" t="n"/>
      <c r="Y188" s="702" t="n"/>
      <c r="Z188" s="702" t="n"/>
      <c r="AA188" s="702" t="n"/>
      <c r="AB188" s="702" t="n"/>
      <c r="AC188" s="702" t="n"/>
      <c r="AD188" s="702" t="n"/>
      <c r="AE188" s="702" t="n"/>
      <c r="AF188" s="702" t="n"/>
      <c r="AG188" s="703" t="n"/>
      <c r="AH188" s="704" t="n"/>
      <c r="AI188" s="23" t="n"/>
      <c r="AJ188" s="543" t="n"/>
      <c r="AK188" s="706" t="inlineStr">
        <is>
          <t>Test lokalny</t>
        </is>
      </c>
      <c r="AL188" s="596" t="n"/>
      <c r="AM188" s="597" t="n"/>
      <c r="AN188" s="23" t="n"/>
      <c r="AO188" s="23" t="n"/>
      <c r="AP188" s="23" t="n"/>
      <c r="AQ188" s="23" t="n"/>
      <c r="AR188" s="23" t="n"/>
      <c r="AS188" s="23" t="n"/>
      <c r="AV188" s="23" t="n"/>
      <c r="AW188" s="23" t="n"/>
      <c r="AX188" s="23" t="n"/>
      <c r="AY188" s="23" t="n"/>
      <c r="AZ188" s="23" t="n"/>
      <c r="BA188" s="23" t="n"/>
      <c r="BB188" s="23" t="n"/>
      <c r="BC188" s="23" t="n"/>
      <c r="BD188" s="23" t="n"/>
      <c r="BE188" s="23" t="n"/>
      <c r="BF188" s="23" t="n"/>
      <c r="BG188" s="23" t="n"/>
      <c r="BH188" s="23" t="n"/>
      <c r="BI188" s="23" t="n"/>
      <c r="BJ188" s="23" t="n"/>
      <c r="BK188" s="23" t="n"/>
      <c r="BL188" s="23" t="n"/>
      <c r="BM188" s="23" t="n"/>
      <c r="BN188" s="23" t="n"/>
      <c r="BO188" s="544" t="n"/>
      <c r="BP188" s="23" t="n"/>
      <c r="BQ188" s="705" t="n"/>
      <c r="BR188" s="487" t="n"/>
      <c r="BS188" s="487" t="n"/>
      <c r="BT188" s="487" t="n"/>
    </row>
    <row r="189">
      <c r="B189" s="701" t="inlineStr">
        <is>
          <t>Cv</t>
        </is>
      </c>
      <c r="C189" s="506" t="n"/>
      <c r="D189" s="506" t="n"/>
      <c r="E189" s="506" t="n"/>
      <c r="F189" s="506" t="n"/>
      <c r="G189" s="506" t="n"/>
      <c r="H189" s="506" t="n"/>
      <c r="I189" s="506" t="n"/>
      <c r="J189" s="506" t="n"/>
      <c r="K189" s="506" t="n"/>
      <c r="L189" s="506" t="n"/>
      <c r="M189" s="506" t="n"/>
      <c r="N189" s="506" t="n"/>
      <c r="O189" s="506" t="n"/>
      <c r="P189" s="506" t="n"/>
      <c r="Q189" s="506" t="n"/>
      <c r="R189" s="506" t="n"/>
      <c r="S189" s="506" t="n"/>
      <c r="T189" s="506" t="n"/>
      <c r="U189" s="506" t="n"/>
      <c r="V189" s="506" t="n"/>
      <c r="W189" s="506" t="n"/>
      <c r="X189" s="506" t="n"/>
      <c r="Y189" s="506" t="n"/>
      <c r="Z189" s="506" t="n"/>
      <c r="AA189" s="506" t="n"/>
      <c r="AB189" s="506" t="n"/>
      <c r="AC189" s="506" t="n"/>
      <c r="AD189" s="506" t="n"/>
      <c r="AE189" s="506" t="n"/>
      <c r="AF189" s="506" t="n"/>
      <c r="AG189" s="507" t="n"/>
      <c r="AH189" s="704" t="n"/>
      <c r="AI189" s="103" t="inlineStr">
        <is>
          <t>s</t>
        </is>
      </c>
      <c r="AJ189" s="543" t="n"/>
      <c r="AK189" s="260" t="inlineStr">
        <is>
          <t>Qvi</t>
        </is>
      </c>
      <c r="AL189" s="277" t="inlineStr">
        <is>
          <t>ui</t>
        </is>
      </c>
      <c r="AM189" s="260" t="inlineStr">
        <is>
          <t>Warunek</t>
        </is>
      </c>
      <c r="AN189" s="23" t="n"/>
      <c r="AO189" s="707" t="inlineStr">
        <is>
          <t>Test globalny</t>
        </is>
      </c>
      <c r="AP189" s="597" t="n"/>
      <c r="AQ189" s="23" t="n"/>
      <c r="AR189" s="23" t="n"/>
      <c r="AV189" s="23" t="n"/>
      <c r="AW189" s="23" t="n"/>
      <c r="AX189" s="23" t="n"/>
      <c r="AY189" s="23" t="n"/>
      <c r="AZ189" s="23" t="n"/>
      <c r="BA189" s="23" t="n"/>
      <c r="BB189" s="23" t="n"/>
      <c r="BC189" s="23" t="n"/>
      <c r="BD189" s="23" t="n"/>
      <c r="BE189" s="23" t="n"/>
      <c r="BF189" s="23" t="n"/>
      <c r="BG189" s="23" t="n"/>
      <c r="BH189" s="23" t="n"/>
      <c r="BI189" s="23" t="n"/>
      <c r="BJ189" s="23" t="n"/>
      <c r="BK189" s="23" t="n"/>
      <c r="BL189" s="23" t="n"/>
      <c r="BM189" s="23" t="n"/>
      <c r="BN189" s="23" t="n"/>
      <c r="BO189" s="544" t="n"/>
      <c r="BP189" s="23" t="n"/>
      <c r="BQ189" s="705" t="n"/>
      <c r="BR189" s="487" t="n"/>
      <c r="BS189" s="487" t="n"/>
      <c r="BT189" s="487" t="n"/>
    </row>
    <row r="190">
      <c r="A190" t="n">
        <v>1</v>
      </c>
      <c r="B190" s="701">
        <f t="array" ref="B190:AG221">_xlfn.ANCHORARRAY(B155)-_xlfn.ANCHORARRAY(AJ155)</f>
        <v/>
      </c>
      <c r="C190" s="702" t="n">
        <v>0.004233484189268187</v>
      </c>
      <c r="D190" s="702" t="n">
        <v>0.02457566580324558</v>
      </c>
      <c r="E190" s="702" t="n">
        <v>-0.05777410052184097</v>
      </c>
      <c r="F190" s="702" t="n">
        <v>-0.0695232806328501</v>
      </c>
      <c r="G190" s="702" t="n">
        <v>-0.1391854210289086</v>
      </c>
      <c r="H190" s="702" t="n">
        <v>0.04513482722653955</v>
      </c>
      <c r="I190" s="702" t="n">
        <v>-0.05777398477951484</v>
      </c>
      <c r="J190" s="702" t="n">
        <v>-0.04585757223888667</v>
      </c>
      <c r="K190" s="702" t="n">
        <v>-0.09247792043263477</v>
      </c>
      <c r="L190" s="702" t="n">
        <v>-0.2139351986037583</v>
      </c>
      <c r="M190" s="702" t="n">
        <v>-0.2682017639604348</v>
      </c>
      <c r="N190" s="702" t="n">
        <v>0.03069159105306113</v>
      </c>
      <c r="O190" s="702" t="n">
        <v>0.01514614494543077</v>
      </c>
      <c r="P190" s="702" t="n">
        <v>-0.008584042481634677</v>
      </c>
      <c r="Q190" s="702" t="n">
        <v>-0.008366932512830483</v>
      </c>
      <c r="R190" s="702" t="n">
        <v>-0.009750312393146943</v>
      </c>
      <c r="S190" s="702" t="n">
        <v>-0.02782181125326672</v>
      </c>
      <c r="T190" s="702" t="n">
        <v>-0.04564590343344235</v>
      </c>
      <c r="U190" s="702" t="n">
        <v>0.003560198334286363</v>
      </c>
      <c r="V190" s="702" t="n">
        <v>0.05096714958524073</v>
      </c>
      <c r="W190" s="702" t="n">
        <v>0.01213801987599793</v>
      </c>
      <c r="X190" s="702" t="n">
        <v>0.03062651358332651</v>
      </c>
      <c r="Y190" s="702" t="n">
        <v>0.06804143342133681</v>
      </c>
      <c r="Z190" s="702" t="n">
        <v>-0.06589838443981649</v>
      </c>
      <c r="AA190" s="702" t="n">
        <v>-0.09587473202608546</v>
      </c>
      <c r="AB190" s="702" t="n">
        <v>0.05907134460494845</v>
      </c>
      <c r="AC190" s="702" t="n">
        <v>-0.002928763398369175</v>
      </c>
      <c r="AD190" s="702" t="n">
        <v>-0.01325414497026704</v>
      </c>
      <c r="AE190" s="702" t="n">
        <v>0.03815349058760122</v>
      </c>
      <c r="AF190" s="702" t="n">
        <v>-0.04887373490292127</v>
      </c>
      <c r="AG190" s="703" t="n">
        <v>0.02697317466543392</v>
      </c>
      <c r="AH190" s="704" t="n"/>
      <c r="AI190" s="2">
        <f t="array" ref="AI190">SQRT(INDEX(_xlfn.ANCHORARRAY($B$190),A190,A190))</f>
        <v/>
      </c>
      <c r="AJ190" s="543" t="n"/>
      <c r="AK190" s="2">
        <f>$AP$191*AI190</f>
        <v/>
      </c>
      <c r="AL190" s="104">
        <f>ABS(Y119/AK190)</f>
        <v/>
      </c>
      <c r="AM190" s="107">
        <f>IF(AL190&lt;2.5,"Spełniony","Nie spełniony")</f>
        <v/>
      </c>
      <c r="AN190" s="23" t="n"/>
      <c r="AO190" s="101" t="inlineStr">
        <is>
          <t>m0krytyczne</t>
        </is>
      </c>
      <c r="AP190" s="102">
        <f>CHIINV(0.05,19)/19</f>
        <v/>
      </c>
      <c r="AQ190" s="23" t="n"/>
      <c r="AR190" s="23" t="n"/>
      <c r="AV190" s="23" t="n"/>
      <c r="AW190" s="23" t="n"/>
      <c r="AX190" s="23" t="n"/>
      <c r="AY190" s="23" t="n"/>
      <c r="AZ190" s="23" t="n"/>
      <c r="BA190" s="23" t="n"/>
      <c r="BB190" s="23" t="n"/>
      <c r="BC190" s="23" t="n"/>
      <c r="BD190" s="23" t="n"/>
      <c r="BE190" s="23" t="n"/>
      <c r="BF190" s="23" t="n"/>
      <c r="BG190" s="23" t="n"/>
      <c r="BH190" s="23" t="n"/>
      <c r="BI190" s="23" t="n"/>
      <c r="BJ190" s="23" t="n"/>
      <c r="BK190" s="23" t="n"/>
      <c r="BL190" s="23" t="n"/>
      <c r="BM190" s="23" t="n"/>
      <c r="BN190" s="23" t="n"/>
      <c r="BO190" s="544" t="n"/>
      <c r="BP190" s="23" t="n"/>
      <c r="BQ190" s="705" t="n"/>
      <c r="BR190" s="487" t="n"/>
      <c r="BS190" s="487" t="n"/>
      <c r="BT190" s="487" t="n"/>
    </row>
    <row r="191">
      <c r="A191" t="n">
        <v>2</v>
      </c>
      <c r="B191" s="701" t="n">
        <v>0.004233484189268194</v>
      </c>
      <c r="C191" s="702" t="n">
        <v>0.7719014842748505</v>
      </c>
      <c r="D191" s="702" t="n">
        <v>-0.09652111725252445</v>
      </c>
      <c r="E191" s="702" t="n">
        <v>0.006197984875864739</v>
      </c>
      <c r="F191" s="702" t="n">
        <v>-0.03411503099053676</v>
      </c>
      <c r="G191" s="702" t="n">
        <v>-0.01246938966554767</v>
      </c>
      <c r="H191" s="702" t="n">
        <v>-0.04880567663816518</v>
      </c>
      <c r="I191" s="702" t="n">
        <v>0.006197972459069341</v>
      </c>
      <c r="J191" s="702" t="n">
        <v>-0.1013137728472479</v>
      </c>
      <c r="K191" s="702" t="n">
        <v>0.008866755135934237</v>
      </c>
      <c r="L191" s="702" t="n">
        <v>-0.005487470994036677</v>
      </c>
      <c r="M191" s="702" t="n">
        <v>0.004233488184060823</v>
      </c>
      <c r="N191" s="702" t="n">
        <v>-0.01409598140508835</v>
      </c>
      <c r="O191" s="702" t="n">
        <v>0.01982617550785674</v>
      </c>
      <c r="P191" s="702" t="n">
        <v>-0.01858441148654731</v>
      </c>
      <c r="Q191" s="702" t="n">
        <v>0.003837056241899409</v>
      </c>
      <c r="R191" s="702" t="n">
        <v>-0.108952673352034</v>
      </c>
      <c r="S191" s="702" t="n">
        <v>-0.04535066182825852</v>
      </c>
      <c r="T191" s="702" t="n">
        <v>-0.05917312953627961</v>
      </c>
      <c r="U191" s="702" t="n">
        <v>-0.04185154404291301</v>
      </c>
      <c r="V191" s="702" t="n">
        <v>0.009584222510082435</v>
      </c>
      <c r="W191" s="702" t="n">
        <v>0.01604003709737194</v>
      </c>
      <c r="X191" s="702" t="n">
        <v>0.09230566523806143</v>
      </c>
      <c r="Y191" s="702" t="n">
        <v>-0.2039260216335971</v>
      </c>
      <c r="Z191" s="702" t="n">
        <v>0.06705057816630229</v>
      </c>
      <c r="AA191" s="702" t="n">
        <v>0.01894551862177907</v>
      </c>
      <c r="AB191" s="702" t="n">
        <v>0.1002330471913581</v>
      </c>
      <c r="AC191" s="702" t="n">
        <v>-0.1051648951685151</v>
      </c>
      <c r="AD191" s="702" t="n">
        <v>-0.1533030621153924</v>
      </c>
      <c r="AE191" s="702" t="n">
        <v>0.08158059336890564</v>
      </c>
      <c r="AF191" s="702" t="n">
        <v>0.1373584044984985</v>
      </c>
      <c r="AG191" s="703" t="n">
        <v>0.08362365497938773</v>
      </c>
      <c r="AH191" s="704" t="n"/>
      <c r="AI191" s="3">
        <f t="array" ref="AI191">SQRT(INDEX(_xlfn.ANCHORARRAY($B$190),A191,A191))</f>
        <v/>
      </c>
      <c r="AJ191" s="543" t="n"/>
      <c r="AK191" s="3">
        <f>$AP$191*AI191</f>
        <v/>
      </c>
      <c r="AL191" s="105">
        <f>ABS(Y120/AK191)</f>
        <v/>
      </c>
      <c r="AM191" s="108">
        <f>IF(AL191&lt;2.5,"Spełniony","Nie spełniony")</f>
        <v/>
      </c>
      <c r="AN191" s="23" t="n"/>
      <c r="AO191" s="87" t="inlineStr">
        <is>
          <t>m0'</t>
        </is>
      </c>
      <c r="AP191" s="87">
        <f>AB131</f>
        <v/>
      </c>
      <c r="AQ191" s="23" t="n"/>
      <c r="AR191" s="23" t="n"/>
      <c r="AV191" s="23" t="n"/>
      <c r="AW191" s="23" t="n"/>
      <c r="AX191" s="23" t="n"/>
      <c r="AY191" s="23" t="n"/>
      <c r="AZ191" s="23" t="n"/>
      <c r="BA191" s="23" t="n"/>
      <c r="BB191" s="23" t="n"/>
      <c r="BC191" s="23" t="n"/>
      <c r="BD191" s="23" t="n"/>
      <c r="BE191" s="23" t="n"/>
      <c r="BF191" s="23" t="n"/>
      <c r="BG191" s="23" t="n"/>
      <c r="BH191" s="23" t="n"/>
      <c r="BI191" s="23" t="n"/>
      <c r="BJ191" s="23" t="n"/>
      <c r="BK191" s="23" t="n"/>
      <c r="BL191" s="23" t="n"/>
      <c r="BM191" s="23" t="n"/>
      <c r="BN191" s="23" t="n"/>
      <c r="BO191" s="544" t="n"/>
      <c r="BP191" s="23" t="n"/>
      <c r="BQ191" s="705" t="n"/>
      <c r="BR191" s="487" t="n"/>
      <c r="BS191" s="487" t="n"/>
      <c r="BT191" s="487" t="n"/>
    </row>
    <row r="192">
      <c r="A192" t="n">
        <v>3</v>
      </c>
      <c r="B192" s="701" t="n">
        <v>0.02457566580324555</v>
      </c>
      <c r="C192" s="702" t="n">
        <v>-0.09652111725252452</v>
      </c>
      <c r="D192" s="702" t="n">
        <v>0.7513939548176219</v>
      </c>
      <c r="E192" s="702" t="n">
        <v>0.04099596973095903</v>
      </c>
      <c r="F192" s="702" t="n">
        <v>0.03183981639194945</v>
      </c>
      <c r="G192" s="702" t="n">
        <v>-0.01490793648287274</v>
      </c>
      <c r="H192" s="702" t="n">
        <v>-0.01070362471181394</v>
      </c>
      <c r="I192" s="702" t="n">
        <v>0.04099588760127024</v>
      </c>
      <c r="J192" s="702" t="n">
        <v>-0.1769381139544338</v>
      </c>
      <c r="K192" s="702" t="n">
        <v>-0.00502694178414164</v>
      </c>
      <c r="L192" s="702" t="n">
        <v>-0.02543287522426306</v>
      </c>
      <c r="M192" s="702" t="n">
        <v>0.02457568899329068</v>
      </c>
      <c r="N192" s="702" t="n">
        <v>0.0004645280769878784</v>
      </c>
      <c r="O192" s="702" t="n">
        <v>0.003510649140802871</v>
      </c>
      <c r="P192" s="702" t="n">
        <v>-0.003131776947444384</v>
      </c>
      <c r="Q192" s="702" t="n">
        <v>0.005925683265346888</v>
      </c>
      <c r="R192" s="702" t="n">
        <v>-0.03084690565712</v>
      </c>
      <c r="S192" s="702" t="n">
        <v>-0.01237076956309819</v>
      </c>
      <c r="T192" s="702" t="n">
        <v>-0.1758077461635874</v>
      </c>
      <c r="U192" s="702" t="n">
        <v>-0.1696859131928916</v>
      </c>
      <c r="V192" s="702" t="n">
        <v>0.01560777072367281</v>
      </c>
      <c r="W192" s="702" t="n">
        <v>0.0139842410463509</v>
      </c>
      <c r="X192" s="702" t="n">
        <v>0.03161948580277269</v>
      </c>
      <c r="Y192" s="702" t="n">
        <v>-0.1111065924245316</v>
      </c>
      <c r="Z192" s="702" t="n">
        <v>0.04706658293239319</v>
      </c>
      <c r="AA192" s="702" t="n">
        <v>0.002828511919342053</v>
      </c>
      <c r="AB192" s="702" t="n">
        <v>0.0162368192897254</v>
      </c>
      <c r="AC192" s="702" t="n">
        <v>0.05506210495563658</v>
      </c>
      <c r="AD192" s="702" t="n">
        <v>0.1055595762979112</v>
      </c>
      <c r="AE192" s="702" t="n">
        <v>-0.1881094011907277</v>
      </c>
      <c r="AF192" s="702" t="n">
        <v>0.1114887984906825</v>
      </c>
      <c r="AG192" s="703" t="n">
        <v>0.02149233389022761</v>
      </c>
      <c r="AH192" s="704" t="n"/>
      <c r="AI192" s="3">
        <f t="array" ref="AI192">SQRT(INDEX(_xlfn.ANCHORARRAY($B$190),A192,A192))</f>
        <v/>
      </c>
      <c r="AJ192" s="543" t="n"/>
      <c r="AK192" s="3">
        <f>$AP$191*AI192</f>
        <v/>
      </c>
      <c r="AL192" s="105">
        <f>ABS(Y121/AK192)</f>
        <v/>
      </c>
      <c r="AM192" s="108">
        <f>IF(AL192&lt;2.5,"Spełniony","Nie spełniony")</f>
        <v/>
      </c>
      <c r="AN192" s="23" t="n"/>
      <c r="AO192" s="706">
        <f>IF(AP190&gt;AP191,"Warunek spełniony","NIESPEŁNIONY!")</f>
        <v/>
      </c>
      <c r="AP192" s="597" t="n"/>
      <c r="AQ192" s="23" t="n"/>
      <c r="BO192" s="544" t="n"/>
      <c r="BQ192" s="705" t="n"/>
      <c r="BR192" s="487" t="n"/>
      <c r="BS192" s="487" t="n"/>
      <c r="BT192" s="487" t="n"/>
    </row>
    <row r="193">
      <c r="A193" t="n">
        <v>4</v>
      </c>
      <c r="B193" s="708" t="n">
        <v>-0.05777410052184097</v>
      </c>
      <c r="C193" s="709" t="n">
        <v>0.006197984875864732</v>
      </c>
      <c r="D193" s="709" t="n">
        <v>0.04099596973095909</v>
      </c>
      <c r="E193" s="709" t="n">
        <v>0.7875261834197895</v>
      </c>
      <c r="F193" s="709" t="n">
        <v>-0.05697984711552381</v>
      </c>
      <c r="G193" s="709" t="n">
        <v>0.01481990015170782</v>
      </c>
      <c r="H193" s="709" t="n">
        <v>-0.1305687827018137</v>
      </c>
      <c r="I193" s="709" t="n">
        <v>-0.2124733909186504</v>
      </c>
      <c r="J193" s="709" t="n">
        <v>-0.141972820429437</v>
      </c>
      <c r="K193" s="709" t="n">
        <v>0.04624052989013312</v>
      </c>
      <c r="L193" s="709" t="n">
        <v>0.04894088027384612</v>
      </c>
      <c r="M193" s="709" t="n">
        <v>-0.05777415503853284</v>
      </c>
      <c r="N193" s="709" t="n">
        <v>-0.05352038462260495</v>
      </c>
      <c r="O193" s="709" t="n">
        <v>0.01998496947387048</v>
      </c>
      <c r="P193" s="709" t="n">
        <v>0.003968743173058571</v>
      </c>
      <c r="Q193" s="709" t="n">
        <v>0.001465632111719312</v>
      </c>
      <c r="R193" s="709" t="n">
        <v>-0.004197644325163031</v>
      </c>
      <c r="S193" s="709" t="n">
        <v>-0.02200033662296773</v>
      </c>
      <c r="T193" s="709" t="n">
        <v>-0.01220493019344813</v>
      </c>
      <c r="U193" s="709" t="n">
        <v>0.03422086272355983</v>
      </c>
      <c r="V193" s="709" t="n">
        <v>0.01874835833435558</v>
      </c>
      <c r="W193" s="709" t="n">
        <v>0.02524746127899625</v>
      </c>
      <c r="X193" s="709" t="n">
        <v>0.03221082715962682</v>
      </c>
      <c r="Y193" s="709" t="n">
        <v>0.05497302537539925</v>
      </c>
      <c r="Z193" s="709" t="n">
        <v>-0.2117974566131435</v>
      </c>
      <c r="AA193" s="709" t="n">
        <v>0.08061778446476567</v>
      </c>
      <c r="AB193" s="709" t="n">
        <v>-0.05037954957513523</v>
      </c>
      <c r="AC193" s="709" t="n">
        <v>-0.02622038115143797</v>
      </c>
      <c r="AD193" s="709" t="n">
        <v>-0.01974001542494036</v>
      </c>
      <c r="AE193" s="709" t="n">
        <v>0.03339385450287841</v>
      </c>
      <c r="AF193" s="709" t="n">
        <v>-0.04664854130186607</v>
      </c>
      <c r="AG193" s="710" t="n">
        <v>0.01299809111770724</v>
      </c>
      <c r="AH193" s="711" t="n"/>
      <c r="AI193" s="3">
        <f t="array" ref="AI193">SQRT(INDEX(_xlfn.ANCHORARRAY($B$190),A193,A193))</f>
        <v/>
      </c>
      <c r="AJ193" s="567" t="n"/>
      <c r="AK193" s="590">
        <f>$AP$191*AI193</f>
        <v/>
      </c>
      <c r="AL193" s="590">
        <f>ABS(Y122/AK193)</f>
        <v/>
      </c>
      <c r="AM193" s="590">
        <f>IF(AL193&lt;2.5,"Spełniony","Nie spełniony")</f>
        <v/>
      </c>
      <c r="AN193" s="590" t="n"/>
      <c r="AO193" s="590" t="n"/>
      <c r="AP193" s="590" t="n"/>
      <c r="AQ193" s="590" t="n"/>
      <c r="AR193" s="590" t="n"/>
      <c r="AS193" s="590" t="n"/>
      <c r="AT193" s="590" t="n"/>
      <c r="AU193" s="590" t="n"/>
      <c r="AV193" s="590" t="n"/>
      <c r="AW193" s="590" t="n"/>
      <c r="AX193" s="590" t="n"/>
      <c r="AY193" s="590" t="n"/>
      <c r="AZ193" s="590" t="n"/>
      <c r="BA193" s="590" t="n"/>
      <c r="BB193" s="590" t="n"/>
      <c r="BC193" s="590" t="n"/>
      <c r="BD193" s="590" t="n"/>
      <c r="BE193" s="590" t="n"/>
      <c r="BF193" s="590" t="n"/>
      <c r="BG193" s="590" t="n"/>
      <c r="BH193" s="590" t="n"/>
      <c r="BI193" s="590" t="n"/>
      <c r="BJ193" s="590" t="n"/>
      <c r="BK193" s="590" t="n"/>
      <c r="BL193" s="590" t="n"/>
      <c r="BM193" s="590" t="n"/>
      <c r="BN193" s="590" t="n"/>
      <c r="BO193" s="568" t="n"/>
      <c r="BQ193" s="712" t="n"/>
      <c r="BR193" s="668" t="n"/>
      <c r="BS193" s="668" t="n"/>
      <c r="BT193" s="668" t="n"/>
    </row>
    <row r="194">
      <c r="A194" t="n">
        <v>5</v>
      </c>
      <c r="B194" s="67" t="n">
        <v>-0.06952328063285008</v>
      </c>
      <c r="C194" s="25" t="n">
        <v>-0.03411503099053674</v>
      </c>
      <c r="D194" s="25" t="n">
        <v>0.03183981639194944</v>
      </c>
      <c r="E194" s="25" t="n">
        <v>-0.05697984711552387</v>
      </c>
      <c r="F194" s="25" t="n">
        <v>0.802359496529564</v>
      </c>
      <c r="G194" s="25" t="n">
        <v>0.01129084229096601</v>
      </c>
      <c r="H194" s="25" t="n">
        <v>-0.01517069797484978</v>
      </c>
      <c r="I194" s="25" t="n">
        <v>-0.05697973296437328</v>
      </c>
      <c r="J194" s="25" t="n">
        <v>-0.05175321368569884</v>
      </c>
      <c r="K194" s="25" t="n">
        <v>0.01374892591834673</v>
      </c>
      <c r="L194" s="25" t="n">
        <v>0.086706755338439</v>
      </c>
      <c r="M194" s="25" t="n">
        <v>-0.06952334623628195</v>
      </c>
      <c r="N194" s="25" t="n">
        <v>-0.02535121148557201</v>
      </c>
      <c r="O194" s="25" t="n">
        <v>0.0424734938882742</v>
      </c>
      <c r="P194" s="25" t="n">
        <v>-0.04229270036195854</v>
      </c>
      <c r="Q194" s="25" t="n">
        <v>-0.05234695305005969</v>
      </c>
      <c r="R194" s="25" t="n">
        <v>-0.08484614508981474</v>
      </c>
      <c r="S194" s="25" t="n">
        <v>-0.05426570177481109</v>
      </c>
      <c r="T194" s="25" t="n">
        <v>-0.1303474173559652</v>
      </c>
      <c r="U194" s="25" t="n">
        <v>-0.004448407965701104</v>
      </c>
      <c r="V194" s="25" t="n">
        <v>-0.09180776140412092</v>
      </c>
      <c r="W194" s="25" t="n">
        <v>-0.07844945446198598</v>
      </c>
      <c r="X194" s="25" t="n">
        <v>0.02862811631971891</v>
      </c>
      <c r="Y194" s="25" t="n">
        <v>0.105479312477367</v>
      </c>
      <c r="Z194" s="25" t="n">
        <v>0.07314023974529792</v>
      </c>
      <c r="AA194" s="25" t="n">
        <v>-0.03699045267627696</v>
      </c>
      <c r="AB194" s="25" t="n">
        <v>0.1089426732431557</v>
      </c>
      <c r="AC194" s="25" t="n">
        <v>-0.07428862373029876</v>
      </c>
      <c r="AD194" s="25" t="n">
        <v>-0.004591817569736756</v>
      </c>
      <c r="AE194" s="25" t="n">
        <v>0.09698943012648636</v>
      </c>
      <c r="AF194" s="25" t="n">
        <v>-0.1589934940157897</v>
      </c>
      <c r="AG194" s="45" t="n">
        <v>0.1001384146216119</v>
      </c>
      <c r="AI194" s="3">
        <f t="array" ref="AI194">SQRT(INDEX(_xlfn.ANCHORARRAY($B$190),A194,A194))</f>
        <v/>
      </c>
      <c r="AJ194" s="23" t="n"/>
      <c r="AK194" s="3">
        <f>$AP$191*AI194</f>
        <v/>
      </c>
      <c r="AL194" s="105">
        <f>ABS(Y123/AK194)</f>
        <v/>
      </c>
      <c r="AM194" s="108">
        <f>IF(AL194&lt;2.5,"Spełniony","Nie spełniony")</f>
        <v/>
      </c>
      <c r="AN194" s="23" t="n"/>
      <c r="AO194" s="23" t="n"/>
      <c r="AP194" s="23" t="n"/>
      <c r="AQ194" s="23" t="n"/>
    </row>
    <row r="195">
      <c r="A195" t="n">
        <v>6</v>
      </c>
      <c r="B195" s="67" t="n">
        <v>-0.1391854210289085</v>
      </c>
      <c r="C195" s="25" t="n">
        <v>-0.01246938966554768</v>
      </c>
      <c r="D195" s="25" t="n">
        <v>-0.01490793648287275</v>
      </c>
      <c r="E195" s="25" t="n">
        <v>0.01481990015170779</v>
      </c>
      <c r="F195" s="25" t="n">
        <v>0.01129084229096598</v>
      </c>
      <c r="G195" s="25" t="n">
        <v>0.7204375393810712</v>
      </c>
      <c r="H195" s="25" t="n">
        <v>-0.1542489182553471</v>
      </c>
      <c r="I195" s="25" t="n">
        <v>0.01481987046211149</v>
      </c>
      <c r="J195" s="25" t="n">
        <v>0.02758791408413159</v>
      </c>
      <c r="K195" s="25" t="n">
        <v>-0.005413090729433431</v>
      </c>
      <c r="L195" s="25" t="n">
        <v>-0.1341420791419223</v>
      </c>
      <c r="M195" s="25" t="n">
        <v>-0.1391855523668029</v>
      </c>
      <c r="N195" s="25" t="n">
        <v>-0.1269323521644199</v>
      </c>
      <c r="O195" s="25" t="n">
        <v>0.06131674947191285</v>
      </c>
      <c r="P195" s="25" t="n">
        <v>0.04586269462568149</v>
      </c>
      <c r="Q195" s="25" t="n">
        <v>0.01716376145306639</v>
      </c>
      <c r="R195" s="25" t="n">
        <v>0.003044616827058589</v>
      </c>
      <c r="S195" s="25" t="n">
        <v>-0.008453467679187809</v>
      </c>
      <c r="T195" s="25" t="n">
        <v>0.008949590647520036</v>
      </c>
      <c r="U195" s="25" t="n">
        <v>0.0213072858791067</v>
      </c>
      <c r="V195" s="25" t="n">
        <v>0.09408548944118129</v>
      </c>
      <c r="W195" s="25" t="n">
        <v>0.03226954826776365</v>
      </c>
      <c r="X195" s="25" t="n">
        <v>0.02437828252316308</v>
      </c>
      <c r="Y195" s="25" t="n">
        <v>-0.01952587491586952</v>
      </c>
      <c r="Z195" s="25" t="n">
        <v>0.1113386899200649</v>
      </c>
      <c r="AA195" s="25" t="n">
        <v>-0.2425461352363034</v>
      </c>
      <c r="AB195" s="25" t="n">
        <v>-0.1056013410370578</v>
      </c>
      <c r="AC195" s="25" t="n">
        <v>-0.02257235443881784</v>
      </c>
      <c r="AD195" s="25" t="n">
        <v>0.001915005311229312</v>
      </c>
      <c r="AE195" s="25" t="n">
        <v>-0.03952480560277691</v>
      </c>
      <c r="AF195" s="25" t="n">
        <v>0.02096200994161151</v>
      </c>
      <c r="AG195" s="45" t="n">
        <v>-0.02226412262880963</v>
      </c>
      <c r="AI195" s="3">
        <f t="array" ref="AI195">SQRT(INDEX(_xlfn.ANCHORARRAY($B$190),A195,A195))</f>
        <v/>
      </c>
      <c r="AJ195" s="23" t="n"/>
      <c r="AK195" s="3">
        <f>$AP$191*AI195</f>
        <v/>
      </c>
      <c r="AL195" s="105">
        <f>ABS(Y124/AK195)</f>
        <v/>
      </c>
      <c r="AM195" s="108">
        <f>IF(AL195&lt;2.5,"Spełniony","Nie spełniony")</f>
        <v/>
      </c>
      <c r="AN195" s="23" t="n"/>
      <c r="AO195" s="23" t="n"/>
      <c r="AP195" s="23" t="n"/>
      <c r="AQ195" s="23" t="n"/>
    </row>
    <row r="196">
      <c r="A196" t="n">
        <v>7</v>
      </c>
      <c r="B196" s="713" t="n">
        <v>0.04513482722653955</v>
      </c>
      <c r="C196" s="714" t="n">
        <v>-0.04880567663816517</v>
      </c>
      <c r="D196" s="660" t="n">
        <v>-0.01070362471181392</v>
      </c>
      <c r="E196" s="713" t="n">
        <v>-0.1305687827018137</v>
      </c>
      <c r="F196" s="715" t="n">
        <v>-0.01517069797484978</v>
      </c>
      <c r="G196" s="714" t="n">
        <v>-0.1542489182553471</v>
      </c>
      <c r="H196" s="25" t="n">
        <v>0.5488045118470295</v>
      </c>
      <c r="I196" s="25" t="n">
        <v>-0.1305685211255282</v>
      </c>
      <c r="J196" s="25" t="n">
        <v>-0.06389336761552863</v>
      </c>
      <c r="K196" s="25" t="n">
        <v>0.0345364513448911</v>
      </c>
      <c r="L196" s="25" t="n">
        <v>-0.01307748436890174</v>
      </c>
      <c r="M196" s="25" t="n">
        <v>0.04513486981658326</v>
      </c>
      <c r="N196" s="25" t="n">
        <v>-0.2369683737036326</v>
      </c>
      <c r="O196" s="25" t="n">
        <v>0.1187855786454277</v>
      </c>
      <c r="P196" s="25" t="n">
        <v>0.05729726388495118</v>
      </c>
      <c r="Q196" s="25" t="n">
        <v>-0.01161137309178633</v>
      </c>
      <c r="R196" s="25" t="n">
        <v>-0.05636606390860949</v>
      </c>
      <c r="S196" s="25" t="n">
        <v>0.002236830520097851</v>
      </c>
      <c r="T196" s="25" t="n">
        <v>0.02375312073380009</v>
      </c>
      <c r="U196" s="25" t="n">
        <v>0.04450607831694909</v>
      </c>
      <c r="V196" s="25" t="n">
        <v>0.00376730137924032</v>
      </c>
      <c r="W196" s="25" t="n">
        <v>-0.07689860150519917</v>
      </c>
      <c r="X196" s="25" t="n">
        <v>-0.02091187150566177</v>
      </c>
      <c r="Y196" s="25" t="n">
        <v>-0.0753436701728214</v>
      </c>
      <c r="Z196" s="25" t="n">
        <v>0.08661350374063956</v>
      </c>
      <c r="AA196" s="25" t="n">
        <v>0.08277333806380247</v>
      </c>
      <c r="AB196" s="25" t="n">
        <v>-0.2410178548476245</v>
      </c>
      <c r="AC196" s="25" t="n">
        <v>-0.1103917403286763</v>
      </c>
      <c r="AD196" s="25" t="n">
        <v>0.0134546043706768</v>
      </c>
      <c r="AE196" s="25" t="n">
        <v>-0.02262425904999591</v>
      </c>
      <c r="AF196" s="25" t="n">
        <v>-0.02633127146592364</v>
      </c>
      <c r="AG196" s="45" t="n">
        <v>-0.003982860413865221</v>
      </c>
      <c r="AI196" s="3">
        <f t="array" ref="AI196">SQRT(INDEX(_xlfn.ANCHORARRAY($B$190),A196,A196))</f>
        <v/>
      </c>
      <c r="AJ196" s="23" t="n"/>
      <c r="AK196" s="3">
        <f>$AP$191*AI196</f>
        <v/>
      </c>
      <c r="AL196" s="105">
        <f>ABS(Y125/AK196)</f>
        <v/>
      </c>
      <c r="AM196" s="108">
        <f>IF(AL196&lt;2.5,"Spełniony","Nie spełniony")</f>
        <v/>
      </c>
      <c r="AN196" s="23" t="n"/>
      <c r="AO196" s="23" t="n"/>
      <c r="AP196" s="23" t="n"/>
      <c r="AQ196" s="23" t="n"/>
    </row>
    <row r="197" ht="17.1" customHeight="1">
      <c r="A197" t="n">
        <v>8</v>
      </c>
      <c r="B197" s="716" t="n">
        <v>-0.05777398477951484</v>
      </c>
      <c r="C197" s="717" t="n">
        <v>0.006197972459069338</v>
      </c>
      <c r="D197" s="660" t="n">
        <v>0.04099588760127026</v>
      </c>
      <c r="E197" s="716" t="n">
        <v>-0.2124733909186504</v>
      </c>
      <c r="F197" s="716" t="n">
        <v>-0.05697973296437325</v>
      </c>
      <c r="G197" s="716" t="n">
        <v>0.01481987046211151</v>
      </c>
      <c r="H197" s="477" t="n">
        <v>-0.1305685211255282</v>
      </c>
      <c r="I197" s="25" t="n">
        <v>0.787527034742057</v>
      </c>
      <c r="J197" s="25" t="n">
        <v>-0.1419725360067575</v>
      </c>
      <c r="K197" s="25" t="n">
        <v>0.04624043725370192</v>
      </c>
      <c r="L197" s="25" t="n">
        <v>0.04894078222764076</v>
      </c>
      <c r="M197" s="25" t="n">
        <v>-0.05777403929609749</v>
      </c>
      <c r="N197" s="25" t="n">
        <v>-0.05352027740200357</v>
      </c>
      <c r="O197" s="25" t="n">
        <v>0.01998492943678067</v>
      </c>
      <c r="P197" s="25" t="n">
        <v>0.003968735222237001</v>
      </c>
      <c r="Q197" s="25" t="n">
        <v>0.001465629175530449</v>
      </c>
      <c r="R197" s="25" t="n">
        <v>-0.004197635915769974</v>
      </c>
      <c r="S197" s="25" t="n">
        <v>-0.0220002925483718</v>
      </c>
      <c r="T197" s="25" t="n">
        <v>-0.01220490574257832</v>
      </c>
      <c r="U197" s="25" t="n">
        <v>0.03422079416684985</v>
      </c>
      <c r="V197" s="25" t="n">
        <v>0.01874832077464308</v>
      </c>
      <c r="W197" s="25" t="n">
        <v>0.02524741069924043</v>
      </c>
      <c r="X197" s="25" t="n">
        <v>0.03221076262974183</v>
      </c>
      <c r="Y197" s="25" t="n">
        <v>0.05497291524463527</v>
      </c>
      <c r="Z197" s="25" t="n">
        <v>-0.2117970323065759</v>
      </c>
      <c r="AA197" s="25" t="n">
        <v>0.08061762295831532</v>
      </c>
      <c r="AB197" s="25" t="n">
        <v>-0.05037944864675749</v>
      </c>
      <c r="AC197" s="25" t="n">
        <v>-0.02622032862257328</v>
      </c>
      <c r="AD197" s="25" t="n">
        <v>-0.01973997587858165</v>
      </c>
      <c r="AE197" s="25" t="n">
        <v>0.03339378760296367</v>
      </c>
      <c r="AF197" s="25" t="n">
        <v>-0.04664844784804104</v>
      </c>
      <c r="AG197" s="45" t="n">
        <v>0.01299806507785049</v>
      </c>
      <c r="AI197" s="3">
        <f t="array" ref="AI197">SQRT(INDEX(_xlfn.ANCHORARRAY($B$190),A197,A197))</f>
        <v/>
      </c>
      <c r="AJ197" s="23" t="n"/>
      <c r="AK197" s="3">
        <f>$AP$191*AI197</f>
        <v/>
      </c>
      <c r="AL197" s="105">
        <f>ABS(Y126/AK197)</f>
        <v/>
      </c>
      <c r="AM197" s="108">
        <f>IF(AL197&lt;2.5,"Spełniony","Nie spełniony")</f>
        <v/>
      </c>
      <c r="AN197" s="23" t="n"/>
      <c r="AO197" s="23" t="n"/>
      <c r="AP197" s="23" t="n"/>
      <c r="AQ197" s="23" t="n"/>
    </row>
    <row r="198" ht="17.1" customHeight="1">
      <c r="A198" t="n">
        <v>9</v>
      </c>
      <c r="B198" s="718" t="n">
        <v>-0.0458575722388867</v>
      </c>
      <c r="C198" s="719" t="n">
        <v>-0.1013137728472479</v>
      </c>
      <c r="D198" s="660" t="n">
        <v>-0.1769381139544337</v>
      </c>
      <c r="E198" s="720" t="n">
        <v>-0.141972820429437</v>
      </c>
      <c r="F198" s="720" t="n">
        <v>-0.05175321368569884</v>
      </c>
      <c r="G198" s="721" t="n">
        <v>0.02758791408413161</v>
      </c>
      <c r="H198" s="722" t="n">
        <v>-0.06389336761552865</v>
      </c>
      <c r="I198" s="25" t="n">
        <v>-0.1419725360067575</v>
      </c>
      <c r="J198" s="25" t="n">
        <v>0.7026774564374628</v>
      </c>
      <c r="K198" s="25" t="n">
        <v>0.03574816053024776</v>
      </c>
      <c r="L198" s="25" t="n">
        <v>0.03199067605764664</v>
      </c>
      <c r="M198" s="25" t="n">
        <v>-0.04585761551092581</v>
      </c>
      <c r="N198" s="25" t="n">
        <v>-0.01498568396165492</v>
      </c>
      <c r="O198" s="25" t="n">
        <v>0.003769014410148375</v>
      </c>
      <c r="P198" s="25" t="n">
        <v>-0.007470073491341295</v>
      </c>
      <c r="Q198" s="25" t="n">
        <v>0.01355631196258182</v>
      </c>
      <c r="R198" s="25" t="n">
        <v>-0.04853455877054021</v>
      </c>
      <c r="S198" s="25" t="n">
        <v>-0.03051075086446346</v>
      </c>
      <c r="T198" s="25" t="n">
        <v>-0.1612015325117617</v>
      </c>
      <c r="U198" s="25" t="n">
        <v>-0.08273239658714872</v>
      </c>
      <c r="V198" s="25" t="n">
        <v>0.02760432529236539</v>
      </c>
      <c r="W198" s="25" t="n">
        <v>0.04518358820132175</v>
      </c>
      <c r="X198" s="25" t="n">
        <v>0.07129452284402882</v>
      </c>
      <c r="Y198" s="25" t="n">
        <v>-0.06509343308607424</v>
      </c>
      <c r="Z198" s="25" t="n">
        <v>-0.1454617617276776</v>
      </c>
      <c r="AA198" s="25" t="n">
        <v>0.0664727584760359</v>
      </c>
      <c r="AB198" s="25" t="n">
        <v>0.08555918799064387</v>
      </c>
      <c r="AC198" s="25" t="n">
        <v>-0.04137203083868075</v>
      </c>
      <c r="AD198" s="25" t="n">
        <v>0.07970723005880424</v>
      </c>
      <c r="AE198" s="25" t="n">
        <v>-0.1446979313528874</v>
      </c>
      <c r="AF198" s="25" t="n">
        <v>0.02640696951592133</v>
      </c>
      <c r="AG198" s="45" t="n">
        <v>0.04113233734175616</v>
      </c>
      <c r="AI198" s="3">
        <f t="array" ref="AI198">SQRT(INDEX(_xlfn.ANCHORARRAY($B$190),A198,A198))</f>
        <v/>
      </c>
      <c r="AJ198" s="23" t="n"/>
      <c r="AK198" s="3">
        <f>$AP$191*AI198</f>
        <v/>
      </c>
      <c r="AL198" s="105">
        <f>ABS(Y127/AK198)</f>
        <v/>
      </c>
      <c r="AM198" s="108">
        <f>IF(AL198&lt;2.5,"Spełniony","Nie spełniony")</f>
        <v/>
      </c>
      <c r="AN198" s="23" t="n"/>
      <c r="AO198" s="23" t="n"/>
      <c r="AP198" s="23" t="n"/>
      <c r="AQ198" s="23" t="n"/>
    </row>
    <row r="199">
      <c r="A199" t="n">
        <v>10</v>
      </c>
      <c r="B199" s="723" t="n">
        <v>-0.09247792043263479</v>
      </c>
      <c r="C199" s="714" t="n">
        <v>0.008866755135934228</v>
      </c>
      <c r="D199" s="660" t="n">
        <v>-0.005026941784141649</v>
      </c>
      <c r="E199" s="720" t="n">
        <v>0.04624052989013311</v>
      </c>
      <c r="F199" s="720" t="n">
        <v>0.01374892591834671</v>
      </c>
      <c r="G199" s="721" t="n">
        <v>-0.005413090729433544</v>
      </c>
      <c r="H199" s="722" t="n">
        <v>0.03453645134489107</v>
      </c>
      <c r="I199" s="25" t="n">
        <v>0.0462404372537019</v>
      </c>
      <c r="J199" s="25" t="n">
        <v>0.0357481605302477</v>
      </c>
      <c r="K199" s="25" t="n">
        <v>0.6521530572688174</v>
      </c>
      <c r="L199" s="25" t="n">
        <v>-0.2494766455845848</v>
      </c>
      <c r="M199" s="25" t="n">
        <v>-0.09247800769648208</v>
      </c>
      <c r="N199" s="25" t="n">
        <v>-0.09985041514927476</v>
      </c>
      <c r="O199" s="25" t="n">
        <v>-0.1155999412317621</v>
      </c>
      <c r="P199" s="25" t="n">
        <v>-0.04853705201903781</v>
      </c>
      <c r="Q199" s="25" t="n">
        <v>0.02038746693808226</v>
      </c>
      <c r="R199" s="25" t="n">
        <v>0.02759419630632307</v>
      </c>
      <c r="S199" s="25" t="n">
        <v>0.01082470887694631</v>
      </c>
      <c r="T199" s="25" t="n">
        <v>0.002530279397702316</v>
      </c>
      <c r="U199" s="25" t="n">
        <v>-0.002023514851482143</v>
      </c>
      <c r="V199" s="25" t="n">
        <v>-0.2860384841038133</v>
      </c>
      <c r="W199" s="25" t="n">
        <v>0.06431001943977402</v>
      </c>
      <c r="X199" s="25" t="n">
        <v>0.01838902035279077</v>
      </c>
      <c r="Y199" s="25" t="n">
        <v>0.004984258019839597</v>
      </c>
      <c r="Z199" s="25" t="n">
        <v>0.04120835305477778</v>
      </c>
      <c r="AA199" s="25" t="n">
        <v>0.1571468332366311</v>
      </c>
      <c r="AB199" s="25" t="n">
        <v>0.004804267463149201</v>
      </c>
      <c r="AC199" s="25" t="n">
        <v>0.01594726958614687</v>
      </c>
      <c r="AD199" s="25" t="n">
        <v>0.003786064187979127</v>
      </c>
      <c r="AE199" s="25" t="n">
        <v>-0.01562322510346389</v>
      </c>
      <c r="AF199" s="25" t="n">
        <v>0.01381372646361686</v>
      </c>
      <c r="AG199" s="45" t="n">
        <v>0.002545076088209254</v>
      </c>
      <c r="AI199" s="3">
        <f t="array" ref="AI199">SQRT(INDEX(_xlfn.ANCHORARRAY($B$190),A199,A199))</f>
        <v/>
      </c>
      <c r="AJ199" s="23" t="n"/>
      <c r="AK199" s="3">
        <f>$AP$191*AI199</f>
        <v/>
      </c>
      <c r="AL199" s="105">
        <f>ABS(Y128/AK199)</f>
        <v/>
      </c>
      <c r="AM199" s="108">
        <f>IF(AL199&lt;2.5,"Spełniony","Nie spełniony")</f>
        <v/>
      </c>
      <c r="AN199" s="23" t="n"/>
      <c r="AO199" s="23" t="n"/>
      <c r="AP199" s="23" t="n"/>
      <c r="AQ199" s="23" t="n"/>
    </row>
    <row r="200">
      <c r="A200" t="n">
        <v>11</v>
      </c>
      <c r="B200" s="67" t="n">
        <v>-0.2139351986037583</v>
      </c>
      <c r="C200" s="25" t="n">
        <v>-0.005487470994036667</v>
      </c>
      <c r="D200" s="25" t="n">
        <v>-0.02543287522426305</v>
      </c>
      <c r="E200" s="720" t="n">
        <v>0.0489408802738461</v>
      </c>
      <c r="F200" s="720" t="n">
        <v>0.08670675533843897</v>
      </c>
      <c r="G200" s="721" t="n">
        <v>-0.1341420791419224</v>
      </c>
      <c r="H200" s="722" t="n">
        <v>-0.01307748436890176</v>
      </c>
      <c r="I200" s="25" t="n">
        <v>0.04894078222764073</v>
      </c>
      <c r="J200" s="25" t="n">
        <v>0.03199067605764662</v>
      </c>
      <c r="K200" s="25" t="n">
        <v>-0.2494766455845849</v>
      </c>
      <c r="L200" s="25" t="n">
        <v>0.5183370854035749</v>
      </c>
      <c r="M200" s="25" t="n">
        <v>-0.2139354004769019</v>
      </c>
      <c r="N200" s="25" t="n">
        <v>0.07429023601880488</v>
      </c>
      <c r="O200" s="25" t="n">
        <v>0.01771801170747705</v>
      </c>
      <c r="P200" s="25" t="n">
        <v>0.01952728897007351</v>
      </c>
      <c r="Q200" s="25" t="n">
        <v>-0.008039847935152784</v>
      </c>
      <c r="R200" s="25" t="n">
        <v>-0.003684414313008047</v>
      </c>
      <c r="S200" s="25" t="n">
        <v>0.03763639649263957</v>
      </c>
      <c r="T200" s="25" t="n">
        <v>0.0600446410205616</v>
      </c>
      <c r="U200" s="25" t="n">
        <v>-0.01392196184807662</v>
      </c>
      <c r="V200" s="25" t="n">
        <v>0.05143716502752284</v>
      </c>
      <c r="W200" s="25" t="n">
        <v>-0.07059451571424262</v>
      </c>
      <c r="X200" s="25" t="n">
        <v>-0.06639698162977049</v>
      </c>
      <c r="Y200" s="25" t="n">
        <v>-0.0917764052421618</v>
      </c>
      <c r="Z200" s="25" t="n">
        <v>0.0183595312186532</v>
      </c>
      <c r="AA200" s="25" t="n">
        <v>0.1589712063399989</v>
      </c>
      <c r="AB200" s="25" t="n">
        <v>-0.03839510492470238</v>
      </c>
      <c r="AC200" s="25" t="n">
        <v>0.005381716429700759</v>
      </c>
      <c r="AD200" s="25" t="n">
        <v>0.01595335976699706</v>
      </c>
      <c r="AE200" s="25" t="n">
        <v>-0.02718600500765839</v>
      </c>
      <c r="AF200" s="25" t="n">
        <v>0.0523964272787533</v>
      </c>
      <c r="AG200" s="45" t="n">
        <v>-0.02990896071622517</v>
      </c>
      <c r="AI200" s="3">
        <f t="array" ref="AI200">SQRT(INDEX(_xlfn.ANCHORARRAY($B$190),A200,A200))</f>
        <v/>
      </c>
      <c r="AJ200" s="23" t="n"/>
      <c r="AK200" s="3">
        <f>$AP$191*AI200</f>
        <v/>
      </c>
      <c r="AL200" s="105">
        <f>ABS(Y129/AK200)</f>
        <v/>
      </c>
      <c r="AM200" s="108">
        <f>IF(AL200&lt;2.5,"Spełniony","Nie spełniony")</f>
        <v/>
      </c>
      <c r="AN200" s="23" t="n"/>
      <c r="AO200" s="23" t="n"/>
      <c r="AP200" s="23" t="n"/>
      <c r="AQ200" s="23" t="n"/>
    </row>
    <row r="201">
      <c r="A201" t="n">
        <v>12</v>
      </c>
      <c r="B201" s="67" t="n">
        <v>-0.2682017639604348</v>
      </c>
      <c r="C201" s="25" t="n">
        <v>0.00423348818406085</v>
      </c>
      <c r="D201" s="660" t="n">
        <v>0.02457568899329074</v>
      </c>
      <c r="E201" s="720" t="n">
        <v>-0.05777415503853287</v>
      </c>
      <c r="F201" s="720" t="n">
        <v>-0.06952334623628198</v>
      </c>
      <c r="G201" s="721" t="n">
        <v>-0.1391855523668029</v>
      </c>
      <c r="H201" s="722" t="n">
        <v>0.04513486981658326</v>
      </c>
      <c r="I201" s="25" t="n">
        <v>-0.05777403929609751</v>
      </c>
      <c r="J201" s="25" t="n">
        <v>-0.04585761551092579</v>
      </c>
      <c r="K201" s="25" t="n">
        <v>-0.09247800769648205</v>
      </c>
      <c r="L201" s="25" t="n">
        <v>-0.2139354004769018</v>
      </c>
      <c r="M201" s="25" t="n">
        <v>0.7317979829595036</v>
      </c>
      <c r="N201" s="25" t="n">
        <v>0.03069162001420452</v>
      </c>
      <c r="O201" s="25" t="n">
        <v>0.01514615923760856</v>
      </c>
      <c r="P201" s="25" t="n">
        <v>-0.008584050581693252</v>
      </c>
      <c r="Q201" s="25" t="n">
        <v>-0.008366940408020121</v>
      </c>
      <c r="R201" s="25" t="n">
        <v>-0.009750321593719032</v>
      </c>
      <c r="S201" s="25" t="n">
        <v>-0.02782183750643375</v>
      </c>
      <c r="T201" s="25" t="n">
        <v>-0.04564594650574687</v>
      </c>
      <c r="U201" s="25" t="n">
        <v>0.003560201693754306</v>
      </c>
      <c r="V201" s="25" t="n">
        <v>0.05096719767876992</v>
      </c>
      <c r="W201" s="25" t="n">
        <v>0.01213803132965428</v>
      </c>
      <c r="X201" s="25" t="n">
        <v>0.03062654248306169</v>
      </c>
      <c r="Y201" s="25" t="n">
        <v>0.06804149762647067</v>
      </c>
      <c r="Z201" s="25" t="n">
        <v>-0.06589844662273041</v>
      </c>
      <c r="AA201" s="25" t="n">
        <v>-0.09587482249522614</v>
      </c>
      <c r="AB201" s="25" t="n">
        <v>0.05907140034574349</v>
      </c>
      <c r="AC201" s="25" t="n">
        <v>-0.002928766162003663</v>
      </c>
      <c r="AD201" s="25" t="n">
        <v>-0.01325415747711923</v>
      </c>
      <c r="AE201" s="25" t="n">
        <v>0.0381535265899287</v>
      </c>
      <c r="AF201" s="25" t="n">
        <v>-0.04887378102106633</v>
      </c>
      <c r="AG201" s="45" t="n">
        <v>0.02697320011781201</v>
      </c>
      <c r="AI201" s="3">
        <f t="array" ref="AI201">SQRT(INDEX(_xlfn.ANCHORARRAY($B$190),A201,A201))</f>
        <v/>
      </c>
      <c r="AJ201" s="23" t="n"/>
      <c r="AK201" s="3">
        <f>$AP$191*AI201</f>
        <v/>
      </c>
      <c r="AL201" s="105">
        <f>ABS(Y130/AK201)</f>
        <v/>
      </c>
      <c r="AM201" s="108">
        <f>IF(AL201&lt;2.5,"Spełniony","Nie spełniony")</f>
        <v/>
      </c>
      <c r="AN201" s="23" t="n"/>
      <c r="AO201" s="23" t="n"/>
      <c r="AP201" s="23" t="n"/>
      <c r="AQ201" s="23" t="n"/>
    </row>
    <row r="202">
      <c r="A202" t="n">
        <v>13</v>
      </c>
      <c r="B202" s="67" t="n">
        <v>0.03069159105306112</v>
      </c>
      <c r="C202" s="25" t="n">
        <v>-0.01409598140508837</v>
      </c>
      <c r="D202" s="660" t="n">
        <v>0.0004645280769878931</v>
      </c>
      <c r="E202" s="720" t="n">
        <v>-0.05352038462260494</v>
      </c>
      <c r="F202" s="720" t="n">
        <v>-0.02535121148557204</v>
      </c>
      <c r="G202" s="721" t="n">
        <v>-0.1269323521644199</v>
      </c>
      <c r="H202" s="722" t="n">
        <v>-0.2369683737036325</v>
      </c>
      <c r="I202" s="25" t="n">
        <v>-0.05352027740200355</v>
      </c>
      <c r="J202" s="25" t="n">
        <v>-0.01498568396165487</v>
      </c>
      <c r="K202" s="25" t="n">
        <v>-0.09985041514927465</v>
      </c>
      <c r="L202" s="25" t="n">
        <v>0.07429023601880491</v>
      </c>
      <c r="M202" s="25" t="n">
        <v>0.03069162001420451</v>
      </c>
      <c r="N202" s="25" t="n">
        <v>0.5567465810811407</v>
      </c>
      <c r="O202" s="25" t="n">
        <v>-0.2731597589923362</v>
      </c>
      <c r="P202" s="25" t="n">
        <v>-0.1340340518869921</v>
      </c>
      <c r="Q202" s="25" t="n">
        <v>0.02879010220767073</v>
      </c>
      <c r="R202" s="25" t="n">
        <v>0.0125495510552067</v>
      </c>
      <c r="S202" s="25" t="n">
        <v>0.02839407679219616</v>
      </c>
      <c r="T202" s="25" t="n">
        <v>0.0004032975762045019</v>
      </c>
      <c r="U202" s="25" t="n">
        <v>0.02642131153181677</v>
      </c>
      <c r="V202" s="25" t="n">
        <v>-0.09113728435970811</v>
      </c>
      <c r="W202" s="25" t="n">
        <v>0.08762828794873652</v>
      </c>
      <c r="X202" s="25" t="n">
        <v>0.02731756299982889</v>
      </c>
      <c r="Y202" s="25" t="n">
        <v>-0.01331065505034182</v>
      </c>
      <c r="Z202" s="25" t="n">
        <v>0.08301089044977669</v>
      </c>
      <c r="AA202" s="25" t="n">
        <v>-0.09350880198829219</v>
      </c>
      <c r="AB202" s="25" t="n">
        <v>-0.1267049305793843</v>
      </c>
      <c r="AC202" s="25" t="n">
        <v>-0.05722642702837624</v>
      </c>
      <c r="AD202" s="25" t="n">
        <v>0.01779239553503903</v>
      </c>
      <c r="AE202" s="25" t="n">
        <v>-0.01477194774928115</v>
      </c>
      <c r="AF202" s="25" t="n">
        <v>-0.03541463818785463</v>
      </c>
      <c r="AG202" s="45" t="n">
        <v>0.04016016146369498</v>
      </c>
      <c r="AI202" s="3">
        <f t="array" ref="AI202">SQRT(INDEX(_xlfn.ANCHORARRAY($B$190),A202,A202))</f>
        <v/>
      </c>
      <c r="AJ202" s="23" t="n"/>
      <c r="AK202" s="3">
        <f>$AP$191*AI202</f>
        <v/>
      </c>
      <c r="AL202" s="105">
        <f>ABS(Y131/AK202)</f>
        <v/>
      </c>
      <c r="AM202" s="108">
        <f>IF(AL202&lt;2.5,"Spełniony","Nie spełniony")</f>
        <v/>
      </c>
      <c r="AN202" s="23" t="n"/>
      <c r="AO202" s="23" t="n"/>
      <c r="AP202" s="23" t="n"/>
      <c r="AQ202" s="23" t="n"/>
    </row>
    <row r="203">
      <c r="A203" t="n">
        <v>14</v>
      </c>
      <c r="B203" s="67" t="n">
        <v>0.01514614494543075</v>
      </c>
      <c r="C203" s="25" t="n">
        <v>0.01982617550785673</v>
      </c>
      <c r="D203" s="660" t="n">
        <v>0.003510649140802912</v>
      </c>
      <c r="E203" s="720" t="n">
        <v>0.01998496947387045</v>
      </c>
      <c r="F203" s="720" t="n">
        <v>0.04247349388827415</v>
      </c>
      <c r="G203" s="721" t="n">
        <v>0.06131674947191276</v>
      </c>
      <c r="H203" s="722" t="n">
        <v>0.1187855786454276</v>
      </c>
      <c r="I203" s="25" t="n">
        <v>0.01998492943678064</v>
      </c>
      <c r="J203" s="25" t="n">
        <v>0.003769014410148399</v>
      </c>
      <c r="K203" s="25" t="n">
        <v>-0.1155999412317619</v>
      </c>
      <c r="L203" s="25" t="n">
        <v>0.01771801170747706</v>
      </c>
      <c r="M203" s="25" t="n">
        <v>0.01514615923760853</v>
      </c>
      <c r="N203" s="25" t="n">
        <v>-0.2731597589923362</v>
      </c>
      <c r="O203" s="25" t="n">
        <v>0.4336847153106745</v>
      </c>
      <c r="P203" s="25" t="n">
        <v>-0.2905906719442367</v>
      </c>
      <c r="Q203" s="25" t="n">
        <v>0.01590599732379967</v>
      </c>
      <c r="R203" s="25" t="n">
        <v>0.0429568323141523</v>
      </c>
      <c r="S203" s="25" t="n">
        <v>0.0949930163063203</v>
      </c>
      <c r="T203" s="25" t="n">
        <v>0.03579506128178224</v>
      </c>
      <c r="U203" s="25" t="n">
        <v>-0.03239119616868816</v>
      </c>
      <c r="V203" s="25" t="n">
        <v>0.1156614215500512</v>
      </c>
      <c r="W203" s="25" t="n">
        <v>0.05511647202608971</v>
      </c>
      <c r="X203" s="25" t="n">
        <v>-0.05322007639087666</v>
      </c>
      <c r="Y203" s="25" t="n">
        <v>-0.04289283619760276</v>
      </c>
      <c r="Z203" s="25" t="n">
        <v>-0.07573538474841021</v>
      </c>
      <c r="AA203" s="25" t="n">
        <v>0.001070403760748684</v>
      </c>
      <c r="AB203" s="25" t="n">
        <v>0.06663729985252034</v>
      </c>
      <c r="AC203" s="25" t="n">
        <v>0.01554422473829416</v>
      </c>
      <c r="AD203" s="25" t="n">
        <v>0.03343696626775949</v>
      </c>
      <c r="AE203" s="25" t="n">
        <v>0.02334396590259041</v>
      </c>
      <c r="AF203" s="25" t="n">
        <v>-0.01756903318158461</v>
      </c>
      <c r="AG203" s="45" t="n">
        <v>0.06770564858931344</v>
      </c>
      <c r="AI203" s="3">
        <f t="array" ref="AI203">SQRT(INDEX(_xlfn.ANCHORARRAY($B$190),A203,A203))</f>
        <v/>
      </c>
      <c r="AJ203" s="23" t="n"/>
      <c r="AK203" s="3">
        <f>$AP$191*AI203</f>
        <v/>
      </c>
      <c r="AL203" s="105">
        <f>ABS(Y132/AK203)</f>
        <v/>
      </c>
      <c r="AM203" s="108">
        <f>IF(AL203&lt;2.5,"Spełniony","Nie spełniony")</f>
        <v/>
      </c>
      <c r="AN203" s="23" t="n"/>
      <c r="AO203" s="23" t="n"/>
      <c r="AP203" s="23" t="n"/>
      <c r="AQ203" s="23" t="n"/>
    </row>
    <row r="204">
      <c r="A204" t="n">
        <v>15</v>
      </c>
      <c r="B204" s="67" t="n">
        <v>-0.008584042481634704</v>
      </c>
      <c r="C204" s="25" t="n">
        <v>-0.0185844114865473</v>
      </c>
      <c r="D204" s="660" t="n">
        <v>-0.003131776947444334</v>
      </c>
      <c r="E204" s="720" t="n">
        <v>0.003968743173058516</v>
      </c>
      <c r="F204" s="720" t="n">
        <v>-0.04229270036195859</v>
      </c>
      <c r="G204" s="721" t="n">
        <v>0.0458626946256815</v>
      </c>
      <c r="H204" s="722" t="n">
        <v>0.05729726388495111</v>
      </c>
      <c r="I204" s="25" t="n">
        <v>0.003968735222236945</v>
      </c>
      <c r="J204" s="25" t="n">
        <v>-0.007470073491341288</v>
      </c>
      <c r="K204" s="25" t="n">
        <v>-0.04853705201903779</v>
      </c>
      <c r="L204" s="25" t="n">
        <v>0.01952728897007348</v>
      </c>
      <c r="M204" s="25" t="n">
        <v>-0.00858405058169328</v>
      </c>
      <c r="N204" s="25" t="n">
        <v>-0.134034051886992</v>
      </c>
      <c r="O204" s="25" t="n">
        <v>-0.2905906719442366</v>
      </c>
      <c r="P204" s="25" t="n">
        <v>0.5884006026819264</v>
      </c>
      <c r="Q204" s="25" t="n">
        <v>-0.0633868508631289</v>
      </c>
      <c r="R204" s="25" t="n">
        <v>-0.08945895751375976</v>
      </c>
      <c r="S204" s="25" t="n">
        <v>-0.1737338358272418</v>
      </c>
      <c r="T204" s="25" t="n">
        <v>-0.05393611486041243</v>
      </c>
      <c r="U204" s="25" t="n">
        <v>0.02066744994302152</v>
      </c>
      <c r="V204" s="25" t="n">
        <v>0.06752822741202757</v>
      </c>
      <c r="W204" s="25" t="n">
        <v>-0.2038316737004919</v>
      </c>
      <c r="X204" s="25" t="n">
        <v>0.04007315193529282</v>
      </c>
      <c r="Y204" s="25" t="n">
        <v>0.07408893127021715</v>
      </c>
      <c r="Z204" s="25" t="n">
        <v>0.003456667753064635</v>
      </c>
      <c r="AA204" s="25" t="n">
        <v>0.01868469532988976</v>
      </c>
      <c r="AB204" s="25" t="n">
        <v>0.03281542044394278</v>
      </c>
      <c r="AC204" s="25" t="n">
        <v>0.02927304893432862</v>
      </c>
      <c r="AD204" s="25" t="n">
        <v>-0.06929497112414762</v>
      </c>
      <c r="AE204" s="25" t="n">
        <v>-0.01093209559136134</v>
      </c>
      <c r="AF204" s="25" t="n">
        <v>0.05586893460949134</v>
      </c>
      <c r="AG204" s="45" t="n">
        <v>-0.1421084268527533</v>
      </c>
      <c r="AI204" s="3">
        <f t="array" ref="AI204">SQRT(INDEX(_xlfn.ANCHORARRAY($B$190),A204,A204))</f>
        <v/>
      </c>
      <c r="AJ204" s="23" t="n"/>
      <c r="AK204" s="3">
        <f>$AP$191*AI204</f>
        <v/>
      </c>
      <c r="AL204" s="105">
        <f>ABS(Y133/AK204)</f>
        <v/>
      </c>
      <c r="AM204" s="108">
        <f>IF(AL204&lt;2.5,"Spełniony","Nie spełniony")</f>
        <v/>
      </c>
      <c r="AN204" s="23" t="n"/>
      <c r="AO204" s="23" t="n"/>
      <c r="AP204" s="23" t="n"/>
      <c r="AQ204" s="23" t="n"/>
    </row>
    <row r="205">
      <c r="A205" t="n">
        <v>16</v>
      </c>
      <c r="B205" s="67" t="n">
        <v>-0.008366932512830473</v>
      </c>
      <c r="C205" s="25" t="n">
        <v>0.003837056241899346</v>
      </c>
      <c r="D205" s="660" t="n">
        <v>0.005925683265346871</v>
      </c>
      <c r="E205" s="720" t="n">
        <v>0.001465632111719309</v>
      </c>
      <c r="F205" s="720" t="n">
        <v>-0.05234695305005975</v>
      </c>
      <c r="G205" s="721" t="n">
        <v>0.01716376145306642</v>
      </c>
      <c r="H205" s="722" t="n">
        <v>-0.01161137309178632</v>
      </c>
      <c r="I205" s="25" t="n">
        <v>0.001465629175530461</v>
      </c>
      <c r="J205" s="25" t="n">
        <v>0.01355631196258181</v>
      </c>
      <c r="K205" s="25" t="n">
        <v>0.02038746693808223</v>
      </c>
      <c r="L205" s="25" t="n">
        <v>-0.008039847935152764</v>
      </c>
      <c r="M205" s="25" t="n">
        <v>-0.008366940408020114</v>
      </c>
      <c r="N205" s="25" t="n">
        <v>0.02879010220767079</v>
      </c>
      <c r="O205" s="25" t="n">
        <v>0.01590599732379978</v>
      </c>
      <c r="P205" s="25" t="n">
        <v>-0.06338685086312891</v>
      </c>
      <c r="Q205" s="25" t="n">
        <v>0.6535965526220093</v>
      </c>
      <c r="R205" s="25" t="n">
        <v>-0.221384468774407</v>
      </c>
      <c r="S205" s="25" t="n">
        <v>-0.1212732773161305</v>
      </c>
      <c r="T205" s="25" t="n">
        <v>-0.05885822557545146</v>
      </c>
      <c r="U205" s="25" t="n">
        <v>0.04390850887548935</v>
      </c>
      <c r="V205" s="25" t="n">
        <v>0.03501507130638257</v>
      </c>
      <c r="W205" s="25" t="n">
        <v>0.07769988718173036</v>
      </c>
      <c r="X205" s="25" t="n">
        <v>-0.3234943389455387</v>
      </c>
      <c r="Y205" s="25" t="n">
        <v>0.1178159900777392</v>
      </c>
      <c r="Z205" s="25" t="n">
        <v>0.05046742861932432</v>
      </c>
      <c r="AA205" s="25" t="n">
        <v>0.04249596176036219</v>
      </c>
      <c r="AB205" s="25" t="n">
        <v>-0.02846735973433352</v>
      </c>
      <c r="AC205" s="25" t="n">
        <v>0.03455265326717116</v>
      </c>
      <c r="AD205" s="25" t="n">
        <v>-0.06069251331754116</v>
      </c>
      <c r="AE205" s="25" t="n">
        <v>-0.04077265814975146</v>
      </c>
      <c r="AF205" s="25" t="n">
        <v>0.04831507326156799</v>
      </c>
      <c r="AG205" s="45" t="n">
        <v>0.09132340710983848</v>
      </c>
      <c r="AI205" s="3">
        <f t="array" ref="AI205">SQRT(INDEX(_xlfn.ANCHORARRAY($B$190),A205,A205))</f>
        <v/>
      </c>
      <c r="AJ205" s="23" t="n"/>
      <c r="AK205" s="3">
        <f>$AP$191*AI205</f>
        <v/>
      </c>
      <c r="AL205" s="105">
        <f>ABS(Y134/AK205)</f>
        <v/>
      </c>
      <c r="AM205" s="108">
        <f>IF(AL205&lt;2.5,"Spełniony","Nie spełniony")</f>
        <v/>
      </c>
      <c r="AN205" s="23" t="n"/>
      <c r="AO205" s="23" t="n"/>
      <c r="AP205" s="23" t="n"/>
      <c r="AQ205" s="23" t="n"/>
    </row>
    <row r="206">
      <c r="A206" t="n">
        <v>17</v>
      </c>
      <c r="B206" s="67" t="n">
        <v>-0.009750312393146936</v>
      </c>
      <c r="C206" s="25" t="n">
        <v>-0.108952673352034</v>
      </c>
      <c r="D206" s="660" t="n">
        <v>-0.03084690565711995</v>
      </c>
      <c r="E206" s="720" t="n">
        <v>-0.004197644325163036</v>
      </c>
      <c r="F206" s="720" t="n">
        <v>-0.08484614508981475</v>
      </c>
      <c r="G206" s="721" t="n">
        <v>0.003044616827058622</v>
      </c>
      <c r="H206" s="722" t="n">
        <v>-0.05636606390860952</v>
      </c>
      <c r="I206" s="25" t="n">
        <v>-0.004197635915769989</v>
      </c>
      <c r="J206" s="25" t="n">
        <v>-0.04853455877054019</v>
      </c>
      <c r="K206" s="25" t="n">
        <v>0.02759419630632301</v>
      </c>
      <c r="L206" s="25" t="n">
        <v>-0.003684414313008068</v>
      </c>
      <c r="M206" s="25" t="n">
        <v>-0.009750321593719025</v>
      </c>
      <c r="N206" s="25" t="n">
        <v>0.01254955105520673</v>
      </c>
      <c r="O206" s="25" t="n">
        <v>0.04295683231415238</v>
      </c>
      <c r="P206" s="25" t="n">
        <v>-0.08945895751375976</v>
      </c>
      <c r="Q206" s="25" t="n">
        <v>-0.2213844687744069</v>
      </c>
      <c r="R206" s="25" t="n">
        <v>0.700553226760009</v>
      </c>
      <c r="S206" s="25" t="n">
        <v>-0.174838787766542</v>
      </c>
      <c r="T206" s="25" t="n">
        <v>-0.06391366553025071</v>
      </c>
      <c r="U206" s="25" t="n">
        <v>-0.02859452078033477</v>
      </c>
      <c r="V206" s="25" t="n">
        <v>0.02703196302635869</v>
      </c>
      <c r="W206" s="25" t="n">
        <v>0.07702658986002528</v>
      </c>
      <c r="X206" s="25" t="n">
        <v>-0.1735173684681962</v>
      </c>
      <c r="Y206" s="25" t="n">
        <v>-0.07370067709204416</v>
      </c>
      <c r="Z206" s="25" t="n">
        <v>0.09484986918598891</v>
      </c>
      <c r="AA206" s="25" t="n">
        <v>0.04830962348786746</v>
      </c>
      <c r="AB206" s="25" t="n">
        <v>0.07378965825232706</v>
      </c>
      <c r="AC206" s="25" t="n">
        <v>-0.09158621463849903</v>
      </c>
      <c r="AD206" s="25" t="n">
        <v>-0.0394154064633036</v>
      </c>
      <c r="AE206" s="25" t="n">
        <v>0.07703071253622142</v>
      </c>
      <c r="AF206" s="25" t="n">
        <v>-0.03038704814879142</v>
      </c>
      <c r="AG206" s="45" t="n">
        <v>-0.1137941696104211</v>
      </c>
      <c r="AI206" s="3">
        <f t="array" ref="AI206">SQRT(INDEX(_xlfn.ANCHORARRAY($B$190),A206,A206))</f>
        <v/>
      </c>
      <c r="AJ206" s="23" t="n"/>
      <c r="AK206" s="3">
        <f>$AP$191*AI206</f>
        <v/>
      </c>
      <c r="AL206" s="105">
        <f>ABS(Y135/AK206)</f>
        <v/>
      </c>
      <c r="AM206" s="108">
        <f>IF(AL206&lt;2.5,"Spełniony","Nie spełniony")</f>
        <v/>
      </c>
      <c r="AN206" s="23" t="n"/>
      <c r="AO206" s="23" t="n"/>
      <c r="AP206" s="23" t="n"/>
      <c r="AQ206" s="23" t="n"/>
    </row>
    <row r="207">
      <c r="A207" t="n">
        <v>18</v>
      </c>
      <c r="B207" s="67" t="n">
        <v>-0.02782181125326672</v>
      </c>
      <c r="C207" s="25" t="n">
        <v>-0.0453506618282585</v>
      </c>
      <c r="D207" s="25" t="n">
        <v>-0.01237076956309818</v>
      </c>
      <c r="E207" s="720" t="n">
        <v>-0.02200033662296776</v>
      </c>
      <c r="F207" s="720" t="n">
        <v>-0.05426570177481112</v>
      </c>
      <c r="G207" s="721" t="n">
        <v>-0.008453467679187775</v>
      </c>
      <c r="H207" s="722" t="n">
        <v>0.002236830520097833</v>
      </c>
      <c r="I207" s="25" t="n">
        <v>-0.02200029254837183</v>
      </c>
      <c r="J207" s="25" t="n">
        <v>-0.03051075086446348</v>
      </c>
      <c r="K207" s="25" t="n">
        <v>0.01082470887694623</v>
      </c>
      <c r="L207" s="25" t="n">
        <v>0.03763639649263956</v>
      </c>
      <c r="M207" s="25" t="n">
        <v>-0.02782183750643375</v>
      </c>
      <c r="N207" s="25" t="n">
        <v>0.02839407679219613</v>
      </c>
      <c r="O207" s="25" t="n">
        <v>0.09499301630632026</v>
      </c>
      <c r="P207" s="25" t="n">
        <v>-0.1737338358272418</v>
      </c>
      <c r="Q207" s="25" t="n">
        <v>-0.1212732773161304</v>
      </c>
      <c r="R207" s="25" t="n">
        <v>-0.174838787766542</v>
      </c>
      <c r="S207" s="25" t="n">
        <v>0.7128468505601673</v>
      </c>
      <c r="T207" s="25" t="n">
        <v>-0.07028444038794993</v>
      </c>
      <c r="U207" s="25" t="n">
        <v>0.03900577746272665</v>
      </c>
      <c r="V207" s="25" t="n">
        <v>-0.07707635473533533</v>
      </c>
      <c r="W207" s="25" t="n">
        <v>-0.002747577682160718</v>
      </c>
      <c r="X207" s="25" t="n">
        <v>0.03538571695619294</v>
      </c>
      <c r="Y207" s="25" t="n">
        <v>0.08265939564735438</v>
      </c>
      <c r="Z207" s="25" t="n">
        <v>0.005962368012945952</v>
      </c>
      <c r="AA207" s="25" t="n">
        <v>-0.04418354819899718</v>
      </c>
      <c r="AB207" s="25" t="n">
        <v>0.001918295736561934</v>
      </c>
      <c r="AC207" s="25" t="n">
        <v>0.02536236551905533</v>
      </c>
      <c r="AD207" s="25" t="n">
        <v>-0.1119280733352027</v>
      </c>
      <c r="AE207" s="25" t="n">
        <v>-0.02298833829254911</v>
      </c>
      <c r="AF207" s="25" t="n">
        <v>0.09943967232344979</v>
      </c>
      <c r="AG207" s="45" t="n">
        <v>-0.2512404034222374</v>
      </c>
      <c r="AI207" s="3">
        <f t="array" ref="AI207">SQRT(INDEX(_xlfn.ANCHORARRAY($B$190),A207,A207))</f>
        <v/>
      </c>
      <c r="AJ207" s="23" t="n"/>
      <c r="AK207" s="3">
        <f>$AP$191*AI207</f>
        <v/>
      </c>
      <c r="AL207" s="105">
        <f>ABS(Y136/AK207)</f>
        <v/>
      </c>
      <c r="AM207" s="108">
        <f>IF(AL207&lt;2.5,"Spełniony","Nie spełniony")</f>
        <v/>
      </c>
      <c r="AN207" s="23" t="n"/>
      <c r="AO207" s="23" t="n"/>
      <c r="AP207" s="23" t="n"/>
      <c r="AQ207" s="23" t="n"/>
    </row>
    <row r="208">
      <c r="A208" t="n">
        <v>19</v>
      </c>
      <c r="B208" s="67" t="n">
        <v>-0.04564590343344235</v>
      </c>
      <c r="C208" s="25" t="n">
        <v>-0.05917312953627969</v>
      </c>
      <c r="D208" s="25" t="n">
        <v>-0.1758077461635874</v>
      </c>
      <c r="E208" s="720" t="n">
        <v>-0.01220493019344815</v>
      </c>
      <c r="F208" s="720" t="n">
        <v>-0.1303474173559651</v>
      </c>
      <c r="G208" s="721" t="n">
        <v>0.008949590647520073</v>
      </c>
      <c r="H208" s="722" t="n">
        <v>0.02375312073380008</v>
      </c>
      <c r="I208" s="25" t="n">
        <v>-0.01220490574257833</v>
      </c>
      <c r="J208" s="25" t="n">
        <v>-0.1612015325117617</v>
      </c>
      <c r="K208" s="25" t="n">
        <v>0.002530279397702324</v>
      </c>
      <c r="L208" s="25" t="n">
        <v>0.06004464102056162</v>
      </c>
      <c r="M208" s="25" t="n">
        <v>-0.04564594650574687</v>
      </c>
      <c r="N208" s="25" t="n">
        <v>0.0004032975762045046</v>
      </c>
      <c r="O208" s="25" t="n">
        <v>0.03579506128178225</v>
      </c>
      <c r="P208" s="25" t="n">
        <v>-0.0539361148604124</v>
      </c>
      <c r="Q208" s="25" t="n">
        <v>-0.05885822557545142</v>
      </c>
      <c r="R208" s="25" t="n">
        <v>-0.06391366553025074</v>
      </c>
      <c r="S208" s="25" t="n">
        <v>-0.07028444038794993</v>
      </c>
      <c r="T208" s="25" t="n">
        <v>0.697557643086103</v>
      </c>
      <c r="U208" s="25" t="n">
        <v>-0.2244159399163691</v>
      </c>
      <c r="V208" s="25" t="n">
        <v>-0.07978449557363075</v>
      </c>
      <c r="W208" s="25" t="n">
        <v>-0.0600476310533337</v>
      </c>
      <c r="X208" s="25" t="n">
        <v>0.04042429329945477</v>
      </c>
      <c r="Y208" s="25" t="n">
        <v>0.08034070555508663</v>
      </c>
      <c r="Z208" s="25" t="n">
        <v>0.06746954468359619</v>
      </c>
      <c r="AA208" s="25" t="n">
        <v>-0.04840241691117317</v>
      </c>
      <c r="AB208" s="25" t="n">
        <v>0.008990078758796399</v>
      </c>
      <c r="AC208" s="25" t="n">
        <v>0.1242174493960981</v>
      </c>
      <c r="AD208" s="25" t="n">
        <v>0.06884697809149948</v>
      </c>
      <c r="AE208" s="25" t="n">
        <v>-0.02693051580850864</v>
      </c>
      <c r="AF208" s="25" t="n">
        <v>-0.01607943593204877</v>
      </c>
      <c r="AG208" s="45" t="n">
        <v>0.1078517158796181</v>
      </c>
      <c r="AI208" s="3">
        <f t="array" ref="AI208">SQRT(INDEX(_xlfn.ANCHORARRAY($B$190),A208,A208))</f>
        <v/>
      </c>
      <c r="AJ208" s="23" t="n"/>
      <c r="AK208" s="3">
        <f>$AP$191*AI208</f>
        <v/>
      </c>
      <c r="AL208" s="105">
        <f>ABS(Y137/AK208)</f>
        <v/>
      </c>
      <c r="AM208" s="108">
        <f>IF(AL208&lt;2.5,"Spełniony","Nie spełniony")</f>
        <v/>
      </c>
      <c r="AN208" s="23" t="n"/>
      <c r="AO208" s="23" t="n"/>
      <c r="AP208" s="23" t="n"/>
      <c r="AQ208" s="23" t="n"/>
    </row>
    <row r="209">
      <c r="A209" t="n">
        <v>20</v>
      </c>
      <c r="B209" s="67" t="n">
        <v>0.003560198334286391</v>
      </c>
      <c r="C209" s="25" t="n">
        <v>-0.04185154404291304</v>
      </c>
      <c r="D209" s="25" t="n">
        <v>-0.1696859131928914</v>
      </c>
      <c r="E209" s="720" t="n">
        <v>0.03422086272355986</v>
      </c>
      <c r="F209" s="720" t="n">
        <v>-0.00444840796570109</v>
      </c>
      <c r="G209" s="721" t="n">
        <v>0.0213072858791067</v>
      </c>
      <c r="H209" s="722" t="n">
        <v>0.04450607831694904</v>
      </c>
      <c r="I209" s="25" t="n">
        <v>0.03422079416684988</v>
      </c>
      <c r="J209" s="25" t="n">
        <v>-0.08273239658714866</v>
      </c>
      <c r="K209" s="25" t="n">
        <v>-0.00202351485148217</v>
      </c>
      <c r="L209" s="25" t="n">
        <v>-0.01392196184807668</v>
      </c>
      <c r="M209" s="25" t="n">
        <v>0.003560201693754317</v>
      </c>
      <c r="N209" s="25" t="n">
        <v>0.02642131153181677</v>
      </c>
      <c r="O209" s="25" t="n">
        <v>-0.03239119616868814</v>
      </c>
      <c r="P209" s="25" t="n">
        <v>0.02066744994302161</v>
      </c>
      <c r="Q209" s="25" t="n">
        <v>0.04390850887548936</v>
      </c>
      <c r="R209" s="25" t="n">
        <v>-0.02859452078033482</v>
      </c>
      <c r="S209" s="25" t="n">
        <v>0.03900577746272672</v>
      </c>
      <c r="T209" s="25" t="n">
        <v>-0.224415939916369</v>
      </c>
      <c r="U209" s="25" t="n">
        <v>0.5535380212213842</v>
      </c>
      <c r="V209" s="25" t="n">
        <v>0.03037567997088189</v>
      </c>
      <c r="W209" s="25" t="n">
        <v>0.03128573950947952</v>
      </c>
      <c r="X209" s="25" t="n">
        <v>0.007014669068348361</v>
      </c>
      <c r="Y209" s="25" t="n">
        <v>-0.1121338410077918</v>
      </c>
      <c r="Z209" s="25" t="n">
        <v>0.03005010928007706</v>
      </c>
      <c r="AA209" s="25" t="n">
        <v>0.01340764317900489</v>
      </c>
      <c r="AB209" s="25" t="n">
        <v>-0.1162500247010715</v>
      </c>
      <c r="AC209" s="25" t="n">
        <v>0.2303956436212685</v>
      </c>
      <c r="AD209" s="25" t="n">
        <v>0.1233017854295552</v>
      </c>
      <c r="AE209" s="25" t="n">
        <v>0.2120568970980384</v>
      </c>
      <c r="AF209" s="25" t="n">
        <v>-0.06844466888352838</v>
      </c>
      <c r="AG209" s="45" t="n">
        <v>-0.02933254648612103</v>
      </c>
      <c r="AI209" s="3">
        <f t="array" ref="AI209">SQRT(INDEX(_xlfn.ANCHORARRAY($B$190),A209,A209))</f>
        <v/>
      </c>
      <c r="AJ209" s="23" t="n"/>
      <c r="AK209" s="3">
        <f>$AP$191*AI209</f>
        <v/>
      </c>
      <c r="AL209" s="105">
        <f>ABS(Y138/AK209)</f>
        <v/>
      </c>
      <c r="AM209" s="108">
        <f>IF(AL209&lt;2.5,"Spełniony","Nie spełniony")</f>
        <v/>
      </c>
      <c r="AN209" s="23" t="n"/>
      <c r="AO209" s="23" t="n"/>
      <c r="AP209" s="23" t="n"/>
      <c r="AQ209" s="23" t="n"/>
    </row>
    <row r="210">
      <c r="A210" t="n">
        <v>21</v>
      </c>
      <c r="B210" s="67" t="n">
        <v>0.05096714958524073</v>
      </c>
      <c r="C210" s="25" t="n">
        <v>0.009584222510082445</v>
      </c>
      <c r="D210" s="25" t="n">
        <v>0.01560777072367273</v>
      </c>
      <c r="E210" s="720" t="n">
        <v>0.01874835833435556</v>
      </c>
      <c r="F210" s="720" t="n">
        <v>-0.09180776140412089</v>
      </c>
      <c r="G210" s="721" t="n">
        <v>0.09408548944118124</v>
      </c>
      <c r="H210" s="722" t="n">
        <v>0.003767301379240331</v>
      </c>
      <c r="I210" s="25" t="n">
        <v>0.0187483207746431</v>
      </c>
      <c r="J210" s="25" t="n">
        <v>0.0276043252923653</v>
      </c>
      <c r="K210" s="25" t="n">
        <v>-0.2860384841038134</v>
      </c>
      <c r="L210" s="25" t="n">
        <v>0.05143716502752295</v>
      </c>
      <c r="M210" s="25" t="n">
        <v>0.05096719767876989</v>
      </c>
      <c r="N210" s="25" t="n">
        <v>-0.09113728435970833</v>
      </c>
      <c r="O210" s="25" t="n">
        <v>0.1156614215500509</v>
      </c>
      <c r="P210" s="25" t="n">
        <v>0.0675282274120276</v>
      </c>
      <c r="Q210" s="25" t="n">
        <v>0.03501507130638268</v>
      </c>
      <c r="R210" s="25" t="n">
        <v>0.02703196302635879</v>
      </c>
      <c r="S210" s="25" t="n">
        <v>-0.07707635473533526</v>
      </c>
      <c r="T210" s="25" t="n">
        <v>-0.07978449557363076</v>
      </c>
      <c r="U210" s="25" t="n">
        <v>0.0303756799708819</v>
      </c>
      <c r="V210" s="25" t="n">
        <v>0.3701133332610689</v>
      </c>
      <c r="W210" s="25" t="n">
        <v>0.1548308000819413</v>
      </c>
      <c r="X210" s="25" t="n">
        <v>0.133929693513181</v>
      </c>
      <c r="Y210" s="25" t="n">
        <v>0.130556569700859</v>
      </c>
      <c r="Z210" s="25" t="n">
        <v>0.09914022786515338</v>
      </c>
      <c r="AA210" s="25" t="n">
        <v>0.1114293755777964</v>
      </c>
      <c r="AB210" s="25" t="n">
        <v>0.008801318492881649</v>
      </c>
      <c r="AC210" s="25" t="n">
        <v>0.01331820021987737</v>
      </c>
      <c r="AD210" s="25" t="n">
        <v>-0.0300047101252217</v>
      </c>
      <c r="AE210" s="25" t="n">
        <v>-0.01320578684425952</v>
      </c>
      <c r="AF210" s="25" t="n">
        <v>-0.01984113421164774</v>
      </c>
      <c r="AG210" s="45" t="n">
        <v>-0.004722223728076375</v>
      </c>
      <c r="AI210" s="3">
        <f t="array" ref="AI210">SQRT(INDEX(_xlfn.ANCHORARRAY($B$190),A210,A210))</f>
        <v/>
      </c>
      <c r="AJ210" s="23" t="n"/>
      <c r="AK210" s="3">
        <f>$AP$191*AI210</f>
        <v/>
      </c>
      <c r="AL210" s="105">
        <f>ABS(Y139/AK210)</f>
        <v/>
      </c>
      <c r="AM210" s="108">
        <f>IF(AL210&lt;2.5,"Spełniony","Nie spełniony")</f>
        <v/>
      </c>
      <c r="AN210" s="23" t="n"/>
      <c r="AO210" s="23" t="n"/>
      <c r="AP210" s="23" t="n"/>
      <c r="AQ210" s="23" t="n"/>
    </row>
    <row r="211">
      <c r="A211" t="n">
        <v>22</v>
      </c>
      <c r="B211" s="67" t="n">
        <v>0.01213801987599794</v>
      </c>
      <c r="C211" s="25" t="n">
        <v>0.01604003709737198</v>
      </c>
      <c r="D211" s="25" t="n">
        <v>0.01398424104635088</v>
      </c>
      <c r="E211" s="720" t="n">
        <v>0.02524746127899627</v>
      </c>
      <c r="F211" s="720" t="n">
        <v>-0.07844945446198598</v>
      </c>
      <c r="G211" s="721" t="n">
        <v>0.0322695482677637</v>
      </c>
      <c r="H211" s="722" t="n">
        <v>-0.07689860150519917</v>
      </c>
      <c r="I211" s="25" t="n">
        <v>0.02524741069924043</v>
      </c>
      <c r="J211" s="25" t="n">
        <v>0.04518358820132178</v>
      </c>
      <c r="K211" s="25" t="n">
        <v>0.06431001943977394</v>
      </c>
      <c r="L211" s="25" t="n">
        <v>-0.07059451571424269</v>
      </c>
      <c r="M211" s="25" t="n">
        <v>0.01213803132965428</v>
      </c>
      <c r="N211" s="25" t="n">
        <v>0.08762828794873653</v>
      </c>
      <c r="O211" s="25" t="n">
        <v>0.05511647202608984</v>
      </c>
      <c r="P211" s="25" t="n">
        <v>-0.2038316737004919</v>
      </c>
      <c r="Q211" s="25" t="n">
        <v>0.07769988718173045</v>
      </c>
      <c r="R211" s="25" t="n">
        <v>0.07702658986002535</v>
      </c>
      <c r="S211" s="25" t="n">
        <v>-0.002747577682160759</v>
      </c>
      <c r="T211" s="25" t="n">
        <v>-0.06004763105333374</v>
      </c>
      <c r="U211" s="25" t="n">
        <v>0.03128573950947944</v>
      </c>
      <c r="V211" s="25" t="n">
        <v>0.154830800081941</v>
      </c>
      <c r="W211" s="25" t="n">
        <v>0.2896967764244828</v>
      </c>
      <c r="X211" s="25" t="n">
        <v>0.1401282589207331</v>
      </c>
      <c r="Y211" s="25" t="n">
        <v>0.103867244580791</v>
      </c>
      <c r="Z211" s="25" t="n">
        <v>0.1495565618439652</v>
      </c>
      <c r="AA211" s="25" t="n">
        <v>0.161920358148087</v>
      </c>
      <c r="AB211" s="25" t="n">
        <v>-0.04277484341563578</v>
      </c>
      <c r="AC211" s="25" t="n">
        <v>-0.007069352763494349</v>
      </c>
      <c r="AD211" s="25" t="n">
        <v>0.001548537864884791</v>
      </c>
      <c r="AE211" s="25" t="n">
        <v>-0.02338047658937377</v>
      </c>
      <c r="AF211" s="25" t="n">
        <v>-0.04295081034172513</v>
      </c>
      <c r="AG211" s="45" t="n">
        <v>0.05829359216140489</v>
      </c>
      <c r="AI211" s="3">
        <f t="array" ref="AI211">SQRT(INDEX(_xlfn.ANCHORARRAY($B$190),A211,A211))</f>
        <v/>
      </c>
      <c r="AJ211" s="23" t="n"/>
      <c r="AK211" s="3">
        <f>$AP$191*AI211</f>
        <v/>
      </c>
      <c r="AL211" s="105">
        <f>ABS(Y140/AK211)</f>
        <v/>
      </c>
      <c r="AM211" s="108">
        <f>IF(AL211&lt;2.5,"Spełniony","Nie spełniony")</f>
        <v/>
      </c>
      <c r="AN211" s="23" t="n"/>
      <c r="AO211" s="23" t="n"/>
      <c r="AP211" s="23" t="n"/>
      <c r="AQ211" s="23" t="n"/>
    </row>
    <row r="212">
      <c r="A212" t="n">
        <v>23</v>
      </c>
      <c r="B212" s="67" t="n">
        <v>0.03062651358332651</v>
      </c>
      <c r="C212" s="25" t="n">
        <v>0.09230566523806141</v>
      </c>
      <c r="D212" s="25" t="n">
        <v>0.03161948580277268</v>
      </c>
      <c r="E212" s="720" t="n">
        <v>0.03221082715962685</v>
      </c>
      <c r="F212" s="720" t="n">
        <v>0.02862811631971887</v>
      </c>
      <c r="G212" s="721" t="n">
        <v>0.02437828252316306</v>
      </c>
      <c r="H212" s="722" t="n">
        <v>-0.02091187150566177</v>
      </c>
      <c r="I212" s="25" t="n">
        <v>0.03221076262974185</v>
      </c>
      <c r="J212" s="25" t="n">
        <v>0.07129452284402882</v>
      </c>
      <c r="K212" s="25" t="n">
        <v>0.01838902035279083</v>
      </c>
      <c r="L212" s="25" t="n">
        <v>-0.06639698162977048</v>
      </c>
      <c r="M212" s="25" t="n">
        <v>0.0306265424830617</v>
      </c>
      <c r="N212" s="25" t="n">
        <v>0.02731756299982899</v>
      </c>
      <c r="O212" s="25" t="n">
        <v>-0.05322007639087652</v>
      </c>
      <c r="P212" s="25" t="n">
        <v>0.04007315193529282</v>
      </c>
      <c r="Q212" s="25" t="n">
        <v>-0.3234943389455388</v>
      </c>
      <c r="R212" s="25" t="n">
        <v>-0.1735173684681963</v>
      </c>
      <c r="S212" s="25" t="n">
        <v>0.03538571695619289</v>
      </c>
      <c r="T212" s="25" t="n">
        <v>0.04042429329945475</v>
      </c>
      <c r="U212" s="25" t="n">
        <v>0.007014669068348477</v>
      </c>
      <c r="V212" s="25" t="n">
        <v>0.133929693513181</v>
      </c>
      <c r="W212" s="25" t="n">
        <v>0.1401282589207329</v>
      </c>
      <c r="X212" s="25" t="n">
        <v>0.5339232851000411</v>
      </c>
      <c r="Y212" s="25" t="n">
        <v>0.04444513803965398</v>
      </c>
      <c r="Z212" s="25" t="n">
        <v>0.04198879652398076</v>
      </c>
      <c r="AA212" s="25" t="n">
        <v>0.1055848279024103</v>
      </c>
      <c r="AB212" s="25" t="n">
        <v>-0.06260026987996427</v>
      </c>
      <c r="AC212" s="25" t="n">
        <v>0.02301663226271674</v>
      </c>
      <c r="AD212" s="25" t="n">
        <v>0.09403145043873043</v>
      </c>
      <c r="AE212" s="25" t="n">
        <v>-0.03606501961550034</v>
      </c>
      <c r="AF212" s="25" t="n">
        <v>-0.07760648228824066</v>
      </c>
      <c r="AG212" s="45" t="n">
        <v>0.08801600040436153</v>
      </c>
      <c r="AI212" s="3">
        <f t="array" ref="AI212">SQRT(INDEX(_xlfn.ANCHORARRAY($B$190),A212,A212))</f>
        <v/>
      </c>
      <c r="AJ212" s="23" t="n"/>
      <c r="AK212" s="3">
        <f>$AP$191*AI212</f>
        <v/>
      </c>
      <c r="AL212" s="105">
        <f>ABS(Y141/AK212)</f>
        <v/>
      </c>
      <c r="AM212" s="108">
        <f>IF(AL212&lt;2.5,"Spełniony","Nie spełniony")</f>
        <v/>
      </c>
      <c r="AN212" s="23" t="n"/>
      <c r="AO212" s="23" t="n"/>
      <c r="AP212" s="23" t="n"/>
      <c r="AQ212" s="23" t="n"/>
    </row>
    <row r="213">
      <c r="A213" t="n">
        <v>24</v>
      </c>
      <c r="B213" s="67" t="n">
        <v>0.0680414334213368</v>
      </c>
      <c r="C213" s="25" t="n">
        <v>-0.2039260216335971</v>
      </c>
      <c r="D213" s="25" t="n">
        <v>-0.1111065924245315</v>
      </c>
      <c r="E213" s="720" t="n">
        <v>0.05497302537539922</v>
      </c>
      <c r="F213" s="720" t="n">
        <v>0.105479312477367</v>
      </c>
      <c r="G213" s="721" t="n">
        <v>-0.01952587491586949</v>
      </c>
      <c r="H213" s="722" t="n">
        <v>-0.07534367017282143</v>
      </c>
      <c r="I213" s="25" t="n">
        <v>0.05497291524463524</v>
      </c>
      <c r="J213" s="25" t="n">
        <v>-0.06509343308607415</v>
      </c>
      <c r="K213" s="25" t="n">
        <v>0.004984258019839593</v>
      </c>
      <c r="L213" s="25" t="n">
        <v>-0.09177640524216187</v>
      </c>
      <c r="M213" s="25" t="n">
        <v>0.06804149762647066</v>
      </c>
      <c r="N213" s="25" t="n">
        <v>-0.0133106550503418</v>
      </c>
      <c r="O213" s="25" t="n">
        <v>-0.04289283619760276</v>
      </c>
      <c r="P213" s="25" t="n">
        <v>0.07408893127021715</v>
      </c>
      <c r="Q213" s="25" t="n">
        <v>0.1178159900777393</v>
      </c>
      <c r="R213" s="25" t="n">
        <v>-0.07370067709204417</v>
      </c>
      <c r="S213" s="25" t="n">
        <v>0.08265939564735438</v>
      </c>
      <c r="T213" s="25" t="n">
        <v>0.08034070555508677</v>
      </c>
      <c r="U213" s="25" t="n">
        <v>-0.1121338410077917</v>
      </c>
      <c r="V213" s="25" t="n">
        <v>0.130556569700859</v>
      </c>
      <c r="W213" s="25" t="n">
        <v>0.103867244580791</v>
      </c>
      <c r="X213" s="25" t="n">
        <v>0.0444451380396539</v>
      </c>
      <c r="Y213" s="25" t="n">
        <v>0.5763341959244589</v>
      </c>
      <c r="Z213" s="25" t="n">
        <v>0.05228608845012431</v>
      </c>
      <c r="AA213" s="25" t="n">
        <v>0.09251076330411295</v>
      </c>
      <c r="AB213" s="25" t="n">
        <v>0.08048569688481551</v>
      </c>
      <c r="AC213" s="25" t="n">
        <v>-0.1530924186927765</v>
      </c>
      <c r="AD213" s="25" t="n">
        <v>-0.01058005767059496</v>
      </c>
      <c r="AE213" s="25" t="n">
        <v>0.1084928726511722</v>
      </c>
      <c r="AF213" s="25" t="n">
        <v>0.06095338237805351</v>
      </c>
      <c r="AG213" s="45" t="n">
        <v>-0.07600484343724566</v>
      </c>
      <c r="AI213" s="3">
        <f t="array" ref="AI213">SQRT(INDEX(_xlfn.ANCHORARRAY($B$190),A213,A213))</f>
        <v/>
      </c>
      <c r="AJ213" s="23" t="n"/>
      <c r="AK213" s="3">
        <f>$AP$191*AI213</f>
        <v/>
      </c>
      <c r="AL213" s="105">
        <f>ABS(Y142/AK213)</f>
        <v/>
      </c>
      <c r="AM213" s="108">
        <f>IF(AL213&lt;2.5,"Spełniony","Nie spełniony")</f>
        <v/>
      </c>
      <c r="AN213" s="23" t="n"/>
      <c r="AO213" s="23" t="n"/>
      <c r="AP213" s="23" t="n"/>
      <c r="AQ213" s="23" t="n"/>
    </row>
    <row r="214">
      <c r="A214" t="n">
        <v>25</v>
      </c>
      <c r="B214" s="67" t="n">
        <v>-0.06589838443981649</v>
      </c>
      <c r="C214" s="25" t="n">
        <v>0.06705057816630232</v>
      </c>
      <c r="D214" s="25" t="n">
        <v>0.04706658293239324</v>
      </c>
      <c r="E214" s="720" t="n">
        <v>-0.2117974566131434</v>
      </c>
      <c r="F214" s="720" t="n">
        <v>0.07314023974529794</v>
      </c>
      <c r="G214" s="721" t="n">
        <v>0.1113386899200649</v>
      </c>
      <c r="H214" s="722" t="n">
        <v>0.08661350374063953</v>
      </c>
      <c r="I214" s="25" t="n">
        <v>-0.2117970323065758</v>
      </c>
      <c r="J214" s="25" t="n">
        <v>-0.1454617617276776</v>
      </c>
      <c r="K214" s="25" t="n">
        <v>0.04120835305477781</v>
      </c>
      <c r="L214" s="25" t="n">
        <v>0.01835953121865321</v>
      </c>
      <c r="M214" s="25" t="n">
        <v>-0.06589844662273039</v>
      </c>
      <c r="N214" s="25" t="n">
        <v>0.08301089044977661</v>
      </c>
      <c r="O214" s="25" t="n">
        <v>-0.07573538474841024</v>
      </c>
      <c r="P214" s="25" t="n">
        <v>0.003456667753064645</v>
      </c>
      <c r="Q214" s="25" t="n">
        <v>0.05046742861932424</v>
      </c>
      <c r="R214" s="25" t="n">
        <v>0.09484986918598891</v>
      </c>
      <c r="S214" s="25" t="n">
        <v>0.005962368012945983</v>
      </c>
      <c r="T214" s="25" t="n">
        <v>0.06746954468359617</v>
      </c>
      <c r="U214" s="25" t="n">
        <v>0.030050109280077</v>
      </c>
      <c r="V214" s="25" t="n">
        <v>0.09914022786515352</v>
      </c>
      <c r="W214" s="25" t="n">
        <v>0.1495565618439652</v>
      </c>
      <c r="X214" s="25" t="n">
        <v>0.04198879652398067</v>
      </c>
      <c r="Y214" s="25" t="n">
        <v>0.05228608845012438</v>
      </c>
      <c r="Z214" s="25" t="n">
        <v>0.5517188663600551</v>
      </c>
      <c r="AA214" s="25" t="n">
        <v>0.1053094589567214</v>
      </c>
      <c r="AB214" s="25" t="n">
        <v>-0.01429635339418561</v>
      </c>
      <c r="AC214" s="25" t="n">
        <v>0.08539708770344477</v>
      </c>
      <c r="AD214" s="25" t="n">
        <v>-0.03624412978792357</v>
      </c>
      <c r="AE214" s="25" t="n">
        <v>-0.008424724646658955</v>
      </c>
      <c r="AF214" s="25" t="n">
        <v>0.06639359764715337</v>
      </c>
      <c r="AG214" s="45" t="n">
        <v>-0.05500259690993997</v>
      </c>
      <c r="AI214" s="3">
        <f t="array" ref="AI214">SQRT(INDEX(_xlfn.ANCHORARRAY($B$190),A214,A214))</f>
        <v/>
      </c>
      <c r="AJ214" s="23" t="n"/>
      <c r="AK214" s="3">
        <f>$AP$191*AI214</f>
        <v/>
      </c>
      <c r="AL214" s="105">
        <f>ABS(Y143/AK214)</f>
        <v/>
      </c>
      <c r="AM214" s="108">
        <f>IF(AL214&lt;2.5,"Spełniony","Nie spełniony")</f>
        <v/>
      </c>
      <c r="AN214" s="23" t="n"/>
      <c r="AO214" s="23" t="n"/>
      <c r="AP214" s="23" t="n"/>
      <c r="AQ214" s="23" t="n"/>
    </row>
    <row r="215">
      <c r="A215" t="n">
        <v>26</v>
      </c>
      <c r="B215" s="67" t="n">
        <v>-0.09587473202608546</v>
      </c>
      <c r="C215" s="25" t="n">
        <v>0.01894551862177903</v>
      </c>
      <c r="D215" s="25" t="n">
        <v>0.002828511919342039</v>
      </c>
      <c r="E215" s="720" t="n">
        <v>0.08061778446476559</v>
      </c>
      <c r="F215" s="720" t="n">
        <v>-0.03699045267627699</v>
      </c>
      <c r="G215" s="721" t="n">
        <v>-0.2425461352363034</v>
      </c>
      <c r="H215" s="722" t="n">
        <v>0.08277333806380252</v>
      </c>
      <c r="I215" s="25" t="n">
        <v>0.08061762295831526</v>
      </c>
      <c r="J215" s="25" t="n">
        <v>0.06647275847603587</v>
      </c>
      <c r="K215" s="25" t="n">
        <v>0.1571468332366314</v>
      </c>
      <c r="L215" s="25" t="n">
        <v>0.1589712063399989</v>
      </c>
      <c r="M215" s="25" t="n">
        <v>-0.09587482249522612</v>
      </c>
      <c r="N215" s="25" t="n">
        <v>-0.09350880198829203</v>
      </c>
      <c r="O215" s="25" t="n">
        <v>0.001070403760748712</v>
      </c>
      <c r="P215" s="25" t="n">
        <v>0.01868469532988964</v>
      </c>
      <c r="Q215" s="25" t="n">
        <v>0.04249596176036212</v>
      </c>
      <c r="R215" s="25" t="n">
        <v>0.04830962348786735</v>
      </c>
      <c r="S215" s="25" t="n">
        <v>-0.04418354819899727</v>
      </c>
      <c r="T215" s="25" t="n">
        <v>-0.0484024169111732</v>
      </c>
      <c r="U215" s="25" t="n">
        <v>0.01340764317900484</v>
      </c>
      <c r="V215" s="25" t="n">
        <v>0.1114293755777966</v>
      </c>
      <c r="W215" s="25" t="n">
        <v>0.1619203581480869</v>
      </c>
      <c r="X215" s="25" t="n">
        <v>0.1055848279024103</v>
      </c>
      <c r="Y215" s="25" t="n">
        <v>0.09251076330411284</v>
      </c>
      <c r="Z215" s="25" t="n">
        <v>0.1053094589567214</v>
      </c>
      <c r="AA215" s="25" t="n">
        <v>0.423245216110872</v>
      </c>
      <c r="AB215" s="25" t="n">
        <v>0.03038445131208846</v>
      </c>
      <c r="AC215" s="25" t="n">
        <v>0.03842985127023204</v>
      </c>
      <c r="AD215" s="25" t="n">
        <v>-0.01875109071987495</v>
      </c>
      <c r="AE215" s="25" t="n">
        <v>-0.02741686495537951</v>
      </c>
      <c r="AF215" s="25" t="n">
        <v>0.0130514468164066</v>
      </c>
      <c r="AG215" s="45" t="n">
        <v>-0.01057992849050447</v>
      </c>
      <c r="AI215" s="3">
        <f t="array" ref="AI215">SQRT(INDEX(_xlfn.ANCHORARRAY($B$190),A215,A215))</f>
        <v/>
      </c>
      <c r="AJ215" s="23" t="n"/>
      <c r="AK215" s="3">
        <f>$AP$191*AI215</f>
        <v/>
      </c>
      <c r="AL215" s="105">
        <f>ABS(Y144/AK215)</f>
        <v/>
      </c>
      <c r="AM215" s="108">
        <f>IF(AL215&lt;2.5,"Spełniony","Nie spełniony")</f>
        <v/>
      </c>
      <c r="AN215" s="23" t="n"/>
      <c r="AO215" s="23" t="n"/>
      <c r="AP215" s="23" t="n"/>
      <c r="AQ215" s="23" t="n"/>
    </row>
    <row r="216">
      <c r="A216" t="n">
        <v>27</v>
      </c>
      <c r="B216" s="67" t="n">
        <v>0.05907134460494845</v>
      </c>
      <c r="C216" s="25" t="n">
        <v>0.1002330471913581</v>
      </c>
      <c r="D216" s="25" t="n">
        <v>0.01623681928972539</v>
      </c>
      <c r="E216" s="720" t="n">
        <v>-0.05037954957513517</v>
      </c>
      <c r="F216" s="720" t="n">
        <v>0.1089426732431557</v>
      </c>
      <c r="G216" s="721" t="n">
        <v>-0.1056013410370578</v>
      </c>
      <c r="H216" s="722" t="n">
        <v>-0.2410178548476245</v>
      </c>
      <c r="I216" s="25" t="n">
        <v>-0.05037944864675745</v>
      </c>
      <c r="J216" s="25" t="n">
        <v>0.0855591879906439</v>
      </c>
      <c r="K216" s="25" t="n">
        <v>0.004804267463149216</v>
      </c>
      <c r="L216" s="25" t="n">
        <v>-0.03839510492470238</v>
      </c>
      <c r="M216" s="25" t="n">
        <v>0.0590714003457435</v>
      </c>
      <c r="N216" s="25" t="n">
        <v>-0.1267049305793842</v>
      </c>
      <c r="O216" s="25" t="n">
        <v>0.06663729985252043</v>
      </c>
      <c r="P216" s="25" t="n">
        <v>0.03281542044394287</v>
      </c>
      <c r="Q216" s="25" t="n">
        <v>-0.02846735973433363</v>
      </c>
      <c r="R216" s="25" t="n">
        <v>0.07378965825232701</v>
      </c>
      <c r="S216" s="25" t="n">
        <v>0.001918295736561951</v>
      </c>
      <c r="T216" s="25" t="n">
        <v>0.008990078758796365</v>
      </c>
      <c r="U216" s="25" t="n">
        <v>-0.1162500247010715</v>
      </c>
      <c r="V216" s="25" t="n">
        <v>0.008801318492881611</v>
      </c>
      <c r="W216" s="25" t="n">
        <v>-0.04277484341563573</v>
      </c>
      <c r="X216" s="25" t="n">
        <v>-0.06260026987996434</v>
      </c>
      <c r="Y216" s="25" t="n">
        <v>0.08048569688481551</v>
      </c>
      <c r="Z216" s="25" t="n">
        <v>-0.01429635339418549</v>
      </c>
      <c r="AA216" s="25" t="n">
        <v>0.03038445131208842</v>
      </c>
      <c r="AB216" s="25" t="n">
        <v>0.5421292252218033</v>
      </c>
      <c r="AC216" s="25" t="n">
        <v>0.2523741924370262</v>
      </c>
      <c r="AD216" s="25" t="n">
        <v>-0.03299519866695398</v>
      </c>
      <c r="AE216" s="25" t="n">
        <v>0.06298874756783945</v>
      </c>
      <c r="AF216" s="25" t="n">
        <v>0.1015396300018001</v>
      </c>
      <c r="AG216" s="45" t="n">
        <v>-0.04490223860974915</v>
      </c>
      <c r="AI216" s="3">
        <f t="array" ref="AI216">SQRT(INDEX(_xlfn.ANCHORARRAY($B$190),A216,A216))</f>
        <v/>
      </c>
      <c r="AJ216" s="23" t="n"/>
      <c r="AK216" s="3">
        <f>$AP$191*AI216</f>
        <v/>
      </c>
      <c r="AL216" s="105">
        <f>ABS(Y145/AK216)</f>
        <v/>
      </c>
      <c r="AM216" s="108">
        <f>IF(AL216&lt;2.5,"Spełniony","Nie spełniony")</f>
        <v/>
      </c>
      <c r="AN216" s="23" t="n"/>
      <c r="AO216" s="23" t="n"/>
      <c r="AP216" s="23" t="n"/>
      <c r="AQ216" s="23" t="n"/>
    </row>
    <row r="217">
      <c r="A217" t="n">
        <v>28</v>
      </c>
      <c r="B217" s="67" t="n">
        <v>-0.002928763398369186</v>
      </c>
      <c r="C217" s="25" t="n">
        <v>-0.1051648951685151</v>
      </c>
      <c r="D217" s="25" t="n">
        <v>0.0550621049556366</v>
      </c>
      <c r="E217" s="720" t="n">
        <v>-0.02622038115143802</v>
      </c>
      <c r="F217" s="720" t="n">
        <v>-0.07428862373029878</v>
      </c>
      <c r="G217" s="721" t="n">
        <v>-0.0225723544388178</v>
      </c>
      <c r="H217" s="722" t="n">
        <v>-0.1103917403286763</v>
      </c>
      <c r="I217" s="25" t="n">
        <v>-0.02622032862257331</v>
      </c>
      <c r="J217" s="25" t="n">
        <v>-0.04137203083868075</v>
      </c>
      <c r="K217" s="25" t="n">
        <v>0.01594726958614689</v>
      </c>
      <c r="L217" s="25" t="n">
        <v>0.00538171642970077</v>
      </c>
      <c r="M217" s="25" t="n">
        <v>-0.002928766162003674</v>
      </c>
      <c r="N217" s="25" t="n">
        <v>-0.05722642702837624</v>
      </c>
      <c r="O217" s="25" t="n">
        <v>0.01554422473829416</v>
      </c>
      <c r="P217" s="25" t="n">
        <v>0.02927304893432858</v>
      </c>
      <c r="Q217" s="25" t="n">
        <v>0.03455265326717116</v>
      </c>
      <c r="R217" s="25" t="n">
        <v>-0.09158621463849898</v>
      </c>
      <c r="S217" s="25" t="n">
        <v>0.02536236551905533</v>
      </c>
      <c r="T217" s="25" t="n">
        <v>0.1242174493960981</v>
      </c>
      <c r="U217" s="25" t="n">
        <v>0.2303956436212686</v>
      </c>
      <c r="V217" s="25" t="n">
        <v>0.01331820021987739</v>
      </c>
      <c r="W217" s="25" t="n">
        <v>-0.007069352763494414</v>
      </c>
      <c r="X217" s="25" t="n">
        <v>0.02301663226271682</v>
      </c>
      <c r="Y217" s="25" t="n">
        <v>-0.1530924186927765</v>
      </c>
      <c r="Z217" s="25" t="n">
        <v>0.08539708770344467</v>
      </c>
      <c r="AA217" s="25" t="n">
        <v>0.03842985127023205</v>
      </c>
      <c r="AB217" s="25" t="n">
        <v>0.2523741924370262</v>
      </c>
      <c r="AC217" s="25" t="n">
        <v>0.6308128609052133</v>
      </c>
      <c r="AD217" s="25" t="n">
        <v>0.01070923396280932</v>
      </c>
      <c r="AE217" s="25" t="n">
        <v>-0.05001229041121416</v>
      </c>
      <c r="AF217" s="25" t="n">
        <v>-0.1216520460581781</v>
      </c>
      <c r="AG217" s="45" t="n">
        <v>0.003504128432494494</v>
      </c>
      <c r="AI217" s="3">
        <f t="array" ref="AI217">SQRT(INDEX(_xlfn.ANCHORARRAY($B$190),A217,A217))</f>
        <v/>
      </c>
      <c r="AJ217" s="23" t="n"/>
      <c r="AK217" s="3">
        <f>$AP$191*AI217</f>
        <v/>
      </c>
      <c r="AL217" s="105">
        <f>ABS(Y146/AK217)</f>
        <v/>
      </c>
      <c r="AM217" s="108">
        <f>IF(AL217&lt;2.5,"Spełniony","Nie spełniony")</f>
        <v/>
      </c>
      <c r="AN217" s="23" t="n"/>
      <c r="AO217" s="23" t="n"/>
      <c r="AP217" s="23" t="n"/>
      <c r="AQ217" s="23" t="n"/>
    </row>
    <row r="218">
      <c r="A218" t="n">
        <v>29</v>
      </c>
      <c r="B218" s="67" t="n">
        <v>-0.01325414497026703</v>
      </c>
      <c r="C218" s="25" t="n">
        <v>-0.1533030621153924</v>
      </c>
      <c r="D218" s="25" t="n">
        <v>0.1055595762979112</v>
      </c>
      <c r="E218" s="720" t="n">
        <v>-0.01974001542494032</v>
      </c>
      <c r="F218" s="720" t="n">
        <v>-0.004591817569736738</v>
      </c>
      <c r="G218" s="721" t="n">
        <v>0.001915005311229311</v>
      </c>
      <c r="H218" s="722" t="n">
        <v>0.01345460437067682</v>
      </c>
      <c r="I218" s="25" t="n">
        <v>-0.01973997587858164</v>
      </c>
      <c r="J218" s="25" t="n">
        <v>0.07970723005880433</v>
      </c>
      <c r="K218" s="25" t="n">
        <v>0.003786064187979108</v>
      </c>
      <c r="L218" s="25" t="n">
        <v>0.01595335976699707</v>
      </c>
      <c r="M218" s="25" t="n">
        <v>-0.01325415747711923</v>
      </c>
      <c r="N218" s="25" t="n">
        <v>0.01779239553503906</v>
      </c>
      <c r="O218" s="25" t="n">
        <v>0.03343696626775954</v>
      </c>
      <c r="P218" s="25" t="n">
        <v>-0.06929497112414768</v>
      </c>
      <c r="Q218" s="25" t="n">
        <v>-0.06069251331754112</v>
      </c>
      <c r="R218" s="25" t="n">
        <v>-0.03941540646330357</v>
      </c>
      <c r="S218" s="25" t="n">
        <v>-0.1119280733352028</v>
      </c>
      <c r="T218" s="25" t="n">
        <v>0.06884697809149953</v>
      </c>
      <c r="U218" s="25" t="n">
        <v>0.1233017854295553</v>
      </c>
      <c r="V218" s="25" t="n">
        <v>-0.0300047101252218</v>
      </c>
      <c r="W218" s="25" t="n">
        <v>0.001548537864884708</v>
      </c>
      <c r="X218" s="25" t="n">
        <v>0.09403145043873051</v>
      </c>
      <c r="Y218" s="25" t="n">
        <v>-0.01058005767059491</v>
      </c>
      <c r="Z218" s="25" t="n">
        <v>-0.03624412978792359</v>
      </c>
      <c r="AA218" s="25" t="n">
        <v>-0.01875109071987493</v>
      </c>
      <c r="AB218" s="25" t="n">
        <v>-0.03299519866695402</v>
      </c>
      <c r="AC218" s="25" t="n">
        <v>0.01070923396280934</v>
      </c>
      <c r="AD218" s="25" t="n">
        <v>0.5774636751022552</v>
      </c>
      <c r="AE218" s="25" t="n">
        <v>0.2080544209168175</v>
      </c>
      <c r="AF218" s="25" t="n">
        <v>0.2904164768248492</v>
      </c>
      <c r="AG218" s="45" t="n">
        <v>0.1307592722820074</v>
      </c>
      <c r="AI218" s="3">
        <f t="array" ref="AI218">SQRT(INDEX(_xlfn.ANCHORARRAY($B$190),A218,A218))</f>
        <v/>
      </c>
      <c r="AJ218" s="23" t="n"/>
      <c r="AK218" s="3">
        <f>$AP$191*AI218</f>
        <v/>
      </c>
      <c r="AL218" s="105">
        <f>ABS(Y147/AK218)</f>
        <v/>
      </c>
      <c r="AM218" s="108">
        <f>IF(AL218&lt;2.5,"Spełniony","Nie spełniony")</f>
        <v/>
      </c>
      <c r="AN218" s="23" t="n"/>
      <c r="AO218" s="23" t="n"/>
      <c r="AP218" s="23" t="n"/>
      <c r="AQ218" s="23" t="n"/>
    </row>
    <row r="219">
      <c r="A219" t="n">
        <v>30</v>
      </c>
      <c r="B219" s="67" t="n">
        <v>0.03815349058760117</v>
      </c>
      <c r="C219" s="25" t="n">
        <v>0.08158059336890547</v>
      </c>
      <c r="D219" s="25" t="n">
        <v>-0.1881094011907278</v>
      </c>
      <c r="E219" s="720" t="n">
        <v>0.03339385450287838</v>
      </c>
      <c r="F219" s="720" t="n">
        <v>0.09698943012648632</v>
      </c>
      <c r="G219" s="721" t="n">
        <v>-0.03952480560277694</v>
      </c>
      <c r="H219" s="722" t="n">
        <v>-0.02262425904999589</v>
      </c>
      <c r="I219" s="25" t="n">
        <v>0.03339378760296369</v>
      </c>
      <c r="J219" s="25" t="n">
        <v>-0.1446979313528875</v>
      </c>
      <c r="K219" s="25" t="n">
        <v>-0.01562322510346387</v>
      </c>
      <c r="L219" s="25" t="n">
        <v>-0.02718600500765833</v>
      </c>
      <c r="M219" s="25" t="n">
        <v>0.03815352658992863</v>
      </c>
      <c r="N219" s="25" t="n">
        <v>-0.0147719477492812</v>
      </c>
      <c r="O219" s="25" t="n">
        <v>0.02334396590259027</v>
      </c>
      <c r="P219" s="25" t="n">
        <v>-0.01093209559136146</v>
      </c>
      <c r="Q219" s="25" t="n">
        <v>-0.04077265814975149</v>
      </c>
      <c r="R219" s="25" t="n">
        <v>0.07703071253622135</v>
      </c>
      <c r="S219" s="25" t="n">
        <v>-0.02298833829254916</v>
      </c>
      <c r="T219" s="25" t="n">
        <v>-0.02693051580850872</v>
      </c>
      <c r="U219" s="25" t="n">
        <v>0.2120568970980383</v>
      </c>
      <c r="V219" s="25" t="n">
        <v>-0.01320578684425942</v>
      </c>
      <c r="W219" s="25" t="n">
        <v>-0.02338047658937373</v>
      </c>
      <c r="X219" s="25" t="n">
        <v>-0.03606501961550022</v>
      </c>
      <c r="Y219" s="25" t="n">
        <v>0.1084928726511721</v>
      </c>
      <c r="Z219" s="25" t="n">
        <v>-0.008424724646658943</v>
      </c>
      <c r="AA219" s="25" t="n">
        <v>-0.02741686495537962</v>
      </c>
      <c r="AB219" s="25" t="n">
        <v>0.06298874756783954</v>
      </c>
      <c r="AC219" s="25" t="n">
        <v>-0.05001229041121415</v>
      </c>
      <c r="AD219" s="25" t="n">
        <v>0.2080544209168174</v>
      </c>
      <c r="AE219" s="25" t="n">
        <v>0.3368028239802572</v>
      </c>
      <c r="AF219" s="25" t="n">
        <v>0.1538320572205135</v>
      </c>
      <c r="AG219" s="45" t="n">
        <v>-0.006877775200118379</v>
      </c>
      <c r="AI219" s="3">
        <f t="array" ref="AI219">SQRT(INDEX(_xlfn.ANCHORARRAY($B$190),A219,A219))</f>
        <v/>
      </c>
      <c r="AJ219" s="23" t="n"/>
      <c r="AK219" s="3">
        <f>$AP$191*AI219</f>
        <v/>
      </c>
      <c r="AL219" s="105">
        <f>ABS(Y148/AK219)</f>
        <v/>
      </c>
      <c r="AM219" s="108">
        <f>IF(AL219&lt;2.5,"Spełniony","Nie spełniony")</f>
        <v/>
      </c>
      <c r="AN219" s="23" t="n"/>
      <c r="AO219" s="23" t="n"/>
      <c r="AP219" s="23" t="n"/>
      <c r="AQ219" s="23" t="n"/>
    </row>
    <row r="220">
      <c r="A220" t="n">
        <v>31</v>
      </c>
      <c r="B220" s="67" t="n">
        <v>-0.04887373490292128</v>
      </c>
      <c r="C220" s="25" t="n">
        <v>0.1373584044984986</v>
      </c>
      <c r="D220" s="25" t="n">
        <v>0.1114887984906825</v>
      </c>
      <c r="E220" s="720" t="n">
        <v>-0.04664854130186608</v>
      </c>
      <c r="F220" s="720" t="n">
        <v>-0.1589934940157896</v>
      </c>
      <c r="G220" s="721" t="n">
        <v>0.02096200994161148</v>
      </c>
      <c r="H220" s="722" t="n">
        <v>-0.02633127146592365</v>
      </c>
      <c r="I220" s="25" t="n">
        <v>-0.04664844784804104</v>
      </c>
      <c r="J220" s="25" t="n">
        <v>0.02640696951592135</v>
      </c>
      <c r="K220" s="25" t="n">
        <v>0.01381372646361686</v>
      </c>
      <c r="L220" s="25" t="n">
        <v>0.05239642727875327</v>
      </c>
      <c r="M220" s="25" t="n">
        <v>-0.04887378102106631</v>
      </c>
      <c r="N220" s="25" t="n">
        <v>-0.03541463818785464</v>
      </c>
      <c r="O220" s="25" t="n">
        <v>-0.0175690331815846</v>
      </c>
      <c r="P220" s="25" t="n">
        <v>0.05586893460949142</v>
      </c>
      <c r="Q220" s="25" t="n">
        <v>0.048315073261568</v>
      </c>
      <c r="R220" s="25" t="n">
        <v>-0.03038704814879138</v>
      </c>
      <c r="S220" s="25" t="n">
        <v>0.09943967232344988</v>
      </c>
      <c r="T220" s="25" t="n">
        <v>-0.01607943593204877</v>
      </c>
      <c r="U220" s="25" t="n">
        <v>-0.06844466888352831</v>
      </c>
      <c r="V220" s="25" t="n">
        <v>-0.01984113421164773</v>
      </c>
      <c r="W220" s="25" t="n">
        <v>-0.04295081034172513</v>
      </c>
      <c r="X220" s="25" t="n">
        <v>-0.07760648228824071</v>
      </c>
      <c r="Y220" s="25" t="n">
        <v>0.06095338237805353</v>
      </c>
      <c r="Z220" s="25" t="n">
        <v>0.06639359764715339</v>
      </c>
      <c r="AA220" s="25" t="n">
        <v>0.0130514468164066</v>
      </c>
      <c r="AB220" s="25" t="n">
        <v>0.1015396300018002</v>
      </c>
      <c r="AC220" s="25" t="n">
        <v>-0.1216520460581781</v>
      </c>
      <c r="AD220" s="25" t="n">
        <v>0.2904164768248491</v>
      </c>
      <c r="AE220" s="25" t="n">
        <v>0.1538320572205135</v>
      </c>
      <c r="AF220" s="25" t="n">
        <v>0.5049749903826837</v>
      </c>
      <c r="AG220" s="45" t="n">
        <v>-0.08402137738109586</v>
      </c>
      <c r="AI220" s="3">
        <f t="array" ref="AI220">SQRT(INDEX(_xlfn.ANCHORARRAY($B$190),A220,A220))</f>
        <v/>
      </c>
      <c r="AJ220" s="23" t="n"/>
      <c r="AK220" s="3">
        <f>$AP$191*AI220</f>
        <v/>
      </c>
      <c r="AL220" s="105">
        <f>ABS(Y149/AK220)</f>
        <v/>
      </c>
      <c r="AM220" s="108">
        <f>IF(AL220&lt;2.5,"Spełniony","Nie spełniony")</f>
        <v/>
      </c>
      <c r="AN220" s="23" t="n"/>
      <c r="AO220" s="23" t="n"/>
      <c r="AP220" s="23" t="n"/>
      <c r="AQ220" s="23" t="n"/>
    </row>
    <row r="221">
      <c r="A221" t="n">
        <v>32</v>
      </c>
      <c r="B221" s="68" t="n">
        <v>0.02697317466543388</v>
      </c>
      <c r="C221" s="32" t="n">
        <v>0.08362365497938784</v>
      </c>
      <c r="D221" s="32" t="n">
        <v>0.02149233389022764</v>
      </c>
      <c r="E221" s="720" t="n">
        <v>0.01299809111770719</v>
      </c>
      <c r="F221" s="720" t="n">
        <v>0.1001384146216119</v>
      </c>
      <c r="G221" s="721" t="n">
        <v>-0.02226412262880961</v>
      </c>
      <c r="H221" s="722" t="n">
        <v>-0.003982860413865275</v>
      </c>
      <c r="I221" s="32" t="n">
        <v>0.01299806507785042</v>
      </c>
      <c r="J221" s="32" t="n">
        <v>0.04113233734175612</v>
      </c>
      <c r="K221" s="32" t="n">
        <v>0.00254507608820914</v>
      </c>
      <c r="L221" s="32" t="n">
        <v>-0.02990896071622523</v>
      </c>
      <c r="M221" s="32" t="n">
        <v>0.02697320011781197</v>
      </c>
      <c r="N221" s="32" t="n">
        <v>0.04016016146369487</v>
      </c>
      <c r="O221" s="32" t="n">
        <v>0.06770564858931326</v>
      </c>
      <c r="P221" s="32" t="n">
        <v>-0.1421084268527534</v>
      </c>
      <c r="Q221" s="32" t="n">
        <v>0.09132340710983849</v>
      </c>
      <c r="R221" s="32" t="n">
        <v>-0.113794169610421</v>
      </c>
      <c r="S221" s="32" t="n">
        <v>-0.2512404034222373</v>
      </c>
      <c r="T221" s="32" t="n">
        <v>0.1078517158796182</v>
      </c>
      <c r="U221" s="32" t="n">
        <v>-0.029332546486121</v>
      </c>
      <c r="V221" s="32" t="n">
        <v>-0.004722223728076361</v>
      </c>
      <c r="W221" s="32" t="n">
        <v>0.05829359216140498</v>
      </c>
      <c r="X221" s="32" t="n">
        <v>0.08801600040436143</v>
      </c>
      <c r="Y221" s="32" t="n">
        <v>-0.07600484343724562</v>
      </c>
      <c r="Z221" s="32" t="n">
        <v>-0.05500259690994003</v>
      </c>
      <c r="AA221" s="32" t="n">
        <v>-0.01057992849050436</v>
      </c>
      <c r="AB221" s="32" t="n">
        <v>-0.04490223860974921</v>
      </c>
      <c r="AC221" s="32" t="n">
        <v>0.003504128432494483</v>
      </c>
      <c r="AD221" s="32" t="n">
        <v>0.1307592722820075</v>
      </c>
      <c r="AE221" s="32" t="n">
        <v>-0.006877775200118424</v>
      </c>
      <c r="AF221" s="32" t="n">
        <v>-0.08402137738109597</v>
      </c>
      <c r="AG221" s="49" t="n">
        <v>0.2591462817026629</v>
      </c>
      <c r="AI221" s="3">
        <f t="array" ref="AI221">SQRT(INDEX(_xlfn.ANCHORARRAY($B$190),A221,A221))</f>
        <v/>
      </c>
      <c r="AJ221" s="23" t="n"/>
      <c r="AK221" s="4">
        <f>$AP$191*AI221</f>
        <v/>
      </c>
      <c r="AL221" s="106">
        <f>ABS(Y150/AK221)</f>
        <v/>
      </c>
      <c r="AM221" s="109">
        <f>IF(AL221&lt;2.5,"Spełniony","Nie spełniony")</f>
        <v/>
      </c>
      <c r="AN221" s="23" t="n"/>
      <c r="AO221" s="23" t="n"/>
      <c r="AP221" s="23" t="n"/>
      <c r="AQ221" s="23" t="n"/>
    </row>
  </sheetData>
  <mergeCells count="17">
    <mergeCell ref="R130:T130"/>
    <mergeCell ref="R109:T109"/>
    <mergeCell ref="S39:S41"/>
    <mergeCell ref="B189:AG189"/>
    <mergeCell ref="B154:AG154"/>
    <mergeCell ref="AO192:AP192"/>
    <mergeCell ref="AJ154:BO154"/>
    <mergeCell ref="A147:A149"/>
    <mergeCell ref="AO189:AP189"/>
    <mergeCell ref="U91:AZ91"/>
    <mergeCell ref="A126:A128"/>
    <mergeCell ref="B75:Q75"/>
    <mergeCell ref="B109:Q109"/>
    <mergeCell ref="B130:Q130"/>
    <mergeCell ref="AK188:AM188"/>
    <mergeCell ref="B39:Q39"/>
    <mergeCell ref="P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18"/>
  <sheetViews>
    <sheetView topLeftCell="A92" workbookViewId="0">
      <selection activeCell="A1" sqref="A1"/>
    </sheetView>
  </sheetViews>
  <sheetFormatPr baseColWidth="10" defaultColWidth="8.83203125" defaultRowHeight="15"/>
  <cols>
    <col width="13.1796875" customWidth="1" min="1" max="1"/>
    <col width="10.89453125" customWidth="1" min="2" max="16"/>
    <col width="10.22265625" customWidth="1" min="3" max="3"/>
    <col width="13" customWidth="1" min="4" max="4"/>
    <col width="13" customWidth="1" min="5" max="5"/>
    <col width="13" customWidth="1" min="6" max="6"/>
    <col width="13" customWidth="1" min="7" max="7"/>
    <col width="9.68359375" customWidth="1" min="8" max="8"/>
    <col width="13" customWidth="1" min="9" max="9"/>
    <col width="13" customWidth="1" min="10" max="10"/>
    <col width="11.97265625" customWidth="1" min="11" max="11"/>
    <col width="11.29687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21"/>
    <col width="13" customWidth="1" min="18" max="18"/>
    <col width="13" customWidth="1" min="19" max="19"/>
    <col width="9.01171875" customWidth="1" min="20" max="20"/>
    <col width="13.1796875" customWidth="1" min="21" max="21"/>
    <col width="9.14453125" customWidth="1" min="22" max="42"/>
    <col width="13.046875" customWidth="1" min="23" max="23"/>
    <col width="13" customWidth="1" min="24" max="24"/>
    <col width="9.14453125" customWidth="1" min="25" max="25"/>
    <col width="13.046875" customWidth="1" min="26" max="26"/>
    <col width="9.14453125" customWidth="1" min="27" max="27"/>
    <col width="13.046875" customWidth="1" min="28" max="28"/>
    <col width="9.14453125" customWidth="1" min="29" max="29"/>
    <col width="13" customWidth="1" min="30" max="30"/>
    <col width="13" customWidth="1" min="31" max="31"/>
    <col width="13" customWidth="1" min="32" max="32"/>
    <col width="11.8359375" customWidth="1" min="33" max="33"/>
    <col width="9.14453125" customWidth="1" min="34" max="34"/>
    <col width="13" customWidth="1" min="35" max="35"/>
    <col width="13" customWidth="1" min="36" max="36"/>
    <col width="13.046875" customWidth="1" min="37" max="37"/>
    <col width="13" customWidth="1" min="38" max="38"/>
    <col width="9.14453125" customWidth="1" min="39" max="39"/>
    <col width="13" customWidth="1" min="40" max="40"/>
    <col width="13" customWidth="1" min="41" max="41"/>
    <col width="13" customWidth="1" min="42" max="42"/>
    <col width="13" customWidth="1" min="43" max="45"/>
    <col width="13" customWidth="1" min="44" max="44"/>
    <col width="13" customWidth="1" min="45" max="45"/>
  </cols>
  <sheetData>
    <row r="1"/>
    <row r="2" ht="15.95" customHeight="1">
      <c r="A2" s="739" t="n"/>
      <c r="B2" s="590" t="inlineStr">
        <is>
          <t>ATA Wyjściowy</t>
        </is>
      </c>
      <c r="C2" s="596" t="n"/>
      <c r="D2" s="596" t="n"/>
      <c r="E2" s="596" t="n"/>
      <c r="F2" s="596" t="n"/>
      <c r="G2" s="596" t="n"/>
      <c r="H2" s="596" t="n"/>
      <c r="I2" s="596" t="n"/>
      <c r="J2" s="596" t="n"/>
      <c r="K2" s="596" t="n"/>
      <c r="L2" s="596" t="n"/>
      <c r="M2" s="596" t="n"/>
      <c r="N2" s="596" t="n"/>
      <c r="O2" s="596" t="n"/>
      <c r="P2" s="596" t="n"/>
      <c r="Q2" s="597" t="n"/>
      <c r="R2" s="21" t="inlineStr">
        <is>
          <t>ST</t>
        </is>
      </c>
      <c r="S2" s="596" t="n"/>
      <c r="T2" s="597" t="n"/>
      <c r="U2" s="657" t="n"/>
      <c r="V2" s="590" t="n"/>
      <c r="W2" s="590" t="inlineStr">
        <is>
          <t>(ATA)-1</t>
        </is>
      </c>
      <c r="X2" s="596" t="n"/>
      <c r="Y2" s="596" t="n"/>
      <c r="Z2" s="596" t="n"/>
      <c r="AA2" s="596" t="n"/>
      <c r="AB2" s="596" t="n"/>
      <c r="AC2" s="596" t="n"/>
      <c r="AD2" s="596" t="n"/>
      <c r="AE2" s="596" t="n"/>
      <c r="AF2" s="596" t="n"/>
      <c r="AG2" s="596" t="n"/>
      <c r="AH2" s="596" t="n"/>
      <c r="AI2" s="596" t="n"/>
      <c r="AJ2" s="596" t="n"/>
      <c r="AK2" s="596" t="n"/>
      <c r="AL2" s="597" t="n"/>
      <c r="AM2" s="443" t="inlineStr">
        <is>
          <t>ST(-1)</t>
        </is>
      </c>
      <c r="AN2" s="596" t="n"/>
      <c r="AO2" s="597" t="n"/>
      <c r="AP2" s="658" t="n"/>
      <c r="AQ2" s="442" t="inlineStr">
        <is>
          <t>X</t>
        </is>
      </c>
      <c r="AR2" s="443" t="inlineStr">
        <is>
          <t>m0</t>
        </is>
      </c>
      <c r="AS2" s="444" t="inlineStr">
        <is>
          <t>mx</t>
        </is>
      </c>
    </row>
    <row r="3">
      <c r="A3" s="580" t="n"/>
      <c r="B3" s="581">
        <f t="array" ref="B3:Q18">_xlfn.ANCHORARRAY('Wyrównanie wstępne - wyjściowy'!B110)</f>
        <v/>
      </c>
      <c r="C3" s="581" t="n">
        <v>-1321071.997594018</v>
      </c>
      <c r="D3" s="581" t="n">
        <v>-727167.8477095658</v>
      </c>
      <c r="E3" s="581" t="n">
        <v>-1704466.743152932</v>
      </c>
      <c r="F3" s="581" t="n">
        <v>0</v>
      </c>
      <c r="G3" s="581" t="n">
        <v>0</v>
      </c>
      <c r="H3" s="581" t="n">
        <v>0</v>
      </c>
      <c r="I3" s="581" t="n">
        <v>0</v>
      </c>
      <c r="J3" s="581" t="n">
        <v>0</v>
      </c>
      <c r="K3" s="581" t="n">
        <v>0</v>
      </c>
      <c r="L3" s="581" t="n">
        <v>-60305.20729835179</v>
      </c>
      <c r="M3" s="581" t="n">
        <v>266347.9989010541</v>
      </c>
      <c r="N3" s="581" t="n">
        <v>-551395.9924182012</v>
      </c>
      <c r="O3" s="581" t="n">
        <v>1785040.820387639</v>
      </c>
      <c r="P3" s="581" t="n">
        <v>-2190966.540496671</v>
      </c>
      <c r="Q3" s="580" t="n">
        <v>974149.9214582572</v>
      </c>
      <c r="R3" s="581">
        <f t="array" ref="R3:T18">TRANSPOSE(B19:Q21)</f>
        <v/>
      </c>
      <c r="S3" s="555" t="n">
        <v>0</v>
      </c>
      <c r="T3" s="123" t="n">
        <v>0</v>
      </c>
      <c r="U3" s="740" t="n"/>
      <c r="V3" s="741" t="n"/>
      <c r="W3" s="741">
        <f t="array" ref="W3:AO21">MINVERSE(B3:T21)</f>
        <v/>
      </c>
      <c r="X3" s="741" t="n">
        <v>3.05034990254896e-07</v>
      </c>
      <c r="Y3" s="741" t="n">
        <v>8.047635364383271e-07</v>
      </c>
      <c r="Z3" s="741" t="n">
        <v>7.112138582574732e-07</v>
      </c>
      <c r="AA3" s="741" t="n">
        <v>2.904438642605967e-08</v>
      </c>
      <c r="AB3" s="741" t="n">
        <v>4.58351855239003e-07</v>
      </c>
      <c r="AC3" s="741" t="n">
        <v>7.56285893905024e-25</v>
      </c>
      <c r="AD3" s="741" t="n">
        <v>0</v>
      </c>
      <c r="AE3" s="741" t="n">
        <v>-5.296997215286091e-08</v>
      </c>
      <c r="AF3" s="741" t="n">
        <v>-2.138578217182701e-07</v>
      </c>
      <c r="AG3" s="741" t="n">
        <v>1.834073384647977e-07</v>
      </c>
      <c r="AH3" s="741" t="n">
        <v>-1.355789362953735e-07</v>
      </c>
      <c r="AI3" s="741" t="n">
        <v>-1.282738685543403e-07</v>
      </c>
      <c r="AJ3" s="741" t="n">
        <v>-2.211618423350692e-07</v>
      </c>
      <c r="AK3" s="742" t="n">
        <v>4.981651942574763e-07</v>
      </c>
      <c r="AL3" s="743" t="n">
        <v>2.375755700573414e-07</v>
      </c>
      <c r="AM3" s="616" t="n">
        <v>1.000000000000002</v>
      </c>
      <c r="AN3" s="143" t="n">
        <v>-6.596076158631625e-16</v>
      </c>
      <c r="AO3" s="617" t="n">
        <v>0.0005811946409141122</v>
      </c>
      <c r="AP3" s="617" t="n"/>
      <c r="AQ3" s="89">
        <f t="array" ref="AQ3:AQ18">-MMULT(W3:AL18,_xlfn.ANCHORARRAY('Wyrównanie wstępne - wyjściowy'!V110))</f>
        <v/>
      </c>
      <c r="AR3" s="189">
        <f>'Wyrównanie wstępne - wyjściowy'!AB131</f>
        <v/>
      </c>
      <c r="AS3" s="89">
        <f>SQRT(ROUND(W3,10))*$AR$3</f>
        <v/>
      </c>
    </row>
    <row r="4">
      <c r="A4" s="543" t="n"/>
      <c r="B4" s="125" t="n">
        <v>-1321071.997594018</v>
      </c>
      <c r="C4" s="23" t="n">
        <v>2986537.51784672</v>
      </c>
      <c r="D4" s="23" t="n">
        <v>-142881.1496546489</v>
      </c>
      <c r="E4" s="23" t="n">
        <v>556830.305851076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266347.9989010541</v>
      </c>
      <c r="M4" s="23" t="n">
        <v>-1176370.328479657</v>
      </c>
      <c r="N4" s="23" t="n">
        <v>497031.5670519102</v>
      </c>
      <c r="O4" s="23" t="n">
        <v>-1166911.190013903</v>
      </c>
      <c r="P4" s="23" t="n">
        <v>700573.581295703</v>
      </c>
      <c r="Q4" s="543" t="n">
        <v>-1200086.305204235</v>
      </c>
      <c r="R4" s="125" t="n">
        <v>0</v>
      </c>
      <c r="S4" s="544" t="n">
        <v>0</v>
      </c>
      <c r="T4" s="126" t="n">
        <v>0</v>
      </c>
      <c r="U4" s="744" t="n"/>
      <c r="V4" s="745" t="n"/>
      <c r="W4" s="745" t="n">
        <v>3.050349902548962e-07</v>
      </c>
      <c r="X4" s="745" t="n">
        <v>6.80495757120771e-07</v>
      </c>
      <c r="Y4" s="745" t="n">
        <v>2.767557045835685e-07</v>
      </c>
      <c r="Z4" s="745" t="n">
        <v>2.821266178862502e-07</v>
      </c>
      <c r="AA4" s="745" t="n">
        <v>-1.343004305179342e-08</v>
      </c>
      <c r="AB4" s="745" t="n">
        <v>1.792336402170541e-07</v>
      </c>
      <c r="AC4" s="745" t="n">
        <v>-4.96599634439095e-25</v>
      </c>
      <c r="AD4" s="745" t="n">
        <v>0</v>
      </c>
      <c r="AE4" s="745" t="n">
        <v>6.785024066555468e-09</v>
      </c>
      <c r="AF4" s="745" t="n">
        <v>1.218024305851355e-07</v>
      </c>
      <c r="AG4" s="745" t="n">
        <v>6.108986434139667e-08</v>
      </c>
      <c r="AH4" s="745" t="n">
        <v>2.281355602670156e-07</v>
      </c>
      <c r="AI4" s="745" t="n">
        <v>1.378883972264686e-07</v>
      </c>
      <c r="AJ4" s="745" t="n">
        <v>2.377386159077044e-07</v>
      </c>
      <c r="AK4" s="746" t="n">
        <v>8.206248118418699e-08</v>
      </c>
      <c r="AL4" s="486" t="n">
        <v>2.861556723815827e-07</v>
      </c>
      <c r="AM4" s="620" t="n">
        <v>4.294004798532775e-16</v>
      </c>
      <c r="AN4" s="145" t="n">
        <v>1.000000000000001</v>
      </c>
      <c r="AO4" s="542" t="n">
        <v>-8.639379797371935e-05</v>
      </c>
      <c r="AP4" s="542" t="n"/>
      <c r="AQ4" s="90" t="n">
        <v>0.001019899375218284</v>
      </c>
      <c r="AS4" s="90">
        <f>SQRT(ROUND(X4,10))*$AR$3</f>
        <v/>
      </c>
    </row>
    <row r="5">
      <c r="A5" s="543" t="n"/>
      <c r="B5" s="125" t="n">
        <v>-727167.8477095658</v>
      </c>
      <c r="C5" s="23" t="n">
        <v>-142881.1496546489</v>
      </c>
      <c r="D5" s="23" t="n">
        <v>1530177.468067946</v>
      </c>
      <c r="E5" s="23" t="n">
        <v>258472.9763532605</v>
      </c>
      <c r="F5" s="23" t="n">
        <v>147487.7661795294</v>
      </c>
      <c r="G5" s="23" t="n">
        <v>8701.116186472093</v>
      </c>
      <c r="H5" s="23" t="n">
        <v>-206153.7200646798</v>
      </c>
      <c r="I5" s="23" t="n">
        <v>280598.1189769254</v>
      </c>
      <c r="J5" s="23" t="n">
        <v>0</v>
      </c>
      <c r="K5" s="23" t="n">
        <v>0</v>
      </c>
      <c r="L5" s="23" t="n">
        <v>0</v>
      </c>
      <c r="M5" s="23" t="n">
        <v>0</v>
      </c>
      <c r="N5" s="23" t="n">
        <v>0</v>
      </c>
      <c r="O5" s="23" t="n">
        <v>0</v>
      </c>
      <c r="P5" s="23" t="n">
        <v>-744343.6664732296</v>
      </c>
      <c r="Q5" s="543" t="n">
        <v>-404891.0618620091</v>
      </c>
      <c r="R5" s="125" t="n">
        <v>0</v>
      </c>
      <c r="S5" s="544" t="n">
        <v>0</v>
      </c>
      <c r="T5" s="126" t="n">
        <v>0</v>
      </c>
      <c r="U5" s="744" t="n"/>
      <c r="V5" s="745" t="n"/>
      <c r="W5" s="745" t="n">
        <v>8.04763536438327e-07</v>
      </c>
      <c r="X5" s="745" t="n">
        <v>2.767557045835681e-07</v>
      </c>
      <c r="Y5" s="745" t="n">
        <v>1.234530964127619e-06</v>
      </c>
      <c r="Z5" s="745" t="n">
        <v>4.754451993131944e-07</v>
      </c>
      <c r="AA5" s="745" t="n">
        <v>4.211923673839976e-08</v>
      </c>
      <c r="AB5" s="745" t="n">
        <v>3.400279591845256e-07</v>
      </c>
      <c r="AC5" s="745" t="n">
        <v>-1.695092439074415e-24</v>
      </c>
      <c r="AD5" s="745" t="n">
        <v>0</v>
      </c>
      <c r="AE5" s="745" t="n">
        <v>-3.254662800256898e-08</v>
      </c>
      <c r="AF5" s="745" t="n">
        <v>-1.303087027414475e-07</v>
      </c>
      <c r="AG5" s="745" t="n">
        <v>1.689621464333067e-07</v>
      </c>
      <c r="AH5" s="745" t="n">
        <v>-4.284447167989087e-08</v>
      </c>
      <c r="AI5" s="745" t="n">
        <v>-3.834234447926727e-08</v>
      </c>
      <c r="AJ5" s="745" t="n">
        <v>-6.610749048149514e-08</v>
      </c>
      <c r="AK5" s="746" t="n">
        <v>4.023691720923579e-07</v>
      </c>
      <c r="AL5" s="486" t="n">
        <v>2.392485731618558e-07</v>
      </c>
      <c r="AM5" s="620" t="n">
        <v>1.000000000000002</v>
      </c>
      <c r="AN5" s="145" t="n">
        <v>-3.995161763886038e-16</v>
      </c>
      <c r="AO5" s="542" t="n">
        <v>0.00038484510006475</v>
      </c>
      <c r="AP5" s="542" t="n"/>
      <c r="AQ5" s="90" t="n">
        <v>5.008969092646785e-05</v>
      </c>
      <c r="AS5" s="90">
        <f>SQRT(ROUND(Y5,10))*$AR$3</f>
        <v/>
      </c>
    </row>
    <row r="6">
      <c r="A6" s="543" t="n"/>
      <c r="B6" s="125" t="n">
        <v>-1704466.743152932</v>
      </c>
      <c r="C6" s="23" t="n">
        <v>556830.305851076</v>
      </c>
      <c r="D6" s="23" t="n">
        <v>258472.9763532605</v>
      </c>
      <c r="E6" s="23" t="n">
        <v>4459685.747600202</v>
      </c>
      <c r="F6" s="23" t="n">
        <v>1204860.266961728</v>
      </c>
      <c r="G6" s="23" t="n">
        <v>-1467478.234832786</v>
      </c>
      <c r="H6" s="23" t="n">
        <v>280598.1189769254</v>
      </c>
      <c r="I6" s="23" t="n">
        <v>-381925.217496371</v>
      </c>
      <c r="J6" s="23" t="n">
        <v>0</v>
      </c>
      <c r="K6" s="23" t="n">
        <v>0</v>
      </c>
      <c r="L6" s="23" t="n">
        <v>0</v>
      </c>
      <c r="M6" s="23" t="n">
        <v>0</v>
      </c>
      <c r="N6" s="23" t="n">
        <v>0</v>
      </c>
      <c r="O6" s="23" t="n">
        <v>0</v>
      </c>
      <c r="P6" s="23" t="n">
        <v>-39464.61913898122</v>
      </c>
      <c r="Q6" s="543" t="n">
        <v>-3167112.601122121</v>
      </c>
      <c r="R6" s="125" t="n">
        <v>0</v>
      </c>
      <c r="S6" s="544" t="n">
        <v>0</v>
      </c>
      <c r="T6" s="126" t="n">
        <v>0</v>
      </c>
      <c r="U6" s="744" t="n"/>
      <c r="V6" s="745" t="n"/>
      <c r="W6" s="745" t="n">
        <v>7.112138582574736e-07</v>
      </c>
      <c r="X6" s="745" t="n">
        <v>2.821266178862502e-07</v>
      </c>
      <c r="Y6" s="745" t="n">
        <v>4.754451993131947e-07</v>
      </c>
      <c r="Z6" s="745" t="n">
        <v>9.523543621091388e-07</v>
      </c>
      <c r="AA6" s="745" t="n">
        <v>-1.139667746974264e-07</v>
      </c>
      <c r="AB6" s="745" t="n">
        <v>5.19289245201382e-07</v>
      </c>
      <c r="AC6" s="745" t="n">
        <v>-3.193184556670171e-25</v>
      </c>
      <c r="AD6" s="745" t="n">
        <v>0</v>
      </c>
      <c r="AE6" s="745" t="n">
        <v>-6.817741633210688e-08</v>
      </c>
      <c r="AF6" s="745" t="n">
        <v>-4.362949284814648e-08</v>
      </c>
      <c r="AG6" s="745" t="n">
        <v>1.409749837091741e-07</v>
      </c>
      <c r="AH6" s="745" t="n">
        <v>4.046140807291248e-08</v>
      </c>
      <c r="AI6" s="745" t="n">
        <v>2.290604703435554e-08</v>
      </c>
      <c r="AJ6" s="745" t="n">
        <v>3.949318454199243e-08</v>
      </c>
      <c r="AK6" s="746" t="n">
        <v>3.01540827191082e-07</v>
      </c>
      <c r="AL6" s="486" t="n">
        <v>4.432072593439142e-07</v>
      </c>
      <c r="AM6" s="620" t="n">
        <v>1.423653936975412e-15</v>
      </c>
      <c r="AN6" s="145" t="n">
        <v>0.9999999999999999</v>
      </c>
      <c r="AO6" s="542" t="n">
        <v>0.0002827433388230817</v>
      </c>
      <c r="AP6" s="542" t="n"/>
      <c r="AQ6" s="90" t="n">
        <v>0.001399105943051346</v>
      </c>
      <c r="AS6" s="90">
        <f>SQRT(ROUND(Z6,10))*$AR$3</f>
        <v/>
      </c>
    </row>
    <row r="7">
      <c r="A7" s="543" t="n"/>
      <c r="B7" s="125" t="n">
        <v>0</v>
      </c>
      <c r="C7" s="23" t="n">
        <v>0</v>
      </c>
      <c r="D7" s="23" t="n">
        <v>147487.7661795294</v>
      </c>
      <c r="E7" s="23" t="n">
        <v>1204860.266961728</v>
      </c>
      <c r="F7" s="23" t="n">
        <v>3197552.028923159</v>
      </c>
      <c r="G7" s="23" t="n">
        <v>-313305.7077877912</v>
      </c>
      <c r="H7" s="23" t="n">
        <v>-1228688.353057525</v>
      </c>
      <c r="I7" s="23" t="n">
        <v>-445656.7127718034</v>
      </c>
      <c r="J7" s="23" t="n">
        <v>0</v>
      </c>
      <c r="K7" s="23" t="n">
        <v>0</v>
      </c>
      <c r="L7" s="23" t="n">
        <v>-606699.8419580946</v>
      </c>
      <c r="M7" s="23" t="n">
        <v>-118960.7533251165</v>
      </c>
      <c r="N7" s="23" t="n">
        <v>0</v>
      </c>
      <c r="O7" s="23" t="n">
        <v>0</v>
      </c>
      <c r="P7" s="23" t="n">
        <v>-1509651.600087069</v>
      </c>
      <c r="Q7" s="543" t="n">
        <v>-326937.0930770166</v>
      </c>
      <c r="R7" s="125" t="n">
        <v>0</v>
      </c>
      <c r="S7" s="544" t="n">
        <v>0</v>
      </c>
      <c r="T7" s="126" t="n">
        <v>0</v>
      </c>
      <c r="U7" s="744" t="n"/>
      <c r="V7" s="745" t="n"/>
      <c r="W7" s="745" t="n">
        <v>2.904438642605952e-08</v>
      </c>
      <c r="X7" s="745" t="n">
        <v>-1.343004305179346e-08</v>
      </c>
      <c r="Y7" s="745" t="n">
        <v>4.211923673839969e-08</v>
      </c>
      <c r="Z7" s="745" t="n">
        <v>-1.139667746974264e-07</v>
      </c>
      <c r="AA7" s="745" t="n">
        <v>4.267481109936763e-07</v>
      </c>
      <c r="AB7" s="745" t="n">
        <v>2.280009386919868e-08</v>
      </c>
      <c r="AC7" s="745" t="n">
        <v>1.292363366049893e-25</v>
      </c>
      <c r="AD7" s="745" t="n">
        <v>0</v>
      </c>
      <c r="AE7" s="745" t="n">
        <v>3.157584908502055e-08</v>
      </c>
      <c r="AF7" s="745" t="n">
        <v>-5.166413397725392e-08</v>
      </c>
      <c r="AG7" s="745" t="n">
        <v>9.181679687751653e-08</v>
      </c>
      <c r="AH7" s="745" t="n">
        <v>-1.439068819326654e-08</v>
      </c>
      <c r="AI7" s="745" t="n">
        <v>4.51116179729096e-09</v>
      </c>
      <c r="AJ7" s="745" t="n">
        <v>7.777865167743e-09</v>
      </c>
      <c r="AK7" s="746" t="n">
        <v>1.194972078448475e-07</v>
      </c>
      <c r="AL7" s="486" t="n">
        <v>-2.474034942462917e-08</v>
      </c>
      <c r="AM7" s="620" t="n">
        <v>1</v>
      </c>
      <c r="AN7" s="145" t="n">
        <v>0</v>
      </c>
      <c r="AO7" s="542" t="n">
        <v>8.639379797371942e-05</v>
      </c>
      <c r="AP7" s="542" t="n"/>
      <c r="AQ7" s="90" t="n">
        <v>0.000593268471452398</v>
      </c>
      <c r="AS7" s="90">
        <f>SQRT(ROUND(AA7,10))*$AR$3</f>
        <v/>
      </c>
    </row>
    <row r="8">
      <c r="A8" s="543" t="n"/>
      <c r="B8" s="125" t="n">
        <v>0</v>
      </c>
      <c r="C8" s="23" t="n">
        <v>0</v>
      </c>
      <c r="D8" s="23" t="n">
        <v>8701.116186472093</v>
      </c>
      <c r="E8" s="23" t="n">
        <v>-1467478.234832786</v>
      </c>
      <c r="F8" s="23" t="n">
        <v>-313305.7077877912</v>
      </c>
      <c r="G8" s="23" t="n">
        <v>3742623.987782983</v>
      </c>
      <c r="H8" s="23" t="n">
        <v>1453154.501131713</v>
      </c>
      <c r="I8" s="23" t="n">
        <v>-1670577.405905676</v>
      </c>
      <c r="J8" s="23" t="n">
        <v>0</v>
      </c>
      <c r="K8" s="23" t="n">
        <v>0</v>
      </c>
      <c r="L8" s="23" t="n">
        <v>-118960.7533251165</v>
      </c>
      <c r="M8" s="23" t="n">
        <v>-23325.63790688556</v>
      </c>
      <c r="N8" s="23" t="n">
        <v>0</v>
      </c>
      <c r="O8" s="23" t="n">
        <v>0</v>
      </c>
      <c r="P8" s="23" t="n">
        <v>-1029589.156205278</v>
      </c>
      <c r="Q8" s="543" t="n">
        <v>-581242.709137636</v>
      </c>
      <c r="R8" s="125" t="n">
        <v>0</v>
      </c>
      <c r="S8" s="544" t="n">
        <v>0</v>
      </c>
      <c r="T8" s="126" t="n">
        <v>0</v>
      </c>
      <c r="U8" s="744" t="n"/>
      <c r="V8" s="745" t="n"/>
      <c r="W8" s="745" t="n">
        <v>4.583518552390031e-07</v>
      </c>
      <c r="X8" s="745" t="n">
        <v>1.79233640217054e-07</v>
      </c>
      <c r="Y8" s="745" t="n">
        <v>3.400279591845257e-07</v>
      </c>
      <c r="Z8" s="745" t="n">
        <v>5.192892452013819e-07</v>
      </c>
      <c r="AA8" s="745" t="n">
        <v>2.28000938691987e-08</v>
      </c>
      <c r="AB8" s="745" t="n">
        <v>5.902453622375685e-07</v>
      </c>
      <c r="AC8" s="745" t="n">
        <v>3.199233384589405e-24</v>
      </c>
      <c r="AD8" s="745" t="n">
        <v>0</v>
      </c>
      <c r="AE8" s="745" t="n">
        <v>-3.08260128626177e-08</v>
      </c>
      <c r="AF8" s="745" t="n">
        <v>-5.170281625194921e-08</v>
      </c>
      <c r="AG8" s="745" t="n">
        <v>1.331111946546896e-07</v>
      </c>
      <c r="AH8" s="745" t="n">
        <v>2.137732117342881e-08</v>
      </c>
      <c r="AI8" s="745" t="n">
        <v>2.035726558321331e-08</v>
      </c>
      <c r="AJ8" s="745" t="n">
        <v>3.509873376416098e-08</v>
      </c>
      <c r="AK8" s="746" t="n">
        <v>2.585602427560692e-07</v>
      </c>
      <c r="AL8" s="486" t="n">
        <v>2.757738503585323e-07</v>
      </c>
      <c r="AM8" s="620" t="n">
        <v>1.022078775648317e-15</v>
      </c>
      <c r="AN8" s="145" t="n">
        <v>1</v>
      </c>
      <c r="AO8" s="542" t="n">
        <v>0.0002199114857512858</v>
      </c>
      <c r="AP8" s="542" t="n"/>
      <c r="AQ8" s="90" t="n">
        <v>0.0007324951981997952</v>
      </c>
      <c r="AS8" s="90">
        <f>SQRT(ROUND(AB8,10))*$AR$3</f>
        <v/>
      </c>
    </row>
    <row r="9">
      <c r="A9" s="543" t="n"/>
      <c r="B9" s="125" t="n">
        <v>0</v>
      </c>
      <c r="C9" s="23" t="n">
        <v>0</v>
      </c>
      <c r="D9" s="23" t="n">
        <v>-206153.7200646798</v>
      </c>
      <c r="E9" s="23" t="n">
        <v>280598.1189769254</v>
      </c>
      <c r="F9" s="23" t="n">
        <v>-1228688.353057525</v>
      </c>
      <c r="G9" s="23" t="n">
        <v>1453154.501131713</v>
      </c>
      <c r="H9" s="23" t="n">
        <v>6377052.080603315</v>
      </c>
      <c r="I9" s="23" t="n">
        <v>60080.06910376681</v>
      </c>
      <c r="J9" s="23" t="n">
        <v>-1392391.915405798</v>
      </c>
      <c r="K9" s="23" t="n">
        <v>-1871079.379933775</v>
      </c>
      <c r="L9" s="23" t="n">
        <v>-2467755.58049569</v>
      </c>
      <c r="M9" s="23" t="n">
        <v>153229.9907167496</v>
      </c>
      <c r="N9" s="23" t="n">
        <v>0</v>
      </c>
      <c r="O9" s="23" t="n">
        <v>0</v>
      </c>
      <c r="P9" s="23" t="n">
        <v>-1082062.511579622</v>
      </c>
      <c r="Q9" s="543" t="n">
        <v>-75983.29999538064</v>
      </c>
      <c r="R9" s="125" t="n">
        <v>1</v>
      </c>
      <c r="S9" s="544" t="n">
        <v>0</v>
      </c>
      <c r="T9" s="126" t="n">
        <v>-1905.47672064526</v>
      </c>
      <c r="U9" s="744" t="n"/>
      <c r="V9" s="745" t="n"/>
      <c r="W9" s="745" t="n">
        <v>-4.569140696342555e-23</v>
      </c>
      <c r="X9" s="745" t="n">
        <v>0</v>
      </c>
      <c r="Y9" s="745" t="n">
        <v>2.284570348171278e-23</v>
      </c>
      <c r="Z9" s="745" t="n">
        <v>1.827656278537022e-22</v>
      </c>
      <c r="AA9" s="745" t="n">
        <v>-2.855712935214097e-23</v>
      </c>
      <c r="AB9" s="745" t="n">
        <v>2.284570348171278e-23</v>
      </c>
      <c r="AC9" s="745" t="n">
        <v>-4.273739801278203e-24</v>
      </c>
      <c r="AD9" s="745" t="n">
        <v>0</v>
      </c>
      <c r="AE9" s="745" t="n">
        <v>2.284570348171278e-23</v>
      </c>
      <c r="AF9" s="745" t="n">
        <v>-4.569140696342555e-23</v>
      </c>
      <c r="AG9" s="745" t="n">
        <v>4.569140696342555e-23</v>
      </c>
      <c r="AH9" s="745" t="n">
        <v>3.426855522256916e-23</v>
      </c>
      <c r="AI9" s="745" t="n">
        <v>-9.13828139268511e-23</v>
      </c>
      <c r="AJ9" s="745" t="n">
        <v>-2.05611331335415e-22</v>
      </c>
      <c r="AK9" s="746" t="n">
        <v>2.284570348171278e-23</v>
      </c>
      <c r="AL9" s="486" t="n">
        <v>-1.042335221353145e-22</v>
      </c>
      <c r="AM9" s="620" t="n">
        <v>1</v>
      </c>
      <c r="AN9" s="145" t="n">
        <v>-5.79683863226581e-17</v>
      </c>
      <c r="AO9" s="542" t="n">
        <v>-5.614161161432849e-20</v>
      </c>
      <c r="AP9" s="542" t="n"/>
      <c r="AQ9" s="747" t="n">
        <v>1.735257243726373e-20</v>
      </c>
      <c r="AS9" s="90">
        <f>SQRT(ROUND(AC9,10))*$AR$3</f>
        <v/>
      </c>
    </row>
    <row r="10">
      <c r="A10" s="543" t="n"/>
      <c r="B10" s="125" t="n">
        <v>0</v>
      </c>
      <c r="C10" s="23" t="n">
        <v>0</v>
      </c>
      <c r="D10" s="23" t="n">
        <v>280598.1189769254</v>
      </c>
      <c r="E10" s="23" t="n">
        <v>-381925.217496371</v>
      </c>
      <c r="F10" s="23" t="n">
        <v>-445656.7127718034</v>
      </c>
      <c r="G10" s="23" t="n">
        <v>-1670577.405905676</v>
      </c>
      <c r="H10" s="23" t="n">
        <v>60080.06910376681</v>
      </c>
      <c r="I10" s="23" t="n">
        <v>5042162.477009702</v>
      </c>
      <c r="J10" s="23" t="n">
        <v>206717.3338608228</v>
      </c>
      <c r="K10" s="23" t="n">
        <v>-1289173.099980433</v>
      </c>
      <c r="L10" s="23" t="n">
        <v>419604.1317180932</v>
      </c>
      <c r="M10" s="23" t="n">
        <v>-1351047.317675701</v>
      </c>
      <c r="N10" s="23" t="n">
        <v>0</v>
      </c>
      <c r="O10" s="23" t="n">
        <v>0</v>
      </c>
      <c r="P10" s="23" t="n">
        <v>-521342.9408878051</v>
      </c>
      <c r="Q10" s="543" t="n">
        <v>-349439.4359515198</v>
      </c>
      <c r="R10" s="125" t="n">
        <v>0</v>
      </c>
      <c r="S10" s="544" t="n">
        <v>1</v>
      </c>
      <c r="T10" s="126" t="n">
        <v>1105.176497974251</v>
      </c>
      <c r="U10" s="744" t="n"/>
      <c r="V10" s="745" t="n"/>
      <c r="W10" s="745" t="n">
        <v>-2.996092877789325e-23</v>
      </c>
      <c r="X10" s="745" t="n">
        <v>6.741208975025981e-23</v>
      </c>
      <c r="Y10" s="745" t="n">
        <v>0</v>
      </c>
      <c r="Z10" s="745" t="n">
        <v>-2.996092877789325e-23</v>
      </c>
      <c r="AA10" s="745" t="n">
        <v>-1.498046438894663e-23</v>
      </c>
      <c r="AB10" s="745" t="n">
        <v>8.988278633367976e-23</v>
      </c>
      <c r="AC10" s="745" t="n">
        <v>4.293976704037527e-24</v>
      </c>
      <c r="AD10" s="745" t="n">
        <v>0</v>
      </c>
      <c r="AE10" s="745" t="n">
        <v>-1.498046438894663e-23</v>
      </c>
      <c r="AF10" s="745" t="n">
        <v>-1.498046438894663e-23</v>
      </c>
      <c r="AG10" s="745" t="n">
        <v>-7.490232194473313e-24</v>
      </c>
      <c r="AH10" s="745" t="n">
        <v>2.996092877789325e-23</v>
      </c>
      <c r="AI10" s="745" t="n">
        <v>0</v>
      </c>
      <c r="AJ10" s="745" t="n">
        <v>0</v>
      </c>
      <c r="AK10" s="746" t="n">
        <v>-1.498046438894663e-23</v>
      </c>
      <c r="AL10" s="486" t="n">
        <v>-1.498046438894663e-23</v>
      </c>
      <c r="AM10" s="620" t="n">
        <v>1.112804821217736e-17</v>
      </c>
      <c r="AN10" s="145" t="n">
        <v>1</v>
      </c>
      <c r="AO10" s="542" t="n">
        <v>7.01091158469818e-21</v>
      </c>
      <c r="AP10" s="542" t="n"/>
      <c r="AQ10" s="747" t="n">
        <v>-1.165713159092814e-19</v>
      </c>
      <c r="AS10" s="90">
        <f>SQRT(ROUND(AD10,10))*$AR$3</f>
        <v/>
      </c>
    </row>
    <row r="11">
      <c r="A11" s="543" t="n"/>
      <c r="B11" s="125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-1392391.915405798</v>
      </c>
      <c r="I11" s="23" t="n">
        <v>206717.3338608228</v>
      </c>
      <c r="J11" s="23" t="n">
        <v>1701793.386824084</v>
      </c>
      <c r="K11" s="23" t="n">
        <v>7240.326036168612</v>
      </c>
      <c r="L11" s="23" t="n">
        <v>-834516.9148804627</v>
      </c>
      <c r="M11" s="23" t="n">
        <v>-668089.3462479746</v>
      </c>
      <c r="N11" s="23" t="n">
        <v>333331.8231710103</v>
      </c>
      <c r="O11" s="23" t="n">
        <v>14175.26468405878</v>
      </c>
      <c r="P11" s="23" t="n">
        <v>191783.6202911655</v>
      </c>
      <c r="Q11" s="543" t="n">
        <v>439956.4216669244</v>
      </c>
      <c r="R11" s="125" t="n">
        <v>0</v>
      </c>
      <c r="S11" s="544" t="n">
        <v>0</v>
      </c>
      <c r="T11" s="126" t="n">
        <v>0</v>
      </c>
      <c r="U11" s="744" t="n"/>
      <c r="V11" s="745" t="n"/>
      <c r="W11" s="745" t="n">
        <v>-5.296997215286112e-08</v>
      </c>
      <c r="X11" s="745" t="n">
        <v>6.785024066555504e-09</v>
      </c>
      <c r="Y11" s="745" t="n">
        <v>-3.254662800256897e-08</v>
      </c>
      <c r="Z11" s="745" t="n">
        <v>-6.817741633210649e-08</v>
      </c>
      <c r="AA11" s="745" t="n">
        <v>3.157584908502047e-08</v>
      </c>
      <c r="AB11" s="745" t="n">
        <v>-3.082601286261772e-08</v>
      </c>
      <c r="AC11" s="745" t="n">
        <v>8.734343807401346e-24</v>
      </c>
      <c r="AD11" s="745" t="n">
        <v>0</v>
      </c>
      <c r="AE11" s="745" t="n">
        <v>6.603325635999322e-07</v>
      </c>
      <c r="AF11" s="745" t="n">
        <v>1.83845979206021e-08</v>
      </c>
      <c r="AG11" s="745" t="n">
        <v>7.537990014377536e-08</v>
      </c>
      <c r="AH11" s="745" t="n">
        <v>7.245726501625982e-08</v>
      </c>
      <c r="AI11" s="745" t="n">
        <v>2.311642008323828e-08</v>
      </c>
      <c r="AJ11" s="745" t="n">
        <v>3.985589669523827e-08</v>
      </c>
      <c r="AK11" s="746" t="n">
        <v>-1.110910674182405e-08</v>
      </c>
      <c r="AL11" s="486" t="n">
        <v>-4.252428763447419e-08</v>
      </c>
      <c r="AM11" s="620" t="n">
        <v>1</v>
      </c>
      <c r="AN11" s="145" t="n">
        <v>1.260177696752513e-16</v>
      </c>
      <c r="AO11" s="542" t="n">
        <v>-0.000109955742875643</v>
      </c>
      <c r="AP11" s="542" t="n"/>
      <c r="AQ11" s="747" t="n">
        <v>-1.534197395653074e-05</v>
      </c>
      <c r="AS11" s="90">
        <f>SQRT(ROUND(AE11,10))*$AR$3</f>
        <v/>
      </c>
    </row>
    <row r="12">
      <c r="A12" s="543" t="n"/>
      <c r="B12" s="125" t="n">
        <v>0</v>
      </c>
      <c r="C12" s="23" t="n">
        <v>0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-1871079.379933775</v>
      </c>
      <c r="I12" s="23" t="n">
        <v>-1289173.099980433</v>
      </c>
      <c r="J12" s="23" t="n">
        <v>7240.326036168612</v>
      </c>
      <c r="K12" s="23" t="n">
        <v>3931596.847150904</v>
      </c>
      <c r="L12" s="23" t="n">
        <v>1048095.102933356</v>
      </c>
      <c r="M12" s="23" t="n">
        <v>-1893001.584992845</v>
      </c>
      <c r="N12" s="23" t="n">
        <v>156700.7037369154</v>
      </c>
      <c r="O12" s="23" t="n">
        <v>-571436.6681128663</v>
      </c>
      <c r="P12" s="23" t="n">
        <v>659043.2472273349</v>
      </c>
      <c r="Q12" s="543" t="n">
        <v>-177985.4940647603</v>
      </c>
      <c r="R12" s="125" t="n">
        <v>0</v>
      </c>
      <c r="S12" s="544" t="n">
        <v>0</v>
      </c>
      <c r="T12" s="126" t="n">
        <v>0</v>
      </c>
      <c r="U12" s="744" t="n"/>
      <c r="V12" s="745" t="n"/>
      <c r="W12" s="745" t="n">
        <v>-2.1385782171827e-07</v>
      </c>
      <c r="X12" s="745" t="n">
        <v>1.218024305851358e-07</v>
      </c>
      <c r="Y12" s="745" t="n">
        <v>-1.303087027414474e-07</v>
      </c>
      <c r="Z12" s="745" t="n">
        <v>-4.362949284814629e-08</v>
      </c>
      <c r="AA12" s="745" t="n">
        <v>-5.166413397725392e-08</v>
      </c>
      <c r="AB12" s="745" t="n">
        <v>-5.170281625194905e-08</v>
      </c>
      <c r="AC12" s="745" t="n">
        <v>-1.266986918152395e-25</v>
      </c>
      <c r="AD12" s="745" t="n">
        <v>0</v>
      </c>
      <c r="AE12" s="745" t="n">
        <v>1.838459792060209e-08</v>
      </c>
      <c r="AF12" s="745" t="n">
        <v>4.325051948108414e-07</v>
      </c>
      <c r="AG12" s="745" t="n">
        <v>-7.950539651819384e-08</v>
      </c>
      <c r="AH12" s="745" t="n">
        <v>2.174546744406949e-07</v>
      </c>
      <c r="AI12" s="745" t="n">
        <v>1.162842402682439e-07</v>
      </c>
      <c r="AJ12" s="745" t="n">
        <v>2.004900694280066e-07</v>
      </c>
      <c r="AK12" s="746" t="n">
        <v>-1.467161552545998e-07</v>
      </c>
      <c r="AL12" s="486" t="n">
        <v>7.056790979531793e-08</v>
      </c>
      <c r="AM12" s="620" t="n">
        <v>-5.272401647105788e-16</v>
      </c>
      <c r="AN12" s="145" t="n">
        <v>1</v>
      </c>
      <c r="AO12" s="542" t="n">
        <v>-0.0002356194490192346</v>
      </c>
      <c r="AP12" s="542" t="n"/>
      <c r="AQ12" s="747" t="n">
        <v>0.001014992181485656</v>
      </c>
      <c r="AS12" s="90">
        <f>SQRT(ROUND(AF12,10))*$AR$3</f>
        <v/>
      </c>
    </row>
    <row r="13">
      <c r="A13" s="543" t="n"/>
      <c r="B13" s="125" t="n">
        <v>-60305.20729835179</v>
      </c>
      <c r="C13" s="23" t="n">
        <v>266347.9989010541</v>
      </c>
      <c r="D13" s="23" t="n">
        <v>0</v>
      </c>
      <c r="E13" s="23" t="n">
        <v>0</v>
      </c>
      <c r="F13" s="23" t="n">
        <v>-606699.8419580946</v>
      </c>
      <c r="G13" s="23" t="n">
        <v>-118960.7533251165</v>
      </c>
      <c r="H13" s="23" t="n">
        <v>-2467755.58049569</v>
      </c>
      <c r="I13" s="23" t="n">
        <v>419604.1317180932</v>
      </c>
      <c r="J13" s="23" t="n">
        <v>-834516.9148804627</v>
      </c>
      <c r="K13" s="23" t="n">
        <v>1048095.102933356</v>
      </c>
      <c r="L13" s="23" t="n">
        <v>7233417.695659904</v>
      </c>
      <c r="M13" s="23" t="n">
        <v>183839.1697038311</v>
      </c>
      <c r="N13" s="23" t="n">
        <v>-641554.0369213023</v>
      </c>
      <c r="O13" s="23" t="n">
        <v>-1300053.589493115</v>
      </c>
      <c r="P13" s="23" t="n">
        <v>-2622586.114106003</v>
      </c>
      <c r="Q13" s="543" t="n">
        <v>-498872.0604381031</v>
      </c>
      <c r="R13" s="125" t="n">
        <v>0</v>
      </c>
      <c r="S13" s="544" t="n">
        <v>0</v>
      </c>
      <c r="T13" s="126" t="n">
        <v>0</v>
      </c>
      <c r="U13" s="744" t="n"/>
      <c r="V13" s="745" t="n"/>
      <c r="W13" s="745" t="n">
        <v>1.834073384647977e-07</v>
      </c>
      <c r="X13" s="745" t="n">
        <v>6.108986434139663e-08</v>
      </c>
      <c r="Y13" s="745" t="n">
        <v>1.689621464333066e-07</v>
      </c>
      <c r="Z13" s="745" t="n">
        <v>1.409749837091743e-07</v>
      </c>
      <c r="AA13" s="745" t="n">
        <v>9.181679687751651e-08</v>
      </c>
      <c r="AB13" s="745" t="n">
        <v>1.331111946546897e-07</v>
      </c>
      <c r="AC13" s="745" t="n">
        <v>3.577431989045036e-24</v>
      </c>
      <c r="AD13" s="745" t="n">
        <v>0</v>
      </c>
      <c r="AE13" s="745" t="n">
        <v>7.537990014377525e-08</v>
      </c>
      <c r="AF13" s="745" t="n">
        <v>-7.950539651819385e-08</v>
      </c>
      <c r="AG13" s="745" t="n">
        <v>2.518901634764191e-07</v>
      </c>
      <c r="AH13" s="745" t="n">
        <v>9.3777794751205e-09</v>
      </c>
      <c r="AI13" s="745" t="n">
        <v>3.789713773444708e-08</v>
      </c>
      <c r="AJ13" s="745" t="n">
        <v>6.533989264559839e-08</v>
      </c>
      <c r="AK13" s="746" t="n">
        <v>1.732340228899122e-07</v>
      </c>
      <c r="AL13" s="486" t="n">
        <v>9.542864628953428e-08</v>
      </c>
      <c r="AM13" s="620" t="n">
        <v>1.000000000000001</v>
      </c>
      <c r="AN13" s="145" t="n">
        <v>-1.07720491443376e-18</v>
      </c>
      <c r="AO13" s="542" t="n">
        <v>0.0001649336143134641</v>
      </c>
      <c r="AP13" s="542" t="n"/>
      <c r="AQ13" s="747" t="n">
        <v>-0.0003423577439892147</v>
      </c>
      <c r="AS13" s="90">
        <f>SQRT(ROUND(AG13,10))*$AR$3</f>
        <v/>
      </c>
    </row>
    <row r="14">
      <c r="A14" s="543" t="n"/>
      <c r="B14" s="125" t="n">
        <v>266347.9989010541</v>
      </c>
      <c r="C14" s="23" t="n">
        <v>-1176370.328479657</v>
      </c>
      <c r="D14" s="23" t="n">
        <v>0</v>
      </c>
      <c r="E14" s="23" t="n">
        <v>0</v>
      </c>
      <c r="F14" s="23" t="n">
        <v>-118960.7533251165</v>
      </c>
      <c r="G14" s="23" t="n">
        <v>-23325.63790688556</v>
      </c>
      <c r="H14" s="23" t="n">
        <v>153229.9907167496</v>
      </c>
      <c r="I14" s="23" t="n">
        <v>-1351047.317675701</v>
      </c>
      <c r="J14" s="23" t="n">
        <v>-668089.3462479746</v>
      </c>
      <c r="K14" s="23" t="n">
        <v>-1893001.584992845</v>
      </c>
      <c r="L14" s="23" t="n">
        <v>183839.1697038311</v>
      </c>
      <c r="M14" s="23" t="n">
        <v>7842926.828150898</v>
      </c>
      <c r="N14" s="23" t="n">
        <v>-227611.3380290264</v>
      </c>
      <c r="O14" s="23" t="n">
        <v>-2619099.022196786</v>
      </c>
      <c r="P14" s="23" t="n">
        <v>411244.2782804827</v>
      </c>
      <c r="Q14" s="543" t="n">
        <v>-780082.9368990238</v>
      </c>
      <c r="R14" s="125" t="n">
        <v>0</v>
      </c>
      <c r="S14" s="544" t="n">
        <v>0</v>
      </c>
      <c r="T14" s="126" t="n">
        <v>0</v>
      </c>
      <c r="U14" s="744" t="n"/>
      <c r="V14" s="745" t="n"/>
      <c r="W14" s="745" t="n">
        <v>-1.355789362953733e-07</v>
      </c>
      <c r="X14" s="745" t="n">
        <v>2.281355602670157e-07</v>
      </c>
      <c r="Y14" s="745" t="n">
        <v>-4.284447167989068e-08</v>
      </c>
      <c r="Z14" s="745" t="n">
        <v>4.046140807291265e-08</v>
      </c>
      <c r="AA14" s="745" t="n">
        <v>-1.439068819326659e-08</v>
      </c>
      <c r="AB14" s="745" t="n">
        <v>2.137732117342894e-08</v>
      </c>
      <c r="AC14" s="745" t="n">
        <v>2.754075184303195e-24</v>
      </c>
      <c r="AD14" s="745" t="n">
        <v>0</v>
      </c>
      <c r="AE14" s="745" t="n">
        <v>7.245726501625965e-08</v>
      </c>
      <c r="AF14" s="745" t="n">
        <v>2.174546744406947e-07</v>
      </c>
      <c r="AG14" s="745" t="n">
        <v>9.377779475120464e-09</v>
      </c>
      <c r="AH14" s="745" t="n">
        <v>3.448261025747411e-07</v>
      </c>
      <c r="AI14" s="745" t="n">
        <v>1.676402488121377e-07</v>
      </c>
      <c r="AJ14" s="745" t="n">
        <v>2.890349117450649e-07</v>
      </c>
      <c r="AK14" s="746" t="n">
        <v>-7.068108013925475e-08</v>
      </c>
      <c r="AL14" s="486" t="n">
        <v>1.52054425965085e-07</v>
      </c>
      <c r="AM14" s="620" t="n">
        <v>-8.3929667134861e-17</v>
      </c>
      <c r="AN14" s="145" t="n">
        <v>1.000000000000001</v>
      </c>
      <c r="AO14" s="542" t="n">
        <v>-0.0001806415775814133</v>
      </c>
      <c r="AP14" s="542" t="n"/>
      <c r="AQ14" s="747" t="n">
        <v>0.000629694997769516</v>
      </c>
      <c r="AS14" s="90">
        <f>SQRT(ROUND(AH14,10))*$AR$3</f>
        <v/>
      </c>
    </row>
    <row r="15">
      <c r="A15" s="543" t="n"/>
      <c r="B15" s="125" t="n">
        <v>-551395.9924182012</v>
      </c>
      <c r="C15" s="23" t="n">
        <v>497031.5670519102</v>
      </c>
      <c r="D15" s="23" t="n">
        <v>0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333331.8231710103</v>
      </c>
      <c r="K15" s="23" t="n">
        <v>156700.7037369154</v>
      </c>
      <c r="L15" s="23" t="n">
        <v>-641554.0369213023</v>
      </c>
      <c r="M15" s="23" t="n">
        <v>-227611.3380290264</v>
      </c>
      <c r="N15" s="23" t="n">
        <v>1603418.207253485</v>
      </c>
      <c r="O15" s="23" t="n">
        <v>-541984.5508057029</v>
      </c>
      <c r="P15" s="23" t="n">
        <v>-743800.0010849915</v>
      </c>
      <c r="Q15" s="543" t="n">
        <v>115863.6180459037</v>
      </c>
      <c r="R15" s="125" t="n">
        <v>0</v>
      </c>
      <c r="S15" s="544" t="n">
        <v>0</v>
      </c>
      <c r="T15" s="126" t="n">
        <v>1905.47672064526</v>
      </c>
      <c r="U15" s="744" t="n"/>
      <c r="V15" s="745" t="n"/>
      <c r="W15" s="745" t="n">
        <v>-1.282738685543399e-07</v>
      </c>
      <c r="X15" s="745" t="n">
        <v>1.378883972264686e-07</v>
      </c>
      <c r="Y15" s="745" t="n">
        <v>-3.834234447926721e-08</v>
      </c>
      <c r="Z15" s="745" t="n">
        <v>2.29060470343556e-08</v>
      </c>
      <c r="AA15" s="745" t="n">
        <v>4.511161797291022e-09</v>
      </c>
      <c r="AB15" s="745" t="n">
        <v>2.035726558321335e-08</v>
      </c>
      <c r="AC15" s="745" t="n">
        <v>-3.948379113301857e-24</v>
      </c>
      <c r="AD15" s="745" t="n">
        <v>0</v>
      </c>
      <c r="AE15" s="745" t="n">
        <v>2.311642008323835e-08</v>
      </c>
      <c r="AF15" s="745" t="n">
        <v>1.162842402682437e-07</v>
      </c>
      <c r="AG15" s="745" t="n">
        <v>3.789713773444713e-08</v>
      </c>
      <c r="AH15" s="745" t="n">
        <v>1.676402488121376e-07</v>
      </c>
      <c r="AI15" s="745" t="n">
        <v>1.655460580383724e-07</v>
      </c>
      <c r="AJ15" s="745" t="n">
        <v>2.85424237997194e-07</v>
      </c>
      <c r="AK15" s="746" t="n">
        <v>-3.350192328664065e-08</v>
      </c>
      <c r="AL15" s="486" t="n">
        <v>1.151035517081129e-07</v>
      </c>
      <c r="AM15" s="620" t="n">
        <v>1.000000000000001</v>
      </c>
      <c r="AN15" s="145" t="n">
        <v>1.4595712888017e-16</v>
      </c>
      <c r="AO15" s="542" t="n">
        <v>0.0003926990816987241</v>
      </c>
      <c r="AP15" s="542" t="n"/>
      <c r="AQ15" s="747" t="n">
        <v>-0.0001894214203942686</v>
      </c>
      <c r="AS15" s="90">
        <f>SQRT(ROUND(AI15,10))*$AR$3</f>
        <v/>
      </c>
    </row>
    <row r="16">
      <c r="A16" s="543" t="n"/>
      <c r="B16" s="125" t="n">
        <v>1785040.820387639</v>
      </c>
      <c r="C16" s="23" t="n">
        <v>-1166911.190013903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14175.26468405878</v>
      </c>
      <c r="K16" s="23" t="n">
        <v>-571436.6681128663</v>
      </c>
      <c r="L16" s="23" t="n">
        <v>-1300053.589493115</v>
      </c>
      <c r="M16" s="23" t="n">
        <v>-2619099.022196786</v>
      </c>
      <c r="N16" s="23" t="n">
        <v>-541984.5508057029</v>
      </c>
      <c r="O16" s="23" t="n">
        <v>5683020.401981601</v>
      </c>
      <c r="P16" s="23" t="n">
        <v>42822.05522711971</v>
      </c>
      <c r="Q16" s="543" t="n">
        <v>-1325573.521658045</v>
      </c>
      <c r="R16" s="125" t="n">
        <v>0</v>
      </c>
      <c r="S16" s="544" t="n">
        <v>0</v>
      </c>
      <c r="T16" s="126" t="n">
        <v>-1105.176497974251</v>
      </c>
      <c r="U16" s="744" t="n"/>
      <c r="V16" s="745" t="n"/>
      <c r="W16" s="745" t="n">
        <v>-2.21161842335069e-07</v>
      </c>
      <c r="X16" s="745" t="n">
        <v>2.377386159077046e-07</v>
      </c>
      <c r="Y16" s="745" t="n">
        <v>-6.610749048149489e-08</v>
      </c>
      <c r="Z16" s="745" t="n">
        <v>3.949318454199258e-08</v>
      </c>
      <c r="AA16" s="745" t="n">
        <v>7.77786516774311e-09</v>
      </c>
      <c r="AB16" s="745" t="n">
        <v>3.509873376416108e-08</v>
      </c>
      <c r="AC16" s="745" t="n">
        <v>-1.906905665476261e-24</v>
      </c>
      <c r="AD16" s="745" t="n">
        <v>0</v>
      </c>
      <c r="AE16" s="745" t="n">
        <v>3.985589669523845e-08</v>
      </c>
      <c r="AF16" s="745" t="n">
        <v>2.004900694280065e-07</v>
      </c>
      <c r="AG16" s="745" t="n">
        <v>6.533989264559849e-08</v>
      </c>
      <c r="AH16" s="745" t="n">
        <v>2.89034911745065e-07</v>
      </c>
      <c r="AI16" s="745" t="n">
        <v>2.854242379971941e-07</v>
      </c>
      <c r="AJ16" s="745" t="n">
        <v>4.921107551675759e-07</v>
      </c>
      <c r="AK16" s="746" t="n">
        <v>-5.776193670110451e-08</v>
      </c>
      <c r="AL16" s="486" t="n">
        <v>1.984543994967467e-07</v>
      </c>
      <c r="AM16" s="620" t="n">
        <v>4.973061048092247e-17</v>
      </c>
      <c r="AN16" s="145" t="n">
        <v>1.000000000000001</v>
      </c>
      <c r="AO16" s="542" t="n">
        <v>-0.0002277654673852602</v>
      </c>
      <c r="AP16" s="542" t="n"/>
      <c r="AQ16" s="747" t="n">
        <v>-0.0003265886558521863</v>
      </c>
      <c r="AS16" s="90">
        <f>SQRT(ROUND(AJ16,10))*$AR$3</f>
        <v/>
      </c>
    </row>
    <row r="17">
      <c r="A17" s="543" t="n"/>
      <c r="B17" s="125" t="n">
        <v>-2190966.540496671</v>
      </c>
      <c r="C17" s="23" t="n">
        <v>700573.581295703</v>
      </c>
      <c r="D17" s="23" t="n">
        <v>-744343.6664732296</v>
      </c>
      <c r="E17" s="23" t="n">
        <v>-39464.61913898122</v>
      </c>
      <c r="F17" s="23" t="n">
        <v>-1509651.600087069</v>
      </c>
      <c r="G17" s="23" t="n">
        <v>-1029589.156205278</v>
      </c>
      <c r="H17" s="23" t="n">
        <v>-1082062.511579622</v>
      </c>
      <c r="I17" s="23" t="n">
        <v>-521342.9408878051</v>
      </c>
      <c r="J17" s="23" t="n">
        <v>191783.6202911655</v>
      </c>
      <c r="K17" s="23" t="n">
        <v>659043.2472273349</v>
      </c>
      <c r="L17" s="23" t="n">
        <v>-2622586.114106003</v>
      </c>
      <c r="M17" s="23" t="n">
        <v>411244.2782804827</v>
      </c>
      <c r="N17" s="23" t="n">
        <v>-743800.0010849915</v>
      </c>
      <c r="O17" s="23" t="n">
        <v>42822.05522711971</v>
      </c>
      <c r="P17" s="23" t="n">
        <v>8701626.81353642</v>
      </c>
      <c r="Q17" s="543" t="n">
        <v>-223286.4457985761</v>
      </c>
      <c r="R17" s="125" t="n">
        <v>0</v>
      </c>
      <c r="S17" s="544" t="n">
        <v>0</v>
      </c>
      <c r="T17" s="126" t="n">
        <v>0</v>
      </c>
      <c r="U17" s="744" t="n"/>
      <c r="V17" s="745" t="n"/>
      <c r="W17" s="745" t="n">
        <v>4.981651942574763e-07</v>
      </c>
      <c r="X17" s="745" t="n">
        <v>8.206248118418685e-08</v>
      </c>
      <c r="Y17" s="745" t="n">
        <v>4.023691720923579e-07</v>
      </c>
      <c r="Z17" s="745" t="n">
        <v>3.015408271910819e-07</v>
      </c>
      <c r="AA17" s="745" t="n">
        <v>1.194972078448475e-07</v>
      </c>
      <c r="AB17" s="745" t="n">
        <v>2.585602427560693e-07</v>
      </c>
      <c r="AC17" s="745" t="n">
        <v>4.855668069191934e-25</v>
      </c>
      <c r="AD17" s="745" t="n">
        <v>0</v>
      </c>
      <c r="AE17" s="745" t="n">
        <v>-1.110910674182396e-08</v>
      </c>
      <c r="AF17" s="745" t="n">
        <v>-1.467161552545999e-07</v>
      </c>
      <c r="AG17" s="745" t="n">
        <v>1.732340228899122e-07</v>
      </c>
      <c r="AH17" s="745" t="n">
        <v>-7.068108013925483e-08</v>
      </c>
      <c r="AI17" s="745" t="n">
        <v>-3.350192328664075e-08</v>
      </c>
      <c r="AJ17" s="745" t="n">
        <v>-5.776193670110463e-08</v>
      </c>
      <c r="AK17" s="746" t="n">
        <v>3.883835205108712e-07</v>
      </c>
      <c r="AL17" s="486" t="n">
        <v>1.245886421551736e-07</v>
      </c>
      <c r="AM17" s="620" t="n">
        <v>1.000000000000001</v>
      </c>
      <c r="AN17" s="145" t="n">
        <v>-3.586756955396163e-16</v>
      </c>
      <c r="AO17" s="542" t="n">
        <v>0.0003424335992412877</v>
      </c>
      <c r="AP17" s="542" t="n"/>
      <c r="AQ17" s="747" t="n">
        <v>-5.850055265859392e-05</v>
      </c>
      <c r="AS17" s="90">
        <f>SQRT(ROUND(AK17,10))*$AR$3</f>
        <v/>
      </c>
    </row>
    <row r="18">
      <c r="A18" s="543" t="n"/>
      <c r="B18" s="127" t="n">
        <v>974149.9214582572</v>
      </c>
      <c r="C18" s="128" t="n">
        <v>-1200086.305204235</v>
      </c>
      <c r="D18" s="128" t="n">
        <v>-404891.0618620091</v>
      </c>
      <c r="E18" s="128" t="n">
        <v>-3167112.601122121</v>
      </c>
      <c r="F18" s="128" t="n">
        <v>-326937.0930770166</v>
      </c>
      <c r="G18" s="128" t="n">
        <v>-581242.709137636</v>
      </c>
      <c r="H18" s="128" t="n">
        <v>-75983.29999538064</v>
      </c>
      <c r="I18" s="128" t="n">
        <v>-349439.4359515198</v>
      </c>
      <c r="J18" s="128" t="n">
        <v>439956.4216669244</v>
      </c>
      <c r="K18" s="128" t="n">
        <v>-177985.4940647603</v>
      </c>
      <c r="L18" s="128" t="n">
        <v>-498872.0604381031</v>
      </c>
      <c r="M18" s="128" t="n">
        <v>-780082.9368990238</v>
      </c>
      <c r="N18" s="128" t="n">
        <v>115863.6180459037</v>
      </c>
      <c r="O18" s="128" t="n">
        <v>-1325573.521658045</v>
      </c>
      <c r="P18" s="128" t="n">
        <v>-223286.4457985761</v>
      </c>
      <c r="Q18" s="543" t="n">
        <v>7581523.004037343</v>
      </c>
      <c r="R18" s="127" t="n">
        <v>0</v>
      </c>
      <c r="S18" s="544" t="n">
        <v>0</v>
      </c>
      <c r="T18" s="129" t="n">
        <v>0</v>
      </c>
      <c r="U18" s="744" t="n"/>
      <c r="V18" s="745" t="n"/>
      <c r="W18" s="745" t="n">
        <v>2.375755700573417e-07</v>
      </c>
      <c r="X18" s="745" t="n">
        <v>2.861556723815827e-07</v>
      </c>
      <c r="Y18" s="745" t="n">
        <v>2.392485731618561e-07</v>
      </c>
      <c r="Z18" s="745" t="n">
        <v>4.432072593439142e-07</v>
      </c>
      <c r="AA18" s="745" t="n">
        <v>-2.474034942462902e-08</v>
      </c>
      <c r="AB18" s="745" t="n">
        <v>2.757738503585325e-07</v>
      </c>
      <c r="AC18" s="745" t="n">
        <v>-3.418008917188579e-24</v>
      </c>
      <c r="AD18" s="745" t="n">
        <v>0</v>
      </c>
      <c r="AE18" s="745" t="n">
        <v>-4.252428763447419e-08</v>
      </c>
      <c r="AF18" s="745" t="n">
        <v>7.056790979531774e-08</v>
      </c>
      <c r="AG18" s="745" t="n">
        <v>9.542864628953439e-08</v>
      </c>
      <c r="AH18" s="745" t="n">
        <v>1.520544259650849e-07</v>
      </c>
      <c r="AI18" s="745" t="n">
        <v>1.151035517081129e-07</v>
      </c>
      <c r="AJ18" s="745" t="n">
        <v>1.984543994967464e-07</v>
      </c>
      <c r="AK18" s="746" t="n">
        <v>1.245886421551738e-07</v>
      </c>
      <c r="AL18" s="486" t="n">
        <v>4.273252709759871e-07</v>
      </c>
      <c r="AM18" s="620" t="n">
        <v>7.757128131528724e-16</v>
      </c>
      <c r="AN18" s="147" t="n">
        <v>1</v>
      </c>
      <c r="AO18" s="589" t="n">
        <v>2.827433388230811e-05</v>
      </c>
      <c r="AP18" s="589" t="n"/>
      <c r="AQ18" s="747" t="n">
        <v>0.001051850830060902</v>
      </c>
      <c r="AS18" s="91">
        <f>SQRT(ROUND(AL18,10))*$AR$3</f>
        <v/>
      </c>
    </row>
    <row r="19" ht="29.75" customHeight="1">
      <c r="A19" s="580" t="inlineStr">
        <is>
          <t>S</t>
        </is>
      </c>
      <c r="B19" s="581">
        <f>IF(B$22=$B$49,IF(B$23="dx",1,0),0)</f>
        <v/>
      </c>
      <c r="C19" s="581">
        <f>IF(C$22=$B$49,IF(C$23="dx",1,0),0)</f>
        <v/>
      </c>
      <c r="D19" s="581">
        <f>IF(D$22=$B$49,IF(D$23="dx",1,0),0)</f>
        <v/>
      </c>
      <c r="E19" s="581">
        <f>IF(E$22=$B$49,IF(E$23="dx",1,0),0)</f>
        <v/>
      </c>
      <c r="F19" s="581">
        <f>IF(F$22=$B$49,IF(F$23="dx",1,0),0)</f>
        <v/>
      </c>
      <c r="G19" s="581">
        <f>IF(G$22=$B$49,IF(G$23="dx",1,0),0)</f>
        <v/>
      </c>
      <c r="H19" s="581">
        <f>IF(H$22=$B$49,IF(H$23="dx",1,0),0)</f>
        <v/>
      </c>
      <c r="I19" s="581">
        <f>IF(I$22=$B$49,IF(I$23="dx",1,0),0)</f>
        <v/>
      </c>
      <c r="J19" s="581">
        <f>IF(J$22=$B$49,IF(J$23="dx",1,0),0)</f>
        <v/>
      </c>
      <c r="K19" s="581">
        <f>IF(K$22=$B$49,IF(K$23="dx",1,0),0)</f>
        <v/>
      </c>
      <c r="L19" s="581">
        <f>IF(L$22=$B$49,IF(L$23="dx",1,0),0)</f>
        <v/>
      </c>
      <c r="M19" s="581">
        <f>IF(M$22=$B$49,IF(M$23="dx",1,0),0)</f>
        <v/>
      </c>
      <c r="N19" s="581">
        <f>IF(N$22=$B$49,IF(N$23="dx",1,0),0)</f>
        <v/>
      </c>
      <c r="O19" s="581">
        <f>IF(O$22=$B$49,IF(O$23="dx",1,0),0)</f>
        <v/>
      </c>
      <c r="P19" s="555">
        <f>IF(P$22=$B$49,IF(P$23="dx",1,0),0)</f>
        <v/>
      </c>
      <c r="Q19" s="581">
        <f>IF(Q$22=$B$49,IF(Q$23="dx",1,0),0)</f>
        <v/>
      </c>
      <c r="R19" s="581" t="n">
        <v>0</v>
      </c>
      <c r="S19" s="555" t="n">
        <v>0</v>
      </c>
      <c r="T19" s="23" t="n">
        <v>0</v>
      </c>
      <c r="U19" s="742" t="n"/>
      <c r="V19" s="743" t="inlineStr">
        <is>
          <t>S(-1)</t>
        </is>
      </c>
      <c r="W19" s="743" t="n">
        <v>1.000000000000001</v>
      </c>
      <c r="X19" s="743" t="n">
        <v>1.421085471520201e-16</v>
      </c>
      <c r="Y19" s="743" t="n">
        <v>1.000000000000001</v>
      </c>
      <c r="Z19" s="743" t="n">
        <v>8.526512829121204e-16</v>
      </c>
      <c r="AA19" s="743" t="n">
        <v>0.9999999999999999</v>
      </c>
      <c r="AB19" s="743" t="n">
        <v>6.394884621840902e-16</v>
      </c>
      <c r="AC19" s="743" t="n">
        <v>1</v>
      </c>
      <c r="AD19" s="743" t="n">
        <v>0</v>
      </c>
      <c r="AE19" s="743" t="n">
        <v>1</v>
      </c>
      <c r="AF19" s="743" t="n">
        <v>-2.842170943040401e-16</v>
      </c>
      <c r="AG19" s="743" t="n">
        <v>1</v>
      </c>
      <c r="AH19" s="743" t="n">
        <v>7.105427357601003e-17</v>
      </c>
      <c r="AI19" s="743" t="n">
        <v>1</v>
      </c>
      <c r="AJ19" s="743" t="n">
        <v>2.131628207280301e-16</v>
      </c>
      <c r="AK19" s="742" t="n">
        <v>1</v>
      </c>
      <c r="AL19" s="743" t="n">
        <v>4.973799150320702e-16</v>
      </c>
      <c r="AM19" s="616" t="n">
        <v>1.39698386192322e-09</v>
      </c>
      <c r="AN19" s="145" t="n">
        <v>8.36735125631094e-10</v>
      </c>
      <c r="AO19" s="658" t="n">
        <v>3.902562557395038e-13</v>
      </c>
    </row>
    <row r="20">
      <c r="A20" s="601" t="n"/>
      <c r="B20" s="160">
        <f>IF(B$22=$B$49,IF(B$23="dy",1,0),0)</f>
        <v/>
      </c>
      <c r="C20">
        <f>IF(C$22=$B$49,IF(C$23="dy",1,0),0)</f>
        <v/>
      </c>
      <c r="D20">
        <f>IF(D$22=$B$49,IF(D$23="dy",1,0),0)</f>
        <v/>
      </c>
      <c r="E20">
        <f>IF(E$22=$B$49,IF(E$23="dy",1,0),0)</f>
        <v/>
      </c>
      <c r="F20">
        <f>IF(F$22=$B$49,IF(F$23="dy",1,0),0)</f>
        <v/>
      </c>
      <c r="G20">
        <f>IF(G$22=$B$49,IF(G$23="dy",1,0),0)</f>
        <v/>
      </c>
      <c r="H20">
        <f>IF(H$22=$B$49,IF(H$23="dy",1,0),0)</f>
        <v/>
      </c>
      <c r="I20">
        <f>IF(I$22=$B$49,IF(I$23="dy",1,0),0)</f>
        <v/>
      </c>
      <c r="J20">
        <f>IF(J$22=$B$49,IF(J$23="dy",1,0),0)</f>
        <v/>
      </c>
      <c r="K20">
        <f>IF(K$22=$B$49,IF(K$23="dy",1,0),0)</f>
        <v/>
      </c>
      <c r="L20">
        <f>IF(L$22=$B$49,IF(L$23="dy",1,0),0)</f>
        <v/>
      </c>
      <c r="M20">
        <f>IF(M$22=$B$49,IF(M$23="dy",1,0),0)</f>
        <v/>
      </c>
      <c r="N20">
        <f>IF(N$22=$B$49,IF(N$23="dy",1,0),0)</f>
        <v/>
      </c>
      <c r="O20">
        <f>IF(O$22=$B$49,IF(O$23="dy",1,0),0)</f>
        <v/>
      </c>
      <c r="P20" s="544">
        <f>IF(P$22=$B$49,IF(P$23="dy",1,0),0)</f>
        <v/>
      </c>
      <c r="Q20" s="161">
        <f>IF(Q$22=$B$49,IF(Q$23="dy",1,0),0)</f>
        <v/>
      </c>
      <c r="R20" s="23" t="n">
        <v>0</v>
      </c>
      <c r="S20" s="544" t="n">
        <v>0</v>
      </c>
      <c r="T20" s="23" t="n">
        <v>0</v>
      </c>
      <c r="U20" s="746" t="n"/>
      <c r="V20" s="601" t="n"/>
      <c r="W20" s="486" t="n">
        <v>4.011208302917645e-16</v>
      </c>
      <c r="X20" s="486" t="n">
        <v>1</v>
      </c>
      <c r="Y20" s="486" t="n">
        <v>4.231663603914088e-16</v>
      </c>
      <c r="Z20" s="486" t="n">
        <v>1</v>
      </c>
      <c r="AA20" s="486" t="n">
        <v>1.401834766615022e-16</v>
      </c>
      <c r="AB20" s="486" t="n">
        <v>1</v>
      </c>
      <c r="AC20" s="486" t="n">
        <v>-8.736662844877212e-33</v>
      </c>
      <c r="AD20" s="486" t="n">
        <v>1</v>
      </c>
      <c r="AE20" s="486" t="n">
        <v>2.087117733711697e-17</v>
      </c>
      <c r="AF20" s="486" t="n">
        <v>0.9999999999999999</v>
      </c>
      <c r="AG20" s="486" t="n">
        <v>9.829264094725811e-17</v>
      </c>
      <c r="AH20" s="486" t="n">
        <v>1</v>
      </c>
      <c r="AI20" s="486" t="n">
        <v>3.147714522612054e-16</v>
      </c>
      <c r="AJ20" s="486" t="n">
        <v>1</v>
      </c>
      <c r="AK20" s="746" t="n">
        <v>1.950730645811646e-16</v>
      </c>
      <c r="AL20" s="486" t="n">
        <v>1</v>
      </c>
      <c r="AM20" s="620" t="n">
        <v>1.164153218269349e-09</v>
      </c>
      <c r="AN20" s="145" t="n">
        <v>1.746229827404023e-09</v>
      </c>
      <c r="AO20" s="550" t="n">
        <v>-3.035555014479371e-14</v>
      </c>
    </row>
    <row r="21">
      <c r="A21" s="606" t="n"/>
      <c r="B21" s="590">
        <f>IF(B22=$B$49,IF(B23="dx",$H$49,$I$49),IF($B$50=B22,IF(B23="dx",-$H$49,-$I$49),0))</f>
        <v/>
      </c>
      <c r="C21" s="590">
        <f>IF(C22=$B$49,IF(C23="dx",$H$49,$I$49),IF($B$50=C22,IF(C23="dx",-$H$49,-$I$49),0))</f>
        <v/>
      </c>
      <c r="D21" s="590">
        <f>IF(D22=$B$49,IF(D23="dx",$H$49,$I$49),IF($B$50=D22,IF(D23="dx",-$H$49,-$I$49),0))</f>
        <v/>
      </c>
      <c r="E21" s="590">
        <f>IF(E22=$B$49,IF(E23="dx",$H$49,$I$49),IF($B$50=E22,IF(E23="dx",-$H$49,-$I$49),0))</f>
        <v/>
      </c>
      <c r="F21" s="590">
        <f>IF(F22=$B$49,IF(F23="dx",$H$49,$I$49),IF($B$50=F22,IF(F23="dx",-$H$49,-$I$49),0))</f>
        <v/>
      </c>
      <c r="G21" s="590">
        <f>IF(G22=$B$49,IF(G23="dx",$H$49,$I$49),IF($B$50=G22,IF(G23="dx",-$H$49,-$I$49),0))</f>
        <v/>
      </c>
      <c r="H21" s="590">
        <f>IF(H22=$B$49,IF(H23="dx",$H$49,$I$49),IF($B$50=H22,IF(H23="dx",-$H$49,-$I$49),0))</f>
        <v/>
      </c>
      <c r="I21" s="590">
        <f>IF(I22=$B$49,IF(I23="dx",$H$49,$I$49),IF($B$50=I22,IF(I23="dx",-$H$49,-$I$49),0))</f>
        <v/>
      </c>
      <c r="J21" s="590">
        <f>IF(J22=$B$49,IF(J23="dx",$H$49,$I$49),IF($B$50=J22,IF(J23="dx",-$H$49,-$I$49),0))</f>
        <v/>
      </c>
      <c r="K21" s="590">
        <f>IF(K22=$B$49,IF(K23="dx",$H$49,$I$49),IF($B$50=K22,IF(K23="dx",-$H$49,-$I$49),0))</f>
        <v/>
      </c>
      <c r="L21" s="590">
        <f>IF(L22=$B$49,IF(L23="dx",$H$49,$I$49),IF($B$50=L22,IF(L23="dx",-$H$49,-$I$49),0))</f>
        <v/>
      </c>
      <c r="M21" s="590">
        <f>IF(M22=$B$49,IF(M23="dx",$H$49,$I$49),IF($B$50=M22,IF(M23="dx",-$H$49,-$I$49),0))</f>
        <v/>
      </c>
      <c r="N21" s="590">
        <f>IF(N22=$B$49,IF(N23="dx",$H$49,$I$49),IF($B$50=N22,IF(N23="dx",-$H$49,-$I$49),0))</f>
        <v/>
      </c>
      <c r="O21" s="590">
        <f>IF(O22=$B$49,IF(O23="dx",$H$49,$I$49),IF($B$50=O22,IF(O23="dx",-$H$49,-$I$49),0))</f>
        <v/>
      </c>
      <c r="P21" s="568">
        <f>IF(P22=$B$49,IF(P23="dx",$H$49,$I$49),IF($B$50=P22,IF(P23="dx",-$H$49,-$I$49),0))</f>
        <v/>
      </c>
      <c r="Q21" s="590">
        <f>IF(Q22=$B$49,IF(Q23="dx",$H$49,$I$49),IF($B$50=Q22,IF(Q23="dx",-$H$49,-$I$49),0))</f>
        <v/>
      </c>
      <c r="R21" s="590" t="n">
        <v>0</v>
      </c>
      <c r="S21" s="568" t="n">
        <v>0</v>
      </c>
      <c r="T21" s="23" t="n">
        <v>0</v>
      </c>
      <c r="U21" s="748" t="n"/>
      <c r="V21" s="606" t="n"/>
      <c r="W21" s="749" t="n">
        <v>0.0005811946409141119</v>
      </c>
      <c r="X21" s="749" t="n">
        <v>-8.639379797371948e-05</v>
      </c>
      <c r="Y21" s="749" t="n">
        <v>0.0003848451000647498</v>
      </c>
      <c r="Z21" s="749" t="n">
        <v>0.0002827433388230814</v>
      </c>
      <c r="AA21" s="749" t="n">
        <v>8.639379797371939e-05</v>
      </c>
      <c r="AB21" s="749" t="n">
        <v>0.0002199114857512856</v>
      </c>
      <c r="AC21" s="749" t="n">
        <v>-1.089958905627697e-20</v>
      </c>
      <c r="AD21" s="749" t="n">
        <v>0</v>
      </c>
      <c r="AE21" s="749" t="n">
        <v>-0.0001099557428756428</v>
      </c>
      <c r="AF21" s="749" t="n">
        <v>-0.0002356194490192345</v>
      </c>
      <c r="AG21" s="749" t="n">
        <v>0.0001649336143134641</v>
      </c>
      <c r="AH21" s="749" t="n">
        <v>-0.0001806415775814132</v>
      </c>
      <c r="AI21" s="749" t="n">
        <v>0.0003926990816987239</v>
      </c>
      <c r="AJ21" s="749" t="n">
        <v>-0.0002277654673852602</v>
      </c>
      <c r="AK21" s="748" t="n">
        <v>0.0003424335992412875</v>
      </c>
      <c r="AL21" s="749" t="n">
        <v>2.827433388230797e-05</v>
      </c>
      <c r="AM21" s="624" t="n">
        <v>5.723666985132765e-13</v>
      </c>
      <c r="AN21" s="145" t="n">
        <v>-3.196704584148633e-13</v>
      </c>
      <c r="AO21" s="145" t="n">
        <v>2.182420683345169e-16</v>
      </c>
    </row>
    <row r="22">
      <c r="A22" s="670" t="n"/>
      <c r="B22" s="670" t="n">
        <v>1</v>
      </c>
      <c r="C22" s="670" t="n">
        <v>1</v>
      </c>
      <c r="D22" s="670" t="n">
        <v>3</v>
      </c>
      <c r="E22" s="670" t="n">
        <v>3</v>
      </c>
      <c r="F22" s="670" t="n">
        <v>4</v>
      </c>
      <c r="G22" s="670" t="n">
        <v>4</v>
      </c>
      <c r="H22" s="670" t="n">
        <v>5</v>
      </c>
      <c r="I22" s="670" t="n">
        <v>5</v>
      </c>
      <c r="J22" s="670" t="n">
        <v>6</v>
      </c>
      <c r="K22" s="670" t="n">
        <v>6</v>
      </c>
      <c r="L22" s="670" t="n">
        <v>7</v>
      </c>
      <c r="M22" s="670" t="n">
        <v>7</v>
      </c>
      <c r="N22" s="670" t="n">
        <v>8</v>
      </c>
      <c r="O22" s="670" t="n">
        <v>8</v>
      </c>
      <c r="P22" s="670" t="n">
        <v>9</v>
      </c>
      <c r="Q22" s="156" t="n">
        <v>9</v>
      </c>
    </row>
    <row r="23">
      <c r="A23" s="670" t="n"/>
      <c r="B23" s="670" t="inlineStr">
        <is>
          <t>dx</t>
        </is>
      </c>
      <c r="C23" s="670" t="inlineStr">
        <is>
          <t>dy</t>
        </is>
      </c>
      <c r="D23" s="670" t="inlineStr">
        <is>
          <t>dx</t>
        </is>
      </c>
      <c r="E23" s="670" t="inlineStr">
        <is>
          <t>dy</t>
        </is>
      </c>
      <c r="F23" s="670" t="inlineStr">
        <is>
          <t>dx</t>
        </is>
      </c>
      <c r="G23" s="670" t="inlineStr">
        <is>
          <t>dy</t>
        </is>
      </c>
      <c r="H23" s="670" t="inlineStr">
        <is>
          <t>dx</t>
        </is>
      </c>
      <c r="I23" s="670" t="inlineStr">
        <is>
          <t>dy</t>
        </is>
      </c>
      <c r="J23" s="670" t="inlineStr">
        <is>
          <t>dx</t>
        </is>
      </c>
      <c r="K23" s="670" t="inlineStr">
        <is>
          <t>dy</t>
        </is>
      </c>
      <c r="L23" s="670" t="inlineStr">
        <is>
          <t>dx</t>
        </is>
      </c>
      <c r="M23" s="670" t="inlineStr">
        <is>
          <t>dy</t>
        </is>
      </c>
      <c r="N23" s="670" t="inlineStr">
        <is>
          <t>dx</t>
        </is>
      </c>
      <c r="O23" s="670" t="inlineStr">
        <is>
          <t>dy</t>
        </is>
      </c>
      <c r="P23" s="670" t="inlineStr">
        <is>
          <t>dx</t>
        </is>
      </c>
      <c r="Q23" s="156" t="inlineStr">
        <is>
          <t>dy</t>
        </is>
      </c>
    </row>
    <row r="24">
      <c r="A24" s="750" t="n"/>
      <c r="B24" s="750" t="n"/>
      <c r="C24" s="750" t="n"/>
      <c r="D24" s="750" t="n"/>
      <c r="E24" s="750" t="n"/>
      <c r="F24" s="750" t="n"/>
      <c r="G24" s="750" t="n"/>
      <c r="H24" s="750" t="n"/>
      <c r="I24" s="750" t="n"/>
      <c r="J24" s="750" t="n"/>
      <c r="K24" s="750" t="n"/>
      <c r="L24" s="750" t="n"/>
      <c r="M24" s="750" t="n"/>
      <c r="N24" s="750" t="n"/>
      <c r="O24" s="750" t="n"/>
      <c r="P24" s="750" t="n"/>
    </row>
    <row r="25" ht="15.95" customHeight="1">
      <c r="A25" s="657" t="n"/>
      <c r="B25" s="590" t="inlineStr">
        <is>
          <t>ATA Aktualny</t>
        </is>
      </c>
      <c r="C25" s="596" t="n"/>
      <c r="D25" s="596" t="n"/>
      <c r="E25" s="596" t="n"/>
      <c r="F25" s="596" t="n"/>
      <c r="G25" s="596" t="n"/>
      <c r="H25" s="596" t="n"/>
      <c r="I25" s="596" t="n"/>
      <c r="J25" s="596" t="n"/>
      <c r="K25" s="596" t="n"/>
      <c r="L25" s="596" t="n"/>
      <c r="M25" s="596" t="n"/>
      <c r="N25" s="596" t="n"/>
      <c r="O25" s="596" t="n"/>
      <c r="P25" s="596" t="n"/>
      <c r="Q25" s="597" t="n"/>
      <c r="R25" s="21" t="inlineStr">
        <is>
          <t>ST</t>
        </is>
      </c>
      <c r="S25" s="596" t="n"/>
      <c r="T25" s="597" t="n"/>
      <c r="U25" s="657" t="n"/>
      <c r="V25" s="590" t="n"/>
      <c r="W25" s="590" t="inlineStr">
        <is>
          <t>(ATA)-1</t>
        </is>
      </c>
      <c r="X25" s="596" t="n"/>
      <c r="Y25" s="596" t="n"/>
      <c r="Z25" s="596" t="n"/>
      <c r="AA25" s="596" t="n"/>
      <c r="AB25" s="596" t="n"/>
      <c r="AC25" s="596" t="n"/>
      <c r="AD25" s="596" t="n"/>
      <c r="AE25" s="596" t="n"/>
      <c r="AF25" s="596" t="n"/>
      <c r="AG25" s="596" t="n"/>
      <c r="AH25" s="596" t="n"/>
      <c r="AI25" s="596" t="n"/>
      <c r="AJ25" s="596" t="n"/>
      <c r="AK25" s="596" t="n"/>
      <c r="AL25" s="597" t="n"/>
      <c r="AM25" s="443" t="inlineStr">
        <is>
          <t>ST(-1)</t>
        </is>
      </c>
      <c r="AN25" s="596" t="n"/>
      <c r="AO25" s="597" t="n"/>
      <c r="AP25" s="658" t="n"/>
      <c r="AQ25" s="445" t="inlineStr">
        <is>
          <t>X</t>
        </is>
      </c>
      <c r="AR25" s="443" t="inlineStr">
        <is>
          <t>m0</t>
        </is>
      </c>
      <c r="AS25" s="445" t="inlineStr">
        <is>
          <t>mx</t>
        </is>
      </c>
    </row>
    <row r="26">
      <c r="A26" s="580" t="n"/>
      <c r="B26" s="581">
        <f t="array" ref="B26:Q41">_xlfn.ANCHORARRAY('Wyrównanie wstępne - aktualny'!B110)</f>
        <v/>
      </c>
      <c r="C26" s="581" t="n">
        <v>-1452438.942378235</v>
      </c>
      <c r="D26" s="581" t="n">
        <v>-2172492.414048019</v>
      </c>
      <c r="E26" s="581" t="n">
        <v>-940496.2949744693</v>
      </c>
      <c r="F26" s="581" t="n">
        <v>0</v>
      </c>
      <c r="G26" s="581" t="n">
        <v>0</v>
      </c>
      <c r="H26" s="581" t="n">
        <v>0</v>
      </c>
      <c r="I26" s="581" t="n">
        <v>0</v>
      </c>
      <c r="J26" s="581" t="n">
        <v>0</v>
      </c>
      <c r="K26" s="581" t="n">
        <v>0</v>
      </c>
      <c r="L26" s="581" t="n">
        <v>-60305.75263971463</v>
      </c>
      <c r="M26" s="581" t="n">
        <v>266350.4074920734</v>
      </c>
      <c r="N26" s="581" t="n">
        <v>-551394.9035697582</v>
      </c>
      <c r="O26" s="581" t="n">
        <v>1785039.368589716</v>
      </c>
      <c r="P26" s="581" t="n">
        <v>-997453.8716580536</v>
      </c>
      <c r="Q26" s="580" t="n">
        <v>341545.461270915</v>
      </c>
      <c r="R26" s="581">
        <f t="array" ref="R26:T41">TRANSPOSE(B42:Q44)</f>
        <v/>
      </c>
      <c r="S26" s="555" t="n">
        <v>0</v>
      </c>
      <c r="T26" s="123" t="n">
        <v>0</v>
      </c>
      <c r="U26" s="696" t="n"/>
      <c r="V26" s="697" t="n"/>
      <c r="W26" s="697">
        <f t="array" ref="W26:AO44">MINVERSE(B26:T44)</f>
        <v/>
      </c>
      <c r="X26" s="697" t="n">
        <v>3.006499691275319e-07</v>
      </c>
      <c r="Y26" s="697" t="n">
        <v>6.708864445809408e-07</v>
      </c>
      <c r="Z26" s="697" t="n">
        <v>4.965894313601217e-07</v>
      </c>
      <c r="AA26" s="697" t="n">
        <v>1.267642291690927e-08</v>
      </c>
      <c r="AB26" s="697" t="n">
        <v>4.097722962248573e-07</v>
      </c>
      <c r="AC26" s="697" t="n">
        <v>0</v>
      </c>
      <c r="AD26" s="697" t="n">
        <v>0</v>
      </c>
      <c r="AE26" s="697" t="n">
        <v>-4.648155538006903e-08</v>
      </c>
      <c r="AF26" s="697" t="n">
        <v>-1.424801555084929e-07</v>
      </c>
      <c r="AG26" s="697" t="n">
        <v>1.467543717382261e-07</v>
      </c>
      <c r="AH26" s="697" t="n">
        <v>-7.198038651128397e-08</v>
      </c>
      <c r="AI26" s="697" t="n">
        <v>-7.701624706914456e-08</v>
      </c>
      <c r="AJ26" s="697" t="n">
        <v>-1.327866328778354e-07</v>
      </c>
      <c r="AK26" s="700" t="n">
        <v>3.804961432957316e-07</v>
      </c>
      <c r="AL26" s="648" t="n">
        <v>2.479667640195021e-07</v>
      </c>
      <c r="AM26" s="751" t="n">
        <v>0.9999999999999992</v>
      </c>
      <c r="AN26" s="143" t="n">
        <v>-1.169803077170052e-15</v>
      </c>
      <c r="AO26" s="617" t="n">
        <v>0.0005811946409141112</v>
      </c>
      <c r="AP26" s="617" t="n"/>
      <c r="AQ26" s="89">
        <f t="array" ref="AQ26:AQ41">-MMULT(W26:AL41,_xlfn.ANCHORARRAY('Wyrównanie wstępne - aktualny'!V110))</f>
        <v/>
      </c>
      <c r="AR26" s="189">
        <f>'Wyrównanie wstępne - aktualny'!AB131</f>
        <v/>
      </c>
      <c r="AS26" s="752">
        <f>SQRT(ROUND(W26,10))*$AR$26</f>
        <v/>
      </c>
    </row>
    <row r="27">
      <c r="A27" s="543" t="n"/>
      <c r="B27" s="144" t="n">
        <v>-1452438.942378235</v>
      </c>
      <c r="C27" s="145" t="n">
        <v>2870935.29269657</v>
      </c>
      <c r="D27" s="145" t="n">
        <v>561691.441534634</v>
      </c>
      <c r="E27" s="145" t="n">
        <v>368638.0265199062</v>
      </c>
      <c r="F27" s="145" t="n">
        <v>0</v>
      </c>
      <c r="G27" s="145" t="n">
        <v>0</v>
      </c>
      <c r="H27" s="145" t="n">
        <v>0</v>
      </c>
      <c r="I27" s="145" t="n">
        <v>0</v>
      </c>
      <c r="J27" s="145" t="n">
        <v>0</v>
      </c>
      <c r="K27" s="145" t="n">
        <v>0</v>
      </c>
      <c r="L27" s="145" t="n">
        <v>266350.4074920734</v>
      </c>
      <c r="M27" s="145" t="n">
        <v>-1176380.966423326</v>
      </c>
      <c r="N27" s="145" t="n">
        <v>497030.1152539861</v>
      </c>
      <c r="O27" s="145" t="n">
        <v>-1166909.254283338</v>
      </c>
      <c r="P27" s="145" t="n">
        <v>127366.9780975412</v>
      </c>
      <c r="Q27" s="543" t="n">
        <v>-896283.0985098127</v>
      </c>
      <c r="R27" s="125" t="n">
        <v>0</v>
      </c>
      <c r="S27" s="544" t="n">
        <v>0</v>
      </c>
      <c r="T27" s="126" t="n">
        <v>0</v>
      </c>
      <c r="U27" s="701" t="n"/>
      <c r="V27" s="702" t="n"/>
      <c r="W27" s="702" t="n">
        <v>3.006499691275322e-07</v>
      </c>
      <c r="X27" s="702" t="n">
        <v>6.919801341460251e-07</v>
      </c>
      <c r="Y27" s="702" t="n">
        <v>1.644088488774216e-07</v>
      </c>
      <c r="Z27" s="702" t="n">
        <v>2.290675362756917e-07</v>
      </c>
      <c r="AA27" s="702" t="n">
        <v>-1.988228919116097e-08</v>
      </c>
      <c r="AB27" s="702" t="n">
        <v>1.895575041481436e-07</v>
      </c>
      <c r="AC27" s="702" t="n">
        <v>0</v>
      </c>
      <c r="AD27" s="702" t="n">
        <v>0</v>
      </c>
      <c r="AE27" s="702" t="n">
        <v>6.964689381884695e-09</v>
      </c>
      <c r="AF27" s="702" t="n">
        <v>1.273361011450305e-07</v>
      </c>
      <c r="AG27" s="702" t="n">
        <v>5.956659509265284e-08</v>
      </c>
      <c r="AH27" s="702" t="n">
        <v>2.346937992279222e-07</v>
      </c>
      <c r="AI27" s="702" t="n">
        <v>1.42209685794036e-07</v>
      </c>
      <c r="AJ27" s="702" t="n">
        <v>2.451891134379931e-07</v>
      </c>
      <c r="AK27" s="705" t="n">
        <v>7.70757446995845e-08</v>
      </c>
      <c r="AL27" s="487" t="n">
        <v>2.910985806448881e-07</v>
      </c>
      <c r="AM27" s="753" t="n">
        <v>2.470283579492502e-16</v>
      </c>
      <c r="AN27" s="145" t="n">
        <v>1</v>
      </c>
      <c r="AO27" s="542" t="n">
        <v>-8.639379797371952e-05</v>
      </c>
      <c r="AP27" s="542" t="n"/>
      <c r="AQ27" s="90" t="n">
        <v>0.005670110735415764</v>
      </c>
      <c r="AS27" s="754">
        <f>SQRT(ROUND(X27,10))*AR26</f>
        <v/>
      </c>
    </row>
    <row r="28">
      <c r="A28" s="543" t="n"/>
      <c r="B28" s="144" t="n">
        <v>-2172492.414048019</v>
      </c>
      <c r="C28" s="145" t="n">
        <v>561691.441534634</v>
      </c>
      <c r="D28" s="145" t="n">
        <v>4685409.638279419</v>
      </c>
      <c r="E28" s="145" t="n">
        <v>1492344.121847907</v>
      </c>
      <c r="F28" s="145" t="n">
        <v>1037902.780981566</v>
      </c>
      <c r="G28" s="145" t="n">
        <v>-889687.4710122573</v>
      </c>
      <c r="H28" s="145" t="n">
        <v>0</v>
      </c>
      <c r="I28" s="145" t="n">
        <v>0</v>
      </c>
      <c r="J28" s="145" t="n">
        <v>0</v>
      </c>
      <c r="K28" s="145" t="n">
        <v>0</v>
      </c>
      <c r="L28" s="145" t="n">
        <v>0</v>
      </c>
      <c r="M28" s="145" t="n">
        <v>0</v>
      </c>
      <c r="N28" s="145" t="n">
        <v>-547057.6686534953</v>
      </c>
      <c r="O28" s="145" t="n">
        <v>221150.9724343918</v>
      </c>
      <c r="P28" s="145" t="n">
        <v>-3003762.336559472</v>
      </c>
      <c r="Q28" s="543" t="n">
        <v>-1385499.064804676</v>
      </c>
      <c r="R28" s="125" t="n">
        <v>0</v>
      </c>
      <c r="S28" s="544" t="n">
        <v>0</v>
      </c>
      <c r="T28" s="126" t="n">
        <v>0</v>
      </c>
      <c r="U28" s="701" t="n"/>
      <c r="V28" s="702" t="n"/>
      <c r="W28" s="702" t="n">
        <v>6.708864445809407e-07</v>
      </c>
      <c r="X28" s="702" t="n">
        <v>1.644088488774214e-07</v>
      </c>
      <c r="Y28" s="702" t="n">
        <v>7.856175249879666e-07</v>
      </c>
      <c r="Z28" s="702" t="n">
        <v>2.495612769017621e-07</v>
      </c>
      <c r="AA28" s="702" t="n">
        <v>-1.00807862574186e-08</v>
      </c>
      <c r="AB28" s="702" t="n">
        <v>3.601867575965812e-07</v>
      </c>
      <c r="AC28" s="702" t="n">
        <v>0</v>
      </c>
      <c r="AD28" s="702" t="n">
        <v>0</v>
      </c>
      <c r="AE28" s="702" t="n">
        <v>-3.642452304793642e-08</v>
      </c>
      <c r="AF28" s="702" t="n">
        <v>-1.138146495395172e-07</v>
      </c>
      <c r="AG28" s="702" t="n">
        <v>1.488220651906467e-07</v>
      </c>
      <c r="AH28" s="702" t="n">
        <v>-4.304718027746052e-08</v>
      </c>
      <c r="AI28" s="702" t="n">
        <v>-2.732716698452985e-08</v>
      </c>
      <c r="AJ28" s="702" t="n">
        <v>-4.711580514574106e-08</v>
      </c>
      <c r="AK28" s="705" t="n">
        <v>3.469877175422881e-07</v>
      </c>
      <c r="AL28" s="487" t="n">
        <v>2.306513511954572e-07</v>
      </c>
      <c r="AM28" s="753" t="n">
        <v>0.9999999999999993</v>
      </c>
      <c r="AN28" s="145" t="n">
        <v>-8.714366432180527e-16</v>
      </c>
      <c r="AO28" s="542" t="n">
        <v>0.0005419247327442388</v>
      </c>
      <c r="AP28" s="542" t="n"/>
      <c r="AQ28" s="90" t="n">
        <v>-0.002989333032792161</v>
      </c>
      <c r="AS28" s="754">
        <f>SQRT(ROUND(Y28,10))*AR26</f>
        <v/>
      </c>
    </row>
    <row r="29">
      <c r="A29" s="543" t="n"/>
      <c r="B29" s="144" t="n">
        <v>-940496.2949744693</v>
      </c>
      <c r="C29" s="145" t="n">
        <v>368638.0265199062</v>
      </c>
      <c r="D29" s="145" t="n">
        <v>1492344.121847907</v>
      </c>
      <c r="E29" s="145" t="n">
        <v>2295146.811451602</v>
      </c>
      <c r="F29" s="145" t="n">
        <v>498233.7832770413</v>
      </c>
      <c r="G29" s="145" t="n">
        <v>-1027454.2873143</v>
      </c>
      <c r="H29" s="145" t="n">
        <v>0</v>
      </c>
      <c r="I29" s="145" t="n">
        <v>0</v>
      </c>
      <c r="J29" s="145" t="n">
        <v>0</v>
      </c>
      <c r="K29" s="145" t="n">
        <v>0</v>
      </c>
      <c r="L29" s="145" t="n">
        <v>0</v>
      </c>
      <c r="M29" s="145" t="n">
        <v>0</v>
      </c>
      <c r="N29" s="145" t="n">
        <v>221150.9724343918</v>
      </c>
      <c r="O29" s="145" t="n">
        <v>-89401.4569415627</v>
      </c>
      <c r="P29" s="145" t="n">
        <v>-1271232.582584871</v>
      </c>
      <c r="Q29" s="543" t="n">
        <v>-1546929.093715645</v>
      </c>
      <c r="R29" s="125" t="n">
        <v>0</v>
      </c>
      <c r="S29" s="544" t="n">
        <v>0</v>
      </c>
      <c r="T29" s="126" t="n">
        <v>0</v>
      </c>
      <c r="U29" s="701" t="n"/>
      <c r="V29" s="702" t="n"/>
      <c r="W29" s="702" t="n">
        <v>4.965894313601224e-07</v>
      </c>
      <c r="X29" s="702" t="n">
        <v>2.290675362756918e-07</v>
      </c>
      <c r="Y29" s="702" t="n">
        <v>2.49561276901763e-07</v>
      </c>
      <c r="Z29" s="702" t="n">
        <v>1.113359898955213e-06</v>
      </c>
      <c r="AA29" s="702" t="n">
        <v>-4.306183264272769e-08</v>
      </c>
      <c r="AB29" s="702" t="n">
        <v>5.152361760288405e-07</v>
      </c>
      <c r="AC29" s="702" t="n">
        <v>0</v>
      </c>
      <c r="AD29" s="702" t="n">
        <v>0</v>
      </c>
      <c r="AE29" s="702" t="n">
        <v>-5.752417336955075e-08</v>
      </c>
      <c r="AF29" s="702" t="n">
        <v>-1.446610489982662e-08</v>
      </c>
      <c r="AG29" s="702" t="n">
        <v>1.384517436426045e-07</v>
      </c>
      <c r="AH29" s="702" t="n">
        <v>6.995758998852886e-08</v>
      </c>
      <c r="AI29" s="702" t="n">
        <v>5.488348794225416e-08</v>
      </c>
      <c r="AJ29" s="702" t="n">
        <v>9.462670334871411e-08</v>
      </c>
      <c r="AK29" s="705" t="n">
        <v>2.544500232426011e-07</v>
      </c>
      <c r="AL29" s="487" t="n">
        <v>4.360473580924299e-07</v>
      </c>
      <c r="AM29" s="753" t="n">
        <v>1.833034115221034e-16</v>
      </c>
      <c r="AN29" s="145" t="n">
        <v>0.9999999999999989</v>
      </c>
      <c r="AO29" s="542" t="n">
        <v>0.0001413716694115404</v>
      </c>
      <c r="AP29" s="542" t="n"/>
      <c r="AQ29" s="90" t="n">
        <v>0.003600798331828325</v>
      </c>
      <c r="AS29" s="754">
        <f>SQRT(ROUND(Z29,10))*AR26</f>
        <v/>
      </c>
    </row>
    <row r="30">
      <c r="A30" s="543" t="n"/>
      <c r="B30" s="144" t="n">
        <v>0</v>
      </c>
      <c r="C30" s="145" t="n">
        <v>0</v>
      </c>
      <c r="D30" s="145" t="n">
        <v>1037902.780981566</v>
      </c>
      <c r="E30" s="145" t="n">
        <v>498233.7832770413</v>
      </c>
      <c r="F30" s="145" t="n">
        <v>3185003.418114882</v>
      </c>
      <c r="G30" s="145" t="n">
        <v>-71985.69145721616</v>
      </c>
      <c r="H30" s="145" t="n">
        <v>-1228679.704548653</v>
      </c>
      <c r="I30" s="145" t="n">
        <v>-445660.1104002889</v>
      </c>
      <c r="J30" s="145" t="n">
        <v>0</v>
      </c>
      <c r="K30" s="145" t="n">
        <v>0</v>
      </c>
      <c r="L30" s="145" t="n">
        <v>-606688.3809256332</v>
      </c>
      <c r="M30" s="145" t="n">
        <v>-118958.5060638495</v>
      </c>
      <c r="N30" s="145" t="n">
        <v>0</v>
      </c>
      <c r="O30" s="145" t="n">
        <v>0</v>
      </c>
      <c r="P30" s="145" t="n">
        <v>-2387538.113622162</v>
      </c>
      <c r="Q30" s="543" t="n">
        <v>138370.5246443133</v>
      </c>
      <c r="R30" s="125" t="n">
        <v>0</v>
      </c>
      <c r="S30" s="544" t="n">
        <v>0</v>
      </c>
      <c r="T30" s="126" t="n">
        <v>0</v>
      </c>
      <c r="U30" s="701" t="n"/>
      <c r="V30" s="702" t="n"/>
      <c r="W30" s="702" t="n">
        <v>1.26764229169091e-08</v>
      </c>
      <c r="X30" s="702" t="n">
        <v>-1.988228919116103e-08</v>
      </c>
      <c r="Y30" s="702" t="n">
        <v>-1.008078625741893e-08</v>
      </c>
      <c r="Z30" s="702" t="n">
        <v>-4.306183264272769e-08</v>
      </c>
      <c r="AA30" s="702" t="n">
        <v>4.327301428037027e-07</v>
      </c>
      <c r="AB30" s="702" t="n">
        <v>-2.128631563462384e-09</v>
      </c>
      <c r="AC30" s="702" t="n">
        <v>0</v>
      </c>
      <c r="AD30" s="702" t="n">
        <v>0</v>
      </c>
      <c r="AE30" s="702" t="n">
        <v>3.498600283806544e-08</v>
      </c>
      <c r="AF30" s="702" t="n">
        <v>-5.488461592216398e-08</v>
      </c>
      <c r="AG30" s="702" t="n">
        <v>9.113280188018999e-08</v>
      </c>
      <c r="AH30" s="702" t="n">
        <v>-1.844996658845322e-08</v>
      </c>
      <c r="AI30" s="702" t="n">
        <v>2.479306764886216e-09</v>
      </c>
      <c r="AJ30" s="702" t="n">
        <v>4.274666836010769e-09</v>
      </c>
      <c r="AK30" s="705" t="n">
        <v>1.203301483374666e-07</v>
      </c>
      <c r="AL30" s="487" t="n">
        <v>-4.405007616428207e-08</v>
      </c>
      <c r="AM30" s="753" t="n">
        <v>0.9999999999999994</v>
      </c>
      <c r="AN30" s="145" t="n">
        <v>-6.976889808195223e-17</v>
      </c>
      <c r="AO30" s="542" t="n">
        <v>8.639379797371924e-05</v>
      </c>
      <c r="AP30" s="542" t="n"/>
      <c r="AQ30" s="90" t="n">
        <v>0.007872488822410298</v>
      </c>
      <c r="AS30" s="754">
        <f>SQRT(ROUND(AA30,10))*AR26</f>
        <v/>
      </c>
    </row>
    <row r="31">
      <c r="A31" s="543" t="n"/>
      <c r="B31" s="144" t="n">
        <v>0</v>
      </c>
      <c r="C31" s="145" t="n">
        <v>0</v>
      </c>
      <c r="D31" s="145" t="n">
        <v>-889687.4710122573</v>
      </c>
      <c r="E31" s="145" t="n">
        <v>-1027454.2873143</v>
      </c>
      <c r="F31" s="145" t="n">
        <v>-71985.69145721616</v>
      </c>
      <c r="G31" s="145" t="n">
        <v>3650863.595568579</v>
      </c>
      <c r="H31" s="145" t="n">
        <v>1453151.103503228</v>
      </c>
      <c r="I31" s="145" t="n">
        <v>-1670576.071123057</v>
      </c>
      <c r="J31" s="145" t="n">
        <v>0</v>
      </c>
      <c r="K31" s="145" t="n">
        <v>0</v>
      </c>
      <c r="L31" s="145" t="n">
        <v>-118958.5060638495</v>
      </c>
      <c r="M31" s="145" t="n">
        <v>-23325.19726742145</v>
      </c>
      <c r="N31" s="145" t="n">
        <v>0</v>
      </c>
      <c r="O31" s="145" t="n">
        <v>0</v>
      </c>
      <c r="P31" s="145" t="n">
        <v>-372519.4349699053</v>
      </c>
      <c r="Q31" s="543" t="n">
        <v>-929508.039863801</v>
      </c>
      <c r="R31" s="125" t="n">
        <v>0</v>
      </c>
      <c r="S31" s="544" t="n">
        <v>0</v>
      </c>
      <c r="T31" s="126" t="n">
        <v>0</v>
      </c>
      <c r="U31" s="701" t="n"/>
      <c r="V31" s="702" t="n"/>
      <c r="W31" s="702" t="n">
        <v>4.097722962248577e-07</v>
      </c>
      <c r="X31" s="702" t="n">
        <v>1.895575041481436e-07</v>
      </c>
      <c r="Y31" s="702" t="n">
        <v>3.601867575965813e-07</v>
      </c>
      <c r="Z31" s="702" t="n">
        <v>5.152361760288403e-07</v>
      </c>
      <c r="AA31" s="702" t="n">
        <v>-2.128631563462314e-09</v>
      </c>
      <c r="AB31" s="702" t="n">
        <v>6.143109109707564e-07</v>
      </c>
      <c r="AC31" s="702" t="n">
        <v>0</v>
      </c>
      <c r="AD31" s="702" t="n">
        <v>0</v>
      </c>
      <c r="AE31" s="702" t="n">
        <v>-3.488206581501462e-08</v>
      </c>
      <c r="AF31" s="702" t="n">
        <v>-2.453699024157527e-08</v>
      </c>
      <c r="AG31" s="702" t="n">
        <v>1.252425111960256e-07</v>
      </c>
      <c r="AH31" s="702" t="n">
        <v>4.924092640836215e-08</v>
      </c>
      <c r="AI31" s="702" t="n">
        <v>4.189598918240484e-08</v>
      </c>
      <c r="AJ31" s="702" t="n">
        <v>7.223446410759457e-08</v>
      </c>
      <c r="AK31" s="705" t="n">
        <v>2.267022540934336e-07</v>
      </c>
      <c r="AL31" s="487" t="n">
        <v>3.147741431393174e-07</v>
      </c>
      <c r="AM31" s="753" t="n">
        <v>-5.11745745303268e-17</v>
      </c>
      <c r="AN31" s="145" t="n">
        <v>0.9999999999999994</v>
      </c>
      <c r="AO31" s="542" t="n">
        <v>0.0002199114857512852</v>
      </c>
      <c r="AP31" s="542" t="n"/>
      <c r="AQ31" s="90" t="n">
        <v>-0.003175841417899183</v>
      </c>
      <c r="AS31" s="754">
        <f>SQRT(ROUND(AB31,10))*AR26</f>
        <v/>
      </c>
    </row>
    <row r="32">
      <c r="A32" s="543" t="n"/>
      <c r="B32" s="144" t="n">
        <v>0</v>
      </c>
      <c r="C32" s="145" t="n">
        <v>0</v>
      </c>
      <c r="D32" s="145" t="n">
        <v>0</v>
      </c>
      <c r="E32" s="145" t="n">
        <v>0</v>
      </c>
      <c r="F32" s="145" t="n">
        <v>-1228679.704548653</v>
      </c>
      <c r="G32" s="145" t="n">
        <v>1453151.103503228</v>
      </c>
      <c r="H32" s="145" t="n">
        <v>6170884.78268812</v>
      </c>
      <c r="I32" s="145" t="n">
        <v>340680.3766148204</v>
      </c>
      <c r="J32" s="145" t="n">
        <v>-1392389.529680874</v>
      </c>
      <c r="K32" s="145" t="n">
        <v>-1871080.493272073</v>
      </c>
      <c r="L32" s="145" t="n">
        <v>-2467753.036878972</v>
      </c>
      <c r="M32" s="145" t="n">
        <v>153232.313149405</v>
      </c>
      <c r="N32" s="145" t="n">
        <v>0</v>
      </c>
      <c r="O32" s="145" t="n">
        <v>0</v>
      </c>
      <c r="P32" s="145" t="n">
        <v>-1082062.511579622</v>
      </c>
      <c r="Q32" s="543" t="n">
        <v>-75983.29999538064</v>
      </c>
      <c r="R32" s="125" t="n">
        <v>1</v>
      </c>
      <c r="S32" s="544" t="n">
        <v>0</v>
      </c>
      <c r="T32" s="126" t="n">
        <v>-1905.47672064526</v>
      </c>
      <c r="U32" s="701" t="n"/>
      <c r="V32" s="702" t="n"/>
      <c r="W32" s="702" t="n">
        <v>4.793840801976202e-23</v>
      </c>
      <c r="X32" s="702" t="n">
        <v>-3.595380601482151e-23</v>
      </c>
      <c r="Y32" s="702" t="n">
        <v>-9.587681603952404e-23</v>
      </c>
      <c r="Z32" s="702" t="n">
        <v>1.19846020049405e-22</v>
      </c>
      <c r="AA32" s="702" t="n">
        <v>1.797690300741076e-23</v>
      </c>
      <c r="AB32" s="702" t="n">
        <v>2.396920400988101e-23</v>
      </c>
      <c r="AC32" s="702" t="n">
        <v>0</v>
      </c>
      <c r="AD32" s="702" t="n">
        <v>0</v>
      </c>
      <c r="AE32" s="702" t="n">
        <v>4.793840801976202e-23</v>
      </c>
      <c r="AF32" s="702" t="n">
        <v>-4.793840801976202e-23</v>
      </c>
      <c r="AG32" s="702" t="n">
        <v>-1.19846020049405e-23</v>
      </c>
      <c r="AH32" s="702" t="n">
        <v>-5.992301002470252e-23</v>
      </c>
      <c r="AI32" s="702" t="n">
        <v>-4.793840801976202e-23</v>
      </c>
      <c r="AJ32" s="702" t="n">
        <v>-3.595380601482151e-23</v>
      </c>
      <c r="AK32" s="705" t="n">
        <v>-9.587681603952404e-23</v>
      </c>
      <c r="AL32" s="487" t="n">
        <v>1.003710417913767e-22</v>
      </c>
      <c r="AM32" s="753" t="n">
        <v>1</v>
      </c>
      <c r="AN32" s="145" t="n">
        <v>-2.125329386017101e-16</v>
      </c>
      <c r="AO32" s="542" t="n">
        <v>5.994650084606039e-21</v>
      </c>
      <c r="AP32" s="542" t="n"/>
      <c r="AQ32" s="747" t="n">
        <v>7.720297569542413e-18</v>
      </c>
      <c r="AS32" s="754">
        <f>SQRT(ROUND(AC32,10))*AR26</f>
        <v/>
      </c>
    </row>
    <row r="33">
      <c r="A33" s="543" t="n"/>
      <c r="B33" s="144" t="n">
        <v>0</v>
      </c>
      <c r="C33" s="145" t="n">
        <v>0</v>
      </c>
      <c r="D33" s="145" t="n">
        <v>0</v>
      </c>
      <c r="E33" s="145" t="n">
        <v>0</v>
      </c>
      <c r="F33" s="145" t="n">
        <v>-445660.1104002889</v>
      </c>
      <c r="G33" s="145" t="n">
        <v>-1670576.071123057</v>
      </c>
      <c r="H33" s="145" t="n">
        <v>340680.3766148204</v>
      </c>
      <c r="I33" s="145" t="n">
        <v>4660233.284690849</v>
      </c>
      <c r="J33" s="145" t="n">
        <v>206716.2205225248</v>
      </c>
      <c r="K33" s="145" t="n">
        <v>-1289172.580422561</v>
      </c>
      <c r="L33" s="145" t="n">
        <v>419606.4541507486</v>
      </c>
      <c r="M33" s="145" t="n">
        <v>-1351045.197193711</v>
      </c>
      <c r="N33" s="145" t="n">
        <v>0</v>
      </c>
      <c r="O33" s="145" t="n">
        <v>0</v>
      </c>
      <c r="P33" s="145" t="n">
        <v>-521342.9408878051</v>
      </c>
      <c r="Q33" s="543" t="n">
        <v>-349439.4359515198</v>
      </c>
      <c r="R33" s="125" t="n">
        <v>0</v>
      </c>
      <c r="S33" s="544" t="n">
        <v>1</v>
      </c>
      <c r="T33" s="126" t="n">
        <v>1105.176497974251</v>
      </c>
      <c r="U33" s="701" t="n"/>
      <c r="V33" s="702" t="n"/>
      <c r="W33" s="702" t="n">
        <v>3.043375099288152e-23</v>
      </c>
      <c r="X33" s="702" t="n">
        <v>1.141265662233057e-22</v>
      </c>
      <c r="Y33" s="702" t="n">
        <v>3.043375099288152e-23</v>
      </c>
      <c r="Z33" s="702" t="n">
        <v>-5.325906423754266e-23</v>
      </c>
      <c r="AA33" s="702" t="n">
        <v>-2.282531324466114e-23</v>
      </c>
      <c r="AB33" s="702" t="n">
        <v>0</v>
      </c>
      <c r="AC33" s="702" t="n">
        <v>0</v>
      </c>
      <c r="AD33" s="702" t="n">
        <v>0</v>
      </c>
      <c r="AE33" s="702" t="n">
        <v>-2.282531324466114e-23</v>
      </c>
      <c r="AF33" s="702" t="n">
        <v>4.565062648932228e-23</v>
      </c>
      <c r="AG33" s="702" t="n">
        <v>0</v>
      </c>
      <c r="AH33" s="702" t="n">
        <v>3.043375099288152e-23</v>
      </c>
      <c r="AI33" s="702" t="n">
        <v>3.043375099288152e-23</v>
      </c>
      <c r="AJ33" s="702" t="n">
        <v>6.086750198576305e-23</v>
      </c>
      <c r="AK33" s="705" t="n">
        <v>-3.043375099288152e-23</v>
      </c>
      <c r="AL33" s="487" t="n">
        <v>1.103223473491955e-22</v>
      </c>
      <c r="AM33" s="753" t="n">
        <v>-1.120647053483747e-17</v>
      </c>
      <c r="AN33" s="145" t="n">
        <v>1</v>
      </c>
      <c r="AO33" s="542" t="n">
        <v>3.123573130059558e-21</v>
      </c>
      <c r="AP33" s="542" t="n"/>
      <c r="AQ33" s="747" t="n">
        <v>1.987432689052976e-18</v>
      </c>
      <c r="AS33" s="754">
        <f>SQRT(ROUND(AD33,10))*AR26</f>
        <v/>
      </c>
    </row>
    <row r="34">
      <c r="A34" s="543" t="n"/>
      <c r="B34" s="144" t="n">
        <v>0</v>
      </c>
      <c r="C34" s="145" t="n">
        <v>0</v>
      </c>
      <c r="D34" s="145" t="n">
        <v>0</v>
      </c>
      <c r="E34" s="145" t="n">
        <v>0</v>
      </c>
      <c r="F34" s="145" t="n">
        <v>0</v>
      </c>
      <c r="G34" s="145" t="n">
        <v>0</v>
      </c>
      <c r="H34" s="145" t="n">
        <v>-1392389.529680874</v>
      </c>
      <c r="I34" s="145" t="n">
        <v>206716.2205225248</v>
      </c>
      <c r="J34" s="145" t="n">
        <v>1701791.306568916</v>
      </c>
      <c r="K34" s="145" t="n">
        <v>7241.359531932045</v>
      </c>
      <c r="L34" s="145" t="n">
        <v>-834516.7926786921</v>
      </c>
      <c r="M34" s="145" t="n">
        <v>-668089.9572568261</v>
      </c>
      <c r="N34" s="145" t="n">
        <v>333331.8238501355</v>
      </c>
      <c r="O34" s="145" t="n">
        <v>14175.22122004323</v>
      </c>
      <c r="P34" s="145" t="n">
        <v>191783.1919405147</v>
      </c>
      <c r="Q34" s="543" t="n">
        <v>439957.155982326</v>
      </c>
      <c r="R34" s="125" t="n">
        <v>0</v>
      </c>
      <c r="S34" s="544" t="n">
        <v>0</v>
      </c>
      <c r="T34" s="126" t="n">
        <v>0</v>
      </c>
      <c r="U34" s="701" t="n"/>
      <c r="V34" s="702" t="n"/>
      <c r="W34" s="702" t="n">
        <v>-4.648155538006867e-08</v>
      </c>
      <c r="X34" s="702" t="n">
        <v>6.964689381884729e-09</v>
      </c>
      <c r="Y34" s="702" t="n">
        <v>-3.642452304793622e-08</v>
      </c>
      <c r="Z34" s="702" t="n">
        <v>-5.752417336955038e-08</v>
      </c>
      <c r="AA34" s="702" t="n">
        <v>3.498600283806567e-08</v>
      </c>
      <c r="AB34" s="702" t="n">
        <v>-3.488206581501436e-08</v>
      </c>
      <c r="AC34" s="702" t="n">
        <v>0</v>
      </c>
      <c r="AD34" s="702" t="n">
        <v>0</v>
      </c>
      <c r="AE34" s="702" t="n">
        <v>6.614556829452429e-07</v>
      </c>
      <c r="AF34" s="702" t="n">
        <v>1.420957765656299e-08</v>
      </c>
      <c r="AG34" s="702" t="n">
        <v>7.656622275715711e-08</v>
      </c>
      <c r="AH34" s="702" t="n">
        <v>6.838970988386014e-08</v>
      </c>
      <c r="AI34" s="702" t="n">
        <v>1.994866992557866e-08</v>
      </c>
      <c r="AJ34" s="702" t="n">
        <v>3.439425849237697e-08</v>
      </c>
      <c r="AK34" s="705" t="n">
        <v>-5.900530942464018e-09</v>
      </c>
      <c r="AL34" s="487" t="n">
        <v>-5.041763811336962e-08</v>
      </c>
      <c r="AM34" s="753" t="n">
        <v>0.9999999999999996</v>
      </c>
      <c r="AN34" s="145" t="n">
        <v>2.987063889505088e-16</v>
      </c>
      <c r="AO34" s="542" t="n">
        <v>-0.0001099557428756428</v>
      </c>
      <c r="AP34" s="542" t="n"/>
      <c r="AQ34" s="747" t="n">
        <v>-0.0001222315460766885</v>
      </c>
      <c r="AS34" s="754">
        <f>SQRT(ROUND(AE34,10))*AR26</f>
        <v/>
      </c>
    </row>
    <row r="35">
      <c r="A35" s="543" t="n"/>
      <c r="B35" s="144" t="n">
        <v>0</v>
      </c>
      <c r="C35" s="145" t="n">
        <v>0</v>
      </c>
      <c r="D35" s="145" t="n">
        <v>0</v>
      </c>
      <c r="E35" s="145" t="n">
        <v>0</v>
      </c>
      <c r="F35" s="145" t="n">
        <v>0</v>
      </c>
      <c r="G35" s="145" t="n">
        <v>0</v>
      </c>
      <c r="H35" s="145" t="n">
        <v>-1871080.493272073</v>
      </c>
      <c r="I35" s="145" t="n">
        <v>-1289172.580422561</v>
      </c>
      <c r="J35" s="145" t="n">
        <v>7241.359531932045</v>
      </c>
      <c r="K35" s="145" t="n">
        <v>3931591.749678181</v>
      </c>
      <c r="L35" s="145" t="n">
        <v>1048094.491924505</v>
      </c>
      <c r="M35" s="145" t="n">
        <v>-1892998.529948587</v>
      </c>
      <c r="N35" s="145" t="n">
        <v>156700.6602728998</v>
      </c>
      <c r="O35" s="145" t="n">
        <v>-571433.8864158713</v>
      </c>
      <c r="P35" s="145" t="n">
        <v>659043.9815427364</v>
      </c>
      <c r="Q35" s="543" t="n">
        <v>-177986.7528911629</v>
      </c>
      <c r="R35" s="125" t="n">
        <v>0</v>
      </c>
      <c r="S35" s="544" t="n">
        <v>0</v>
      </c>
      <c r="T35" s="126" t="n">
        <v>0</v>
      </c>
      <c r="U35" s="701" t="n"/>
      <c r="V35" s="702" t="n"/>
      <c r="W35" s="702" t="n">
        <v>-1.424801555084927e-07</v>
      </c>
      <c r="X35" s="702" t="n">
        <v>1.273361011450306e-07</v>
      </c>
      <c r="Y35" s="702" t="n">
        <v>-1.138146495395171e-07</v>
      </c>
      <c r="Z35" s="702" t="n">
        <v>-1.446610489982648e-08</v>
      </c>
      <c r="AA35" s="702" t="n">
        <v>-5.488461592216399e-08</v>
      </c>
      <c r="AB35" s="702" t="n">
        <v>-2.453699024157517e-08</v>
      </c>
      <c r="AC35" s="702" t="n">
        <v>0</v>
      </c>
      <c r="AD35" s="702" t="n">
        <v>0</v>
      </c>
      <c r="AE35" s="702" t="n">
        <v>1.420957765656301e-08</v>
      </c>
      <c r="AF35" s="702" t="n">
        <v>4.150569999650599e-07</v>
      </c>
      <c r="AG35" s="702" t="n">
        <v>-6.824318247656411e-08</v>
      </c>
      <c r="AH35" s="702" t="n">
        <v>2.032754951050256e-07</v>
      </c>
      <c r="AI35" s="702" t="n">
        <v>1.044950810750282e-07</v>
      </c>
      <c r="AJ35" s="702" t="n">
        <v>1.801639328879796e-07</v>
      </c>
      <c r="AK35" s="705" t="n">
        <v>-1.130230550066109e-07</v>
      </c>
      <c r="AL35" s="487" t="n">
        <v>8.1733970194622e-08</v>
      </c>
      <c r="AM35" s="753" t="n">
        <v>3.242077132801277e-16</v>
      </c>
      <c r="AN35" s="145" t="n">
        <v>1.000000000000001</v>
      </c>
      <c r="AO35" s="542" t="n">
        <v>-0.0002356194490192343</v>
      </c>
      <c r="AP35" s="542" t="n"/>
      <c r="AQ35" s="747" t="n">
        <v>-0.0004359798134499567</v>
      </c>
      <c r="AS35" s="754">
        <f>SQRT(ROUND(AF35,10))*AR26</f>
        <v/>
      </c>
    </row>
    <row r="36">
      <c r="A36" s="543" t="n"/>
      <c r="B36" s="144" t="n">
        <v>-60305.75263971463</v>
      </c>
      <c r="C36" s="145" t="n">
        <v>266350.4074920734</v>
      </c>
      <c r="D36" s="145" t="n">
        <v>0</v>
      </c>
      <c r="E36" s="145" t="n">
        <v>0</v>
      </c>
      <c r="F36" s="145" t="n">
        <v>-606688.3809256332</v>
      </c>
      <c r="G36" s="145" t="n">
        <v>-118958.5060638495</v>
      </c>
      <c r="H36" s="145" t="n">
        <v>-2467753.036878972</v>
      </c>
      <c r="I36" s="145" t="n">
        <v>419606.4541507486</v>
      </c>
      <c r="J36" s="145" t="n">
        <v>-834516.7926786921</v>
      </c>
      <c r="K36" s="145" t="n">
        <v>1048094.491924505</v>
      </c>
      <c r="L36" s="145" t="n">
        <v>7233404.80469601</v>
      </c>
      <c r="M36" s="145" t="n">
        <v>183833.6956569866</v>
      </c>
      <c r="N36" s="145" t="n">
        <v>-641554.2973373814</v>
      </c>
      <c r="O36" s="145" t="n">
        <v>-1300054.84817083</v>
      </c>
      <c r="P36" s="145" t="n">
        <v>-2622586.544235618</v>
      </c>
      <c r="Q36" s="543" t="n">
        <v>-498871.6949896335</v>
      </c>
      <c r="R36" s="125" t="n">
        <v>0</v>
      </c>
      <c r="S36" s="544" t="n">
        <v>0</v>
      </c>
      <c r="T36" s="126" t="n">
        <v>0</v>
      </c>
      <c r="U36" s="701" t="n"/>
      <c r="V36" s="702" t="n"/>
      <c r="W36" s="702" t="n">
        <v>1.467543717382263e-07</v>
      </c>
      <c r="X36" s="702" t="n">
        <v>5.956659509265275e-08</v>
      </c>
      <c r="Y36" s="702" t="n">
        <v>1.488220651906468e-07</v>
      </c>
      <c r="Z36" s="702" t="n">
        <v>1.384517436426044e-07</v>
      </c>
      <c r="AA36" s="702" t="n">
        <v>9.113280188019007e-08</v>
      </c>
      <c r="AB36" s="702" t="n">
        <v>1.252425111960256e-07</v>
      </c>
      <c r="AC36" s="702" t="n">
        <v>0</v>
      </c>
      <c r="AD36" s="702" t="n">
        <v>0</v>
      </c>
      <c r="AE36" s="702" t="n">
        <v>7.656622275715696e-08</v>
      </c>
      <c r="AF36" s="702" t="n">
        <v>-6.824318247656417e-08</v>
      </c>
      <c r="AG36" s="702" t="n">
        <v>2.456874628750916e-07</v>
      </c>
      <c r="AH36" s="702" t="n">
        <v>1.906911509076392e-08</v>
      </c>
      <c r="AI36" s="702" t="n">
        <v>4.560969018813019e-08</v>
      </c>
      <c r="AJ36" s="702" t="n">
        <v>7.86373968760866e-08</v>
      </c>
      <c r="AK36" s="705" t="n">
        <v>1.535614179138827e-07</v>
      </c>
      <c r="AL36" s="487" t="n">
        <v>9.590996711391445e-08</v>
      </c>
      <c r="AM36" s="753" t="n">
        <v>0.9999999999999996</v>
      </c>
      <c r="AN36" s="145" t="n">
        <v>-2.886898498737028e-16</v>
      </c>
      <c r="AO36" s="542" t="n">
        <v>0.0001649336143134639</v>
      </c>
      <c r="AP36" s="542" t="n"/>
      <c r="AQ36" s="747" t="n">
        <v>-0.002890538045496497</v>
      </c>
      <c r="AS36" s="754">
        <f>SQRT(ROUND(AG36,10))*AR26</f>
        <v/>
      </c>
    </row>
    <row r="37">
      <c r="A37" s="543" t="n"/>
      <c r="B37" s="144" t="n">
        <v>266350.4074920734</v>
      </c>
      <c r="C37" s="145" t="n">
        <v>-1176380.966423326</v>
      </c>
      <c r="D37" s="145" t="n">
        <v>0</v>
      </c>
      <c r="E37" s="145" t="n">
        <v>0</v>
      </c>
      <c r="F37" s="145" t="n">
        <v>-118958.5060638495</v>
      </c>
      <c r="G37" s="145" t="n">
        <v>-23325.19726742145</v>
      </c>
      <c r="H37" s="145" t="n">
        <v>153232.313149405</v>
      </c>
      <c r="I37" s="145" t="n">
        <v>-1351045.197193711</v>
      </c>
      <c r="J37" s="145" t="n">
        <v>-668089.9572568261</v>
      </c>
      <c r="K37" s="145" t="n">
        <v>-1892998.529948587</v>
      </c>
      <c r="L37" s="145" t="n">
        <v>183833.6956569866</v>
      </c>
      <c r="M37" s="145" t="n">
        <v>7842938.244031625</v>
      </c>
      <c r="N37" s="145" t="n">
        <v>-227612.5967067419</v>
      </c>
      <c r="O37" s="145" t="n">
        <v>-2619105.105805744</v>
      </c>
      <c r="P37" s="145" t="n">
        <v>411244.6437289524</v>
      </c>
      <c r="Q37" s="543" t="n">
        <v>-780083.2473928363</v>
      </c>
      <c r="R37" s="125" t="n">
        <v>0</v>
      </c>
      <c r="S37" s="544" t="n">
        <v>0</v>
      </c>
      <c r="T37" s="126" t="n">
        <v>0</v>
      </c>
      <c r="U37" s="701" t="n"/>
      <c r="V37" s="702" t="n"/>
      <c r="W37" s="702" t="n">
        <v>-7.198038651128387e-08</v>
      </c>
      <c r="X37" s="702" t="n">
        <v>2.346937992279224e-07</v>
      </c>
      <c r="Y37" s="702" t="n">
        <v>-4.30471802774604e-08</v>
      </c>
      <c r="Z37" s="702" t="n">
        <v>6.995758998852898e-08</v>
      </c>
      <c r="AA37" s="702" t="n">
        <v>-1.84499665884532e-08</v>
      </c>
      <c r="AB37" s="702" t="n">
        <v>4.924092640836225e-08</v>
      </c>
      <c r="AC37" s="702" t="n">
        <v>0</v>
      </c>
      <c r="AD37" s="702" t="n">
        <v>0</v>
      </c>
      <c r="AE37" s="702" t="n">
        <v>6.838970988386015e-08</v>
      </c>
      <c r="AF37" s="702" t="n">
        <v>2.032754951050258e-07</v>
      </c>
      <c r="AG37" s="702" t="n">
        <v>1.906911509076399e-08</v>
      </c>
      <c r="AH37" s="702" t="n">
        <v>3.336579657566001e-07</v>
      </c>
      <c r="AI37" s="702" t="n">
        <v>1.580731513651955e-07</v>
      </c>
      <c r="AJ37" s="702" t="n">
        <v>2.725399161468887e-07</v>
      </c>
      <c r="AK37" s="705" t="n">
        <v>-4.213176462477366e-08</v>
      </c>
      <c r="AL37" s="487" t="n">
        <v>1.647798337391879e-07</v>
      </c>
      <c r="AM37" s="753" t="n">
        <v>4.413029736928242e-16</v>
      </c>
      <c r="AN37" s="145" t="n">
        <v>1.000000000000001</v>
      </c>
      <c r="AO37" s="542" t="n">
        <v>-0.0001806415775814131</v>
      </c>
      <c r="AP37" s="542" t="n"/>
      <c r="AQ37" s="747" t="n">
        <v>-0.004359121825874068</v>
      </c>
      <c r="AS37" s="754">
        <f>SQRT(ROUND(AH37,10))*AR26</f>
        <v/>
      </c>
    </row>
    <row r="38">
      <c r="A38" s="543" t="n"/>
      <c r="B38" s="144" t="n">
        <v>-551394.9035697582</v>
      </c>
      <c r="C38" s="145" t="n">
        <v>497030.1152539861</v>
      </c>
      <c r="D38" s="145" t="n">
        <v>-547057.6686534953</v>
      </c>
      <c r="E38" s="145" t="n">
        <v>221150.9724343918</v>
      </c>
      <c r="F38" s="145" t="n">
        <v>0</v>
      </c>
      <c r="G38" s="145" t="n">
        <v>0</v>
      </c>
      <c r="H38" s="145" t="n">
        <v>0</v>
      </c>
      <c r="I38" s="145" t="n">
        <v>0</v>
      </c>
      <c r="J38" s="145" t="n">
        <v>333331.8238501355</v>
      </c>
      <c r="K38" s="145" t="n">
        <v>156700.6602728998</v>
      </c>
      <c r="L38" s="145" t="n">
        <v>-641554.2973373814</v>
      </c>
      <c r="M38" s="145" t="n">
        <v>-227612.5967067419</v>
      </c>
      <c r="N38" s="145" t="n">
        <v>2150471.767746017</v>
      </c>
      <c r="O38" s="145" t="n">
        <v>-763133.4130402136</v>
      </c>
      <c r="P38" s="145" t="n">
        <v>-743796.7220355181</v>
      </c>
      <c r="Q38" s="543" t="n">
        <v>115864.2617856776</v>
      </c>
      <c r="R38" s="125" t="n">
        <v>0</v>
      </c>
      <c r="S38" s="544" t="n">
        <v>0</v>
      </c>
      <c r="T38" s="126" t="n">
        <v>1905.47672064526</v>
      </c>
      <c r="U38" s="701" t="n"/>
      <c r="V38" s="702" t="n"/>
      <c r="W38" s="702" t="n">
        <v>-7.701624706914452e-08</v>
      </c>
      <c r="X38" s="702" t="n">
        <v>1.422096857940359e-07</v>
      </c>
      <c r="Y38" s="702" t="n">
        <v>-2.73271669845299e-08</v>
      </c>
      <c r="Z38" s="702" t="n">
        <v>5.488348794225409e-08</v>
      </c>
      <c r="AA38" s="702" t="n">
        <v>2.479306764886263e-09</v>
      </c>
      <c r="AB38" s="702" t="n">
        <v>4.18959891824048e-08</v>
      </c>
      <c r="AC38" s="702" t="n">
        <v>0</v>
      </c>
      <c r="AD38" s="702" t="n">
        <v>0</v>
      </c>
      <c r="AE38" s="702" t="n">
        <v>1.994866992557865e-08</v>
      </c>
      <c r="AF38" s="702" t="n">
        <v>1.044950810750281e-07</v>
      </c>
      <c r="AG38" s="702" t="n">
        <v>4.560969018813025e-08</v>
      </c>
      <c r="AH38" s="702" t="n">
        <v>1.580731513651954e-07</v>
      </c>
      <c r="AI38" s="702" t="n">
        <v>1.573951714400902e-07</v>
      </c>
      <c r="AJ38" s="702" t="n">
        <v>2.713709852415349e-07</v>
      </c>
      <c r="AK38" s="705" t="n">
        <v>-1.06431103722659e-08</v>
      </c>
      <c r="AL38" s="487" t="n">
        <v>1.243157053530977e-07</v>
      </c>
      <c r="AM38" s="753" t="n">
        <v>1.000000000000001</v>
      </c>
      <c r="AN38" s="145" t="n">
        <v>1.556630460550944e-16</v>
      </c>
      <c r="AO38" s="542" t="n">
        <v>0.0003926990816987241</v>
      </c>
      <c r="AP38" s="542" t="n"/>
      <c r="AQ38" s="747" t="n">
        <v>-0.00251222365585094</v>
      </c>
      <c r="AS38" s="754">
        <f>SQRT(ROUND(AI38,10))*AR26</f>
        <v/>
      </c>
    </row>
    <row r="39">
      <c r="A39" s="543" t="n"/>
      <c r="B39" s="144" t="n">
        <v>1785039.368589716</v>
      </c>
      <c r="C39" s="145" t="n">
        <v>-1166909.254283338</v>
      </c>
      <c r="D39" s="145" t="n">
        <v>221150.9724343918</v>
      </c>
      <c r="E39" s="145" t="n">
        <v>-89401.4569415627</v>
      </c>
      <c r="F39" s="145" t="n">
        <v>0</v>
      </c>
      <c r="G39" s="145" t="n">
        <v>0</v>
      </c>
      <c r="H39" s="145" t="n">
        <v>0</v>
      </c>
      <c r="I39" s="145" t="n">
        <v>0</v>
      </c>
      <c r="J39" s="145" t="n">
        <v>14175.22122004323</v>
      </c>
      <c r="K39" s="145" t="n">
        <v>-571433.8864158713</v>
      </c>
      <c r="L39" s="145" t="n">
        <v>-1300054.84817083</v>
      </c>
      <c r="M39" s="145" t="n">
        <v>-2619105.105805744</v>
      </c>
      <c r="N39" s="145" t="n">
        <v>-763133.4130402136</v>
      </c>
      <c r="O39" s="145" t="n">
        <v>5772423.098726201</v>
      </c>
      <c r="P39" s="145" t="n">
        <v>42822.69896689337</v>
      </c>
      <c r="Q39" s="543" t="n">
        <v>-1325573.395279685</v>
      </c>
      <c r="R39" s="125" t="n">
        <v>0</v>
      </c>
      <c r="S39" s="544" t="n">
        <v>0</v>
      </c>
      <c r="T39" s="126" t="n">
        <v>-1105.176497974251</v>
      </c>
      <c r="U39" s="701" t="n"/>
      <c r="V39" s="702" t="n"/>
      <c r="W39" s="702" t="n">
        <v>-1.327866328778353e-07</v>
      </c>
      <c r="X39" s="702" t="n">
        <v>2.451891134379931e-07</v>
      </c>
      <c r="Y39" s="702" t="n">
        <v>-4.7115805145741e-08</v>
      </c>
      <c r="Z39" s="702" t="n">
        <v>9.462670334871415e-08</v>
      </c>
      <c r="AA39" s="702" t="n">
        <v>4.274666836010764e-09</v>
      </c>
      <c r="AB39" s="702" t="n">
        <v>7.22344641075946e-08</v>
      </c>
      <c r="AC39" s="702" t="n">
        <v>0</v>
      </c>
      <c r="AD39" s="702" t="n">
        <v>0</v>
      </c>
      <c r="AE39" s="702" t="n">
        <v>3.439425849237694e-08</v>
      </c>
      <c r="AF39" s="702" t="n">
        <v>1.801639328879796e-07</v>
      </c>
      <c r="AG39" s="702" t="n">
        <v>7.863739687608665e-08</v>
      </c>
      <c r="AH39" s="702" t="n">
        <v>2.725399161468885e-07</v>
      </c>
      <c r="AI39" s="702" t="n">
        <v>2.713709852415349e-07</v>
      </c>
      <c r="AJ39" s="702" t="n">
        <v>4.678810090371293e-07</v>
      </c>
      <c r="AK39" s="705" t="n">
        <v>-1.835019029701015e-08</v>
      </c>
      <c r="AL39" s="487" t="n">
        <v>2.143374230225827e-07</v>
      </c>
      <c r="AM39" s="753" t="n">
        <v>5.269094165630325e-16</v>
      </c>
      <c r="AN39" s="145" t="n">
        <v>1.000000000000001</v>
      </c>
      <c r="AO39" s="542" t="n">
        <v>-0.00022776546738526</v>
      </c>
      <c r="AP39" s="542" t="n"/>
      <c r="AQ39" s="747" t="n">
        <v>-0.004331420096294721</v>
      </c>
      <c r="AS39" s="754">
        <f>SQRT(ROUND(AJ39,10))*AR26</f>
        <v/>
      </c>
    </row>
    <row r="40">
      <c r="A40" s="543" t="n"/>
      <c r="B40" s="144" t="n">
        <v>-997453.8716580536</v>
      </c>
      <c r="C40" s="145" t="n">
        <v>127366.9780975412</v>
      </c>
      <c r="D40" s="145" t="n">
        <v>-3003762.336559472</v>
      </c>
      <c r="E40" s="145" t="n">
        <v>-1271232.582584871</v>
      </c>
      <c r="F40" s="145" t="n">
        <v>-2387538.113622162</v>
      </c>
      <c r="G40" s="145" t="n">
        <v>-372519.4349699053</v>
      </c>
      <c r="H40" s="145" t="n">
        <v>-1082062.511579622</v>
      </c>
      <c r="I40" s="145" t="n">
        <v>-521342.9408878051</v>
      </c>
      <c r="J40" s="145" t="n">
        <v>191783.1919405147</v>
      </c>
      <c r="K40" s="145" t="n">
        <v>659043.9815427364</v>
      </c>
      <c r="L40" s="145" t="n">
        <v>-2622586.544235618</v>
      </c>
      <c r="M40" s="145" t="n">
        <v>411244.6437289524</v>
      </c>
      <c r="N40" s="145" t="n">
        <v>-743796.7220355181</v>
      </c>
      <c r="O40" s="145" t="n">
        <v>42822.69896689337</v>
      </c>
      <c r="P40" s="145" t="n">
        <v>10645416.90774993</v>
      </c>
      <c r="Q40" s="543" t="n">
        <v>924616.6561064573</v>
      </c>
      <c r="R40" s="125" t="n">
        <v>0</v>
      </c>
      <c r="S40" s="544" t="n">
        <v>0</v>
      </c>
      <c r="T40" s="126" t="n">
        <v>0</v>
      </c>
      <c r="U40" s="701" t="n"/>
      <c r="V40" s="702" t="n"/>
      <c r="W40" s="702" t="n">
        <v>3.804961432957316e-07</v>
      </c>
      <c r="X40" s="702" t="n">
        <v>7.707574469958438e-08</v>
      </c>
      <c r="Y40" s="702" t="n">
        <v>3.46987717542288e-07</v>
      </c>
      <c r="Z40" s="702" t="n">
        <v>2.544500232426008e-07</v>
      </c>
      <c r="AA40" s="702" t="n">
        <v>1.203301483374668e-07</v>
      </c>
      <c r="AB40" s="702" t="n">
        <v>2.267022540934334e-07</v>
      </c>
      <c r="AC40" s="702" t="n">
        <v>0</v>
      </c>
      <c r="AD40" s="702" t="n">
        <v>0</v>
      </c>
      <c r="AE40" s="702" t="n">
        <v>-5.900530942464094e-09</v>
      </c>
      <c r="AF40" s="702" t="n">
        <v>-1.13023055006611e-07</v>
      </c>
      <c r="AG40" s="702" t="n">
        <v>1.535614179138827e-07</v>
      </c>
      <c r="AH40" s="702" t="n">
        <v>-4.213176462477372e-08</v>
      </c>
      <c r="AI40" s="702" t="n">
        <v>-1.064311037226595e-08</v>
      </c>
      <c r="AJ40" s="702" t="n">
        <v>-1.835019029701019e-08</v>
      </c>
      <c r="AK40" s="705" t="n">
        <v>3.275357859868742e-07</v>
      </c>
      <c r="AL40" s="487" t="n">
        <v>1.178606419975654e-07</v>
      </c>
      <c r="AM40" s="753" t="n">
        <v>0.9999999999999992</v>
      </c>
      <c r="AN40" s="145" t="n">
        <v>-5.303739986602411e-16</v>
      </c>
      <c r="AO40" s="542" t="n">
        <v>0.0003424335992412871</v>
      </c>
      <c r="AP40" s="542" t="n"/>
      <c r="AQ40" s="747" t="n">
        <v>5.106471179243681e-05</v>
      </c>
      <c r="AS40" s="754">
        <f>SQRT(ROUND(AK40,10))*AR26</f>
        <v/>
      </c>
    </row>
    <row r="41">
      <c r="A41" s="543" t="n"/>
      <c r="B41" s="146" t="n">
        <v>341545.461270915</v>
      </c>
      <c r="C41" s="147" t="n">
        <v>-896283.0985098127</v>
      </c>
      <c r="D41" s="147" t="n">
        <v>-1385499.064804676</v>
      </c>
      <c r="E41" s="147" t="n">
        <v>-1546929.093715645</v>
      </c>
      <c r="F41" s="147" t="n">
        <v>138370.5246443133</v>
      </c>
      <c r="G41" s="147" t="n">
        <v>-929508.039863801</v>
      </c>
      <c r="H41" s="147" t="n">
        <v>-75983.29999538064</v>
      </c>
      <c r="I41" s="147" t="n">
        <v>-349439.4359515198</v>
      </c>
      <c r="J41" s="147" t="n">
        <v>439957.155982326</v>
      </c>
      <c r="K41" s="147" t="n">
        <v>-177986.7528911629</v>
      </c>
      <c r="L41" s="147" t="n">
        <v>-498871.6949896335</v>
      </c>
      <c r="M41" s="147" t="n">
        <v>-780083.2473928363</v>
      </c>
      <c r="N41" s="147" t="n">
        <v>115864.2617856776</v>
      </c>
      <c r="O41" s="147" t="n">
        <v>-1325573.395279685</v>
      </c>
      <c r="P41" s="147" t="n">
        <v>924616.6561064573</v>
      </c>
      <c r="Q41" s="543" t="n">
        <v>6005803.063604465</v>
      </c>
      <c r="R41" s="127" t="n">
        <v>0</v>
      </c>
      <c r="S41" s="544" t="n">
        <v>0</v>
      </c>
      <c r="T41" s="129" t="n">
        <v>0</v>
      </c>
      <c r="U41" s="701" t="n"/>
      <c r="V41" s="702" t="n"/>
      <c r="W41" s="702" t="n">
        <v>2.479667640195025e-07</v>
      </c>
      <c r="X41" s="702" t="n">
        <v>2.91098580644888e-07</v>
      </c>
      <c r="Y41" s="702" t="n">
        <v>2.306513511954577e-07</v>
      </c>
      <c r="Z41" s="702" t="n">
        <v>4.360473580924298e-07</v>
      </c>
      <c r="AA41" s="702" t="n">
        <v>-4.405007616428211e-08</v>
      </c>
      <c r="AB41" s="702" t="n">
        <v>3.147741431393174e-07</v>
      </c>
      <c r="AC41" s="702" t="n">
        <v>0</v>
      </c>
      <c r="AD41" s="702" t="n">
        <v>0</v>
      </c>
      <c r="AE41" s="702" t="n">
        <v>-5.04176381133699e-08</v>
      </c>
      <c r="AF41" s="702" t="n">
        <v>8.173397019462175e-08</v>
      </c>
      <c r="AG41" s="702" t="n">
        <v>9.590996711391454e-08</v>
      </c>
      <c r="AH41" s="702" t="n">
        <v>1.647798337391877e-07</v>
      </c>
      <c r="AI41" s="702" t="n">
        <v>1.243157053530979e-07</v>
      </c>
      <c r="AJ41" s="702" t="n">
        <v>2.143374230225826e-07</v>
      </c>
      <c r="AK41" s="705" t="n">
        <v>1.178606419975657e-07</v>
      </c>
      <c r="AL41" s="487" t="n">
        <v>4.733513462674852e-07</v>
      </c>
      <c r="AM41" s="753" t="n">
        <v>4.425123417837053e-16</v>
      </c>
      <c r="AN41" s="147" t="n">
        <v>0.9999999999999994</v>
      </c>
      <c r="AO41" s="589" t="n">
        <v>2.827433388230793e-05</v>
      </c>
      <c r="AP41" s="589" t="n"/>
      <c r="AQ41" s="747" t="n">
        <v>0.000130856897506043</v>
      </c>
      <c r="AS41" s="91">
        <f>SQRT(ROUND(AL41,10))*AR26</f>
        <v/>
      </c>
    </row>
    <row r="42">
      <c r="A42" s="580" t="inlineStr">
        <is>
          <t>S</t>
        </is>
      </c>
      <c r="B42" s="581">
        <f>IF(B$45=$B$49,IF(B$46="dx",1,0),0)</f>
        <v/>
      </c>
      <c r="C42" s="581">
        <f>IF(C$45=$B$49,IF(C$46="dx",1,0),0)</f>
        <v/>
      </c>
      <c r="D42" s="581">
        <f>IF(D$45=$B$49,IF(D$46="dx",1,0),0)</f>
        <v/>
      </c>
      <c r="E42" s="581">
        <f>IF(E$45=$B$49,IF(E$46="dx",1,0),0)</f>
        <v/>
      </c>
      <c r="F42" s="581">
        <f>IF(F$45=$B$49,IF(F$46="dx",1,0),0)</f>
        <v/>
      </c>
      <c r="G42" s="581">
        <f>IF(G$45=$B$49,IF(G$46="dx",1,0),0)</f>
        <v/>
      </c>
      <c r="H42" s="581">
        <f>IF(H$45=$B$49,IF(H$46="dx",1,0),0)</f>
        <v/>
      </c>
      <c r="I42" s="581">
        <f>IF(I$45=$B$49,IF(I$46="dx",1,0),0)</f>
        <v/>
      </c>
      <c r="J42" s="581">
        <f>IF(J$45=$B$49,IF(J$46="dx",1,0),0)</f>
        <v/>
      </c>
      <c r="K42" s="581">
        <f>IF(K$45=$B$49,IF(K$46="dx",1,0),0)</f>
        <v/>
      </c>
      <c r="L42" s="581">
        <f>IF(L$45=$B$49,IF(L$46="dx",1,0),0)</f>
        <v/>
      </c>
      <c r="M42" s="581">
        <f>IF(M$45=$B$49,IF(M$46="dx",1,0),0)</f>
        <v/>
      </c>
      <c r="N42" s="581">
        <f>IF(N$45=$B$49,IF(N$46="dx",1,0),0)</f>
        <v/>
      </c>
      <c r="O42" s="581">
        <f>IF(O$45=$B$49,IF(O$46="dx",1,0),0)</f>
        <v/>
      </c>
      <c r="P42" s="555">
        <f>IF(P$45=$B$49,IF(P$46="dx",1,0),0)</f>
        <v/>
      </c>
      <c r="Q42" s="581">
        <f>IF(Q$45=$B$49,IF(Q$46="dx",1,0),0)</f>
        <v/>
      </c>
      <c r="R42" s="581" t="n">
        <v>0</v>
      </c>
      <c r="S42" s="555" t="n">
        <v>0</v>
      </c>
      <c r="T42" s="23" t="n">
        <v>0</v>
      </c>
      <c r="U42" s="700" t="n"/>
      <c r="V42" s="648" t="inlineStr">
        <is>
          <t>S(-1)</t>
        </is>
      </c>
      <c r="W42" s="648" t="n">
        <v>0.9999999999999991</v>
      </c>
      <c r="X42" s="648" t="n">
        <v>-3.338714168256812e-17</v>
      </c>
      <c r="Y42" s="648" t="n">
        <v>0.9999999999999992</v>
      </c>
      <c r="Z42" s="648" t="n">
        <v>-9.348399671119073e-16</v>
      </c>
      <c r="AA42" s="648" t="n">
        <v>1</v>
      </c>
      <c r="AB42" s="648" t="n">
        <v>-4.674199835559536e-16</v>
      </c>
      <c r="AC42" s="648" t="n">
        <v>1</v>
      </c>
      <c r="AD42" s="648" t="n">
        <v>0</v>
      </c>
      <c r="AE42" s="648" t="n">
        <v>0.9999999999999999</v>
      </c>
      <c r="AF42" s="648" t="n">
        <v>4.006457001908174e-16</v>
      </c>
      <c r="AG42" s="648" t="n">
        <v>0.9999999999999998</v>
      </c>
      <c r="AH42" s="648" t="n">
        <v>4.006457001908174e-16</v>
      </c>
      <c r="AI42" s="648" t="n">
        <v>1</v>
      </c>
      <c r="AJ42" s="648" t="n">
        <v>4.674199835559536e-16</v>
      </c>
      <c r="AK42" s="700" t="n">
        <v>0.9999999999999994</v>
      </c>
      <c r="AL42" s="648" t="n">
        <v>-2.003228500954087e-16</v>
      </c>
      <c r="AM42" s="751" t="n">
        <v>-3.085006028413769e-09</v>
      </c>
      <c r="AN42" s="145" t="n">
        <v>3.492459654808051e-10</v>
      </c>
      <c r="AO42" s="658" t="n">
        <v>-6.888515505749232e-13</v>
      </c>
    </row>
    <row r="43">
      <c r="A43" s="601" t="n"/>
      <c r="B43" s="160">
        <f>IF(B$45=$B$49,IF(B$46="dy",1,0),0)</f>
        <v/>
      </c>
      <c r="C43">
        <f>IF(C$45=$B$49,IF(C$46="dy",1,0),0)</f>
        <v/>
      </c>
      <c r="D43">
        <f>IF(D$45=$B$49,IF(D$46="dy",1,0),0)</f>
        <v/>
      </c>
      <c r="E43">
        <f>IF(E$45=$B$49,IF(E$46="dy",1,0),0)</f>
        <v/>
      </c>
      <c r="F43">
        <f>IF(F$45=$B$49,IF(F$46="dy",1,0),0)</f>
        <v/>
      </c>
      <c r="G43">
        <f>IF(G$45=$B$49,IF(G$46="dy",1,0),0)</f>
        <v/>
      </c>
      <c r="H43">
        <f>IF(H$45=$B$49,IF(H$46="dy",1,0),0)</f>
        <v/>
      </c>
      <c r="I43">
        <f>IF(I$45=$B$49,IF(I$46="dy",1,0),0)</f>
        <v/>
      </c>
      <c r="J43">
        <f>IF(J$45=$B$49,IF(J$46="dy",1,0),0)</f>
        <v/>
      </c>
      <c r="K43">
        <f>IF(K$45=$B$49,IF(K$46="dy",1,0),0)</f>
        <v/>
      </c>
      <c r="L43">
        <f>IF(L$45=$B$49,IF(L$46="dy",1,0),0)</f>
        <v/>
      </c>
      <c r="M43">
        <f>IF(M$45=$B$49,IF(M$46="dy",1,0),0)</f>
        <v/>
      </c>
      <c r="N43">
        <f>IF(N$45=$B$49,IF(N$46="dy",1,0),0)</f>
        <v/>
      </c>
      <c r="O43">
        <f>IF(O$45=$B$49,IF(O$46="dy",1,0),0)</f>
        <v/>
      </c>
      <c r="P43" s="544">
        <f>IF(P$45=$B$49,IF(P$46="dy",1,0),0)</f>
        <v/>
      </c>
      <c r="Q43" s="161">
        <f>IF(Q$45=$B$49,IF(Q$46="dy",1,0),0)</f>
        <v/>
      </c>
      <c r="R43" s="23" t="n">
        <v>0</v>
      </c>
      <c r="S43" s="544" t="n">
        <v>0</v>
      </c>
      <c r="T43" s="23" t="n">
        <v>0</v>
      </c>
      <c r="U43" s="705" t="n"/>
      <c r="V43" s="601" t="n"/>
      <c r="W43" s="487" t="n">
        <v>-7.371726455654878e-16</v>
      </c>
      <c r="X43" s="487" t="n">
        <v>1</v>
      </c>
      <c r="Y43" s="487" t="n">
        <v>-3.692510378007483e-16</v>
      </c>
      <c r="Z43" s="487" t="n">
        <v>0.9999999999999992</v>
      </c>
      <c r="AA43" s="487" t="n">
        <v>3.155827993695113e-17</v>
      </c>
      <c r="AB43" s="487" t="n">
        <v>0.9999999999999996</v>
      </c>
      <c r="AC43" s="487" t="n">
        <v>0</v>
      </c>
      <c r="AD43" s="487" t="n">
        <v>1</v>
      </c>
      <c r="AE43" s="487" t="n">
        <v>3.86153150517342e-16</v>
      </c>
      <c r="AF43" s="487" t="n">
        <v>1.000000000000001</v>
      </c>
      <c r="AG43" s="487" t="n">
        <v>1.215872895347516e-16</v>
      </c>
      <c r="AH43" s="487" t="n">
        <v>1.000000000000001</v>
      </c>
      <c r="AI43" s="487" t="n">
        <v>5.038961493980141e-16</v>
      </c>
      <c r="AJ43" s="487" t="n">
        <v>1.000000000000001</v>
      </c>
      <c r="AK43" s="705" t="n">
        <v>-2.558848319766142e-16</v>
      </c>
      <c r="AL43" s="487" t="n">
        <v>0.9999999999999997</v>
      </c>
      <c r="AM43" s="753" t="n">
        <v>1.455191522836684e-09</v>
      </c>
      <c r="AN43" s="145" t="n">
        <v>9.31322574615481e-10</v>
      </c>
      <c r="AO43" s="550" t="n">
        <v>-4.438127722976744e-13</v>
      </c>
    </row>
    <row r="44">
      <c r="A44" s="606" t="n"/>
      <c r="B44" s="590">
        <f>IF(B45=$B$49,IF(B46="dx",$H$49,$I$49),IF($B$50=B45,IF(B46="dx",-$H$49,-$I$49),0))</f>
        <v/>
      </c>
      <c r="C44" s="590">
        <f>IF(C45=$B$49,IF(C46="dx",$H$49,$I$49),IF($B$50=C45,IF(C46="dx",-$H$49,-$I$49),0))</f>
        <v/>
      </c>
      <c r="D44" s="590">
        <f>IF(D45=$B$49,IF(D46="dx",$H$49,$I$49),IF($B$50=D45,IF(D46="dx",-$H$49,-$I$49),0))</f>
        <v/>
      </c>
      <c r="E44" s="590">
        <f>IF(E45=$B$49,IF(E46="dx",$H$49,$I$49),IF($B$50=E45,IF(E46="dx",-$H$49,-$I$49),0))</f>
        <v/>
      </c>
      <c r="F44" s="590">
        <f>IF(F45=$B$49,IF(F46="dx",$H$49,$I$49),IF($B$50=F45,IF(F46="dx",-$H$49,-$I$49),0))</f>
        <v/>
      </c>
      <c r="G44" s="590">
        <f>IF(G45=$B$49,IF(G46="dx",$H$49,$I$49),IF($B$50=G45,IF(G46="dx",-$H$49,-$I$49),0))</f>
        <v/>
      </c>
      <c r="H44" s="590">
        <f>IF(H45=$B$49,IF(H46="dx",$H$49,$I$49),IF($B$50=H45,IF(H46="dx",-$H$49,-$I$49),0))</f>
        <v/>
      </c>
      <c r="I44" s="590">
        <f>IF(I45=$B$49,IF(I46="dx",$H$49,$I$49),IF($B$50=I45,IF(I46="dx",-$H$49,-$I$49),0))</f>
        <v/>
      </c>
      <c r="J44" s="590">
        <f>IF(J45=$B$49,IF(J46="dx",$H$49,$I$49),IF($B$50=J45,IF(J46="dx",-$H$49,-$I$49),0))</f>
        <v/>
      </c>
      <c r="K44" s="590">
        <f>IF(K45=$B$49,IF(K46="dx",$H$49,$I$49),IF($B$50=K45,IF(K46="dx",-$H$49,-$I$49),0))</f>
        <v/>
      </c>
      <c r="L44" s="590">
        <f>IF(L45=$B$49,IF(L46="dx",$H$49,$I$49),IF($B$50=L45,IF(L46="dx",-$H$49,-$I$49),0))</f>
        <v/>
      </c>
      <c r="M44" s="590">
        <f>IF(M45=$B$49,IF(M46="dx",$H$49,$I$49),IF($B$50=M45,IF(M46="dx",-$H$49,-$I$49),0))</f>
        <v/>
      </c>
      <c r="N44" s="590">
        <f>IF(N45=$B$49,IF(N46="dx",$H$49,$I$49),IF($B$50=N45,IF(N46="dx",-$H$49,-$I$49),0))</f>
        <v/>
      </c>
      <c r="O44" s="590">
        <f>IF(O45=$B$49,IF(O46="dx",$H$49,$I$49),IF($B$50=O45,IF(O46="dx",-$H$49,-$I$49),0))</f>
        <v/>
      </c>
      <c r="P44" s="568">
        <f>IF(P45=$B$49,IF(P46="dx",$H$49,$I$49),IF($B$50=P45,IF(P46="dx",-$H$49,-$I$49),0))</f>
        <v/>
      </c>
      <c r="Q44" s="590">
        <f>IF(Q45=$B$49,IF(Q46="dx",$H$49,$I$49),IF($B$50=Q45,IF(Q46="dx",-$H$49,-$I$49),0))</f>
        <v/>
      </c>
      <c r="R44" s="590" t="n">
        <v>0</v>
      </c>
      <c r="S44" s="568" t="n">
        <v>0</v>
      </c>
      <c r="T44" s="23" t="n">
        <v>0</v>
      </c>
      <c r="U44" s="712" t="n"/>
      <c r="V44" s="606" t="n"/>
      <c r="W44" s="668" t="n">
        <v>0.0005811946409141112</v>
      </c>
      <c r="X44" s="668" t="n">
        <v>-8.639379797371968e-05</v>
      </c>
      <c r="Y44" s="668" t="n">
        <v>0.0005419247327442388</v>
      </c>
      <c r="Z44" s="668" t="n">
        <v>0.00014137166941154</v>
      </c>
      <c r="AA44" s="668" t="n">
        <v>8.639379797371938e-05</v>
      </c>
      <c r="AB44" s="668" t="n">
        <v>0.0002199114857512851</v>
      </c>
      <c r="AC44" s="668" t="n">
        <v>0</v>
      </c>
      <c r="AD44" s="668" t="n">
        <v>0</v>
      </c>
      <c r="AE44" s="668" t="n">
        <v>-0.0001099557428756429</v>
      </c>
      <c r="AF44" s="668" t="n">
        <v>-0.0002356194490192345</v>
      </c>
      <c r="AG44" s="668" t="n">
        <v>0.0001649336143134638</v>
      </c>
      <c r="AH44" s="668" t="n">
        <v>-0.0001806415775814132</v>
      </c>
      <c r="AI44" s="668" t="n">
        <v>0.0003926990816987239</v>
      </c>
      <c r="AJ44" s="668" t="n">
        <v>-0.0002277654673852601</v>
      </c>
      <c r="AK44" s="712" t="n">
        <v>0.0003424335992412871</v>
      </c>
      <c r="AL44" s="668" t="n">
        <v>2.827433388230771e-05</v>
      </c>
      <c r="AM44" s="669" t="n">
        <v>-6.825427163580833e-13</v>
      </c>
      <c r="AN44" s="145" t="n">
        <v>-6.999148685493811e-13</v>
      </c>
      <c r="AO44" s="145" t="n">
        <v>-1.567630272444368e-16</v>
      </c>
    </row>
    <row r="45">
      <c r="A45" s="670" t="n"/>
      <c r="B45" s="670" t="n">
        <v>1</v>
      </c>
      <c r="C45" s="670" t="n">
        <v>1</v>
      </c>
      <c r="D45" s="670" t="n">
        <v>3</v>
      </c>
      <c r="E45" s="670" t="n">
        <v>3</v>
      </c>
      <c r="F45" s="670" t="n">
        <v>4</v>
      </c>
      <c r="G45" s="670" t="n">
        <v>4</v>
      </c>
      <c r="H45" s="670" t="n">
        <v>5</v>
      </c>
      <c r="I45" s="670" t="n">
        <v>5</v>
      </c>
      <c r="J45" s="670" t="n">
        <v>6</v>
      </c>
      <c r="K45" s="670" t="n">
        <v>6</v>
      </c>
      <c r="L45" s="670" t="n">
        <v>7</v>
      </c>
      <c r="M45" s="670" t="n">
        <v>7</v>
      </c>
      <c r="N45" s="670" t="n">
        <v>8</v>
      </c>
      <c r="O45" s="670" t="n">
        <v>8</v>
      </c>
      <c r="P45" s="670" t="n">
        <v>9</v>
      </c>
      <c r="Q45" s="156" t="n">
        <v>9</v>
      </c>
    </row>
    <row r="46">
      <c r="A46" s="750" t="n"/>
      <c r="B46" s="750" t="inlineStr">
        <is>
          <t>dx</t>
        </is>
      </c>
      <c r="C46" s="750" t="inlineStr">
        <is>
          <t>dy</t>
        </is>
      </c>
      <c r="D46" s="750" t="inlineStr">
        <is>
          <t>dx</t>
        </is>
      </c>
      <c r="E46" s="750" t="inlineStr">
        <is>
          <t>dy</t>
        </is>
      </c>
      <c r="F46" s="750" t="inlineStr">
        <is>
          <t>dx</t>
        </is>
      </c>
      <c r="G46" s="750" t="inlineStr">
        <is>
          <t>dy</t>
        </is>
      </c>
      <c r="H46" s="750" t="inlineStr">
        <is>
          <t>dx</t>
        </is>
      </c>
      <c r="I46" s="750" t="inlineStr">
        <is>
          <t>dy</t>
        </is>
      </c>
      <c r="J46" s="750" t="inlineStr">
        <is>
          <t>dx</t>
        </is>
      </c>
      <c r="K46" s="750" t="inlineStr">
        <is>
          <t>dy</t>
        </is>
      </c>
      <c r="L46" s="750" t="inlineStr">
        <is>
          <t>dx</t>
        </is>
      </c>
      <c r="M46" s="750" t="inlineStr">
        <is>
          <t>dy</t>
        </is>
      </c>
      <c r="N46" s="750" t="inlineStr">
        <is>
          <t>dx</t>
        </is>
      </c>
      <c r="O46" s="750" t="inlineStr">
        <is>
          <t>dy</t>
        </is>
      </c>
      <c r="P46" s="750" t="inlineStr">
        <is>
          <t>dx</t>
        </is>
      </c>
      <c r="Q46" s="156" t="inlineStr">
        <is>
          <t>dy</t>
        </is>
      </c>
    </row>
    <row r="47">
      <c r="A47" s="670" t="n"/>
      <c r="B47" s="670" t="n"/>
      <c r="C47" s="670" t="n"/>
      <c r="D47" s="670" t="n"/>
      <c r="E47" s="670" t="n"/>
      <c r="F47" s="670" t="n"/>
      <c r="G47" s="670" t="n"/>
      <c r="H47" s="670" t="n"/>
      <c r="I47" s="670" t="n"/>
      <c r="J47" s="670" t="n"/>
      <c r="K47" s="670" t="n"/>
      <c r="L47" s="670" t="n"/>
      <c r="M47" s="670" t="n"/>
      <c r="N47" s="670" t="n"/>
      <c r="O47" s="670" t="n"/>
      <c r="P47" s="670" t="n"/>
    </row>
    <row r="48">
      <c r="A48" s="660" t="n"/>
      <c r="B48" s="661" t="inlineStr">
        <is>
          <t>Nr</t>
        </is>
      </c>
      <c r="C48" s="661" t="inlineStr">
        <is>
          <t>X</t>
        </is>
      </c>
      <c r="D48" s="661" t="inlineStr">
        <is>
          <t>Y</t>
        </is>
      </c>
      <c r="E48" s="538" t="inlineStr">
        <is>
          <t>∆X</t>
        </is>
      </c>
      <c r="F48" s="538" t="inlineStr">
        <is>
          <t>∆Y</t>
        </is>
      </c>
      <c r="G48" s="661" t="inlineStr">
        <is>
          <t>d^2</t>
        </is>
      </c>
      <c r="H48" s="661" t="inlineStr">
        <is>
          <t>A</t>
        </is>
      </c>
      <c r="I48" s="661" t="inlineStr">
        <is>
          <t>B</t>
        </is>
      </c>
    </row>
    <row r="49">
      <c r="A49" s="539" t="inlineStr">
        <is>
          <t>Początek</t>
        </is>
      </c>
      <c r="B49" s="662" t="n">
        <v>5</v>
      </c>
      <c r="C49" s="662">
        <f>VLOOKUP(B49,'Wyrównanie wstępne - wyjściowy'!P5:R13,2,FALSE)</f>
        <v/>
      </c>
      <c r="D49" s="662">
        <f>VLOOKUP(B49,'Wyrównanie wstępne - wyjściowy'!P5:R13,3,FALSE)</f>
        <v/>
      </c>
      <c r="E49" s="662">
        <f>C50-C49</f>
        <v/>
      </c>
      <c r="F49" s="662">
        <f>D50-D49</f>
        <v/>
      </c>
      <c r="G49" s="662">
        <f>E49^2+F49^2</f>
        <v/>
      </c>
      <c r="H49" s="755">
        <f>F49/G49*(200/PI()*10000)</f>
        <v/>
      </c>
      <c r="I49" s="755">
        <f>-E49/G49*200/PI()*10000</f>
        <v/>
      </c>
    </row>
    <row r="50">
      <c r="A50" s="664" t="inlineStr">
        <is>
          <t>Koniec</t>
        </is>
      </c>
      <c r="B50" s="591" t="n">
        <v>8</v>
      </c>
      <c r="C50" s="662">
        <f>VLOOKUP(B50,'Wyrównanie wstępne - wyjściowy'!P5:R13,2,FALSE)</f>
        <v/>
      </c>
      <c r="D50" s="662">
        <f>VLOOKUP(B50,'Wyrównanie wstępne - wyjściowy'!P5:R13,3,FALSE)</f>
        <v/>
      </c>
      <c r="E50" s="660" t="n"/>
      <c r="F50" s="660" t="n"/>
      <c r="G50" s="660" t="n"/>
      <c r="H50" s="756" t="n"/>
      <c r="I50" s="757" t="n"/>
    </row>
    <row r="51"/>
    <row r="52"/>
    <row r="53" ht="17.1" customHeight="1">
      <c r="A53" s="660" t="n"/>
      <c r="B53" s="758" t="inlineStr">
        <is>
          <t>xwyjść</t>
        </is>
      </c>
      <c r="C53" s="576" t="inlineStr">
        <is>
          <t>xakt</t>
        </is>
      </c>
      <c r="D53" s="660" t="n"/>
      <c r="E53" s="758" t="inlineStr">
        <is>
          <t>mxwyjść</t>
        </is>
      </c>
      <c r="F53" s="576" t="inlineStr">
        <is>
          <t>mxakt</t>
        </is>
      </c>
      <c r="G53" s="660" t="n"/>
      <c r="H53" s="538" t="inlineStr">
        <is>
          <t>k</t>
        </is>
      </c>
      <c r="I53" s="660" t="n"/>
      <c r="J53" s="660" t="n"/>
      <c r="K53" s="660" t="n"/>
      <c r="L53" s="660" t="n"/>
      <c r="M53" s="660" t="n"/>
      <c r="N53" s="660" t="n"/>
    </row>
    <row r="54">
      <c r="A54" s="539" t="n">
        <v>5</v>
      </c>
      <c r="B54" s="759">
        <f>AQ9</f>
        <v/>
      </c>
      <c r="C54" s="583">
        <f>AQ32</f>
        <v/>
      </c>
      <c r="D54" s="660" t="n"/>
      <c r="E54" s="759">
        <f>AS9</f>
        <v/>
      </c>
      <c r="F54" s="583">
        <f>AS32</f>
        <v/>
      </c>
      <c r="G54" s="660" t="n"/>
      <c r="H54" s="662" t="n">
        <v>2.5</v>
      </c>
      <c r="I54" s="660" t="n"/>
      <c r="J54" s="660" t="n"/>
      <c r="K54" s="660" t="n"/>
      <c r="L54" s="660" t="n"/>
      <c r="M54" s="660" t="n"/>
      <c r="N54" s="660" t="n"/>
    </row>
    <row r="55">
      <c r="A55" s="760" t="n"/>
      <c r="B55" s="761">
        <f>AQ10</f>
        <v/>
      </c>
      <c r="C55" s="572">
        <f>AQ33</f>
        <v/>
      </c>
      <c r="D55" s="660" t="n"/>
      <c r="E55" s="761">
        <f>AS10</f>
        <v/>
      </c>
      <c r="F55" s="572">
        <f>AS33</f>
        <v/>
      </c>
      <c r="G55" s="660" t="n"/>
      <c r="H55" s="660" t="n"/>
      <c r="I55" s="660" t="n"/>
      <c r="J55" s="660" t="n"/>
      <c r="K55" s="660" t="n"/>
      <c r="L55" s="660" t="n"/>
      <c r="M55" s="660" t="n"/>
      <c r="N55" s="660" t="n"/>
    </row>
    <row r="56">
      <c r="A56" s="539" t="n">
        <v>6</v>
      </c>
      <c r="B56" s="759">
        <f>AQ11</f>
        <v/>
      </c>
      <c r="C56" s="583">
        <f>AQ34</f>
        <v/>
      </c>
      <c r="D56" s="660" t="n"/>
      <c r="E56" s="759">
        <f>AS11</f>
        <v/>
      </c>
      <c r="F56" s="583">
        <f>AS34</f>
        <v/>
      </c>
      <c r="G56" s="660" t="n"/>
      <c r="H56" s="660" t="n"/>
      <c r="I56" s="660" t="n"/>
      <c r="J56" s="660" t="n"/>
      <c r="K56" s="660" t="n"/>
      <c r="L56" s="660" t="n"/>
      <c r="M56" s="660" t="n"/>
      <c r="N56" s="660" t="n"/>
    </row>
    <row r="57">
      <c r="A57" s="760" t="n"/>
      <c r="B57" s="761">
        <f>AQ12</f>
        <v/>
      </c>
      <c r="C57" s="572">
        <f>AQ35</f>
        <v/>
      </c>
      <c r="D57" s="660" t="n"/>
      <c r="E57" s="762">
        <f>AS12</f>
        <v/>
      </c>
      <c r="F57" s="548">
        <f>AS35</f>
        <v/>
      </c>
      <c r="G57" s="660" t="n"/>
      <c r="H57" s="660" t="n"/>
      <c r="I57" s="660" t="n"/>
      <c r="J57" s="660" t="n"/>
      <c r="K57" s="660" t="n"/>
      <c r="L57" s="660" t="n"/>
      <c r="M57" s="660" t="n"/>
      <c r="N57" s="660" t="n"/>
    </row>
    <row r="58">
      <c r="A58" s="539" t="n">
        <v>7</v>
      </c>
      <c r="B58" s="759">
        <f>AQ13</f>
        <v/>
      </c>
      <c r="C58" s="583">
        <f>AQ36</f>
        <v/>
      </c>
      <c r="D58" s="660" t="n"/>
      <c r="E58" s="759">
        <f>AS13</f>
        <v/>
      </c>
      <c r="F58" s="583">
        <f>AS36</f>
        <v/>
      </c>
      <c r="G58" s="660" t="n"/>
      <c r="H58" s="660" t="n"/>
      <c r="I58" s="660" t="n"/>
      <c r="J58" s="660" t="n"/>
      <c r="K58" s="660" t="n"/>
      <c r="L58" s="660" t="n"/>
      <c r="M58" s="660" t="n"/>
      <c r="N58" s="660" t="n"/>
    </row>
    <row r="59">
      <c r="A59" s="760" t="n"/>
      <c r="B59" s="761">
        <f>AQ14</f>
        <v/>
      </c>
      <c r="C59" s="572">
        <f>AQ37</f>
        <v/>
      </c>
      <c r="D59" s="660" t="n"/>
      <c r="E59" s="761">
        <f>AS14</f>
        <v/>
      </c>
      <c r="F59" s="572">
        <f>AS37</f>
        <v/>
      </c>
      <c r="G59" s="660" t="n"/>
      <c r="H59" s="660" t="n"/>
      <c r="I59" s="660" t="n"/>
      <c r="J59" s="660" t="n"/>
      <c r="K59" s="660" t="n"/>
      <c r="L59" s="660" t="n"/>
      <c r="M59" s="660" t="n"/>
      <c r="N59" s="660" t="n"/>
    </row>
    <row r="60">
      <c r="A60" s="539" t="n">
        <v>8</v>
      </c>
      <c r="B60" s="759">
        <f>AQ15</f>
        <v/>
      </c>
      <c r="C60" s="583">
        <f>AQ38</f>
        <v/>
      </c>
      <c r="D60" s="660" t="n"/>
      <c r="E60" s="759">
        <f>AS15</f>
        <v/>
      </c>
      <c r="F60" s="583">
        <f>AS38</f>
        <v/>
      </c>
      <c r="G60" s="660" t="n"/>
      <c r="H60" s="660" t="n"/>
      <c r="I60" s="660" t="n"/>
      <c r="J60" s="660" t="n"/>
      <c r="K60" s="660" t="n"/>
      <c r="L60" s="660" t="n"/>
      <c r="M60" s="660" t="n"/>
      <c r="N60" s="660" t="n"/>
    </row>
    <row r="61">
      <c r="A61" s="760" t="n"/>
      <c r="B61" s="761">
        <f>AQ16</f>
        <v/>
      </c>
      <c r="C61" s="572">
        <f>AQ39</f>
        <v/>
      </c>
      <c r="D61" s="660" t="n"/>
      <c r="E61" s="761">
        <f>AS16</f>
        <v/>
      </c>
      <c r="F61" s="572">
        <f>AS39</f>
        <v/>
      </c>
      <c r="G61" s="660" t="n"/>
      <c r="H61" s="660" t="n"/>
      <c r="I61" s="660" t="n"/>
      <c r="J61" s="660" t="n"/>
      <c r="K61" s="660" t="n"/>
      <c r="L61" s="660" t="n"/>
      <c r="M61" s="660" t="n"/>
      <c r="N61" s="660" t="n"/>
    </row>
    <row r="62">
      <c r="A62" s="539" t="n">
        <v>9</v>
      </c>
      <c r="B62" s="759">
        <f>AQ17</f>
        <v/>
      </c>
      <c r="C62" s="583">
        <f>AQ40</f>
        <v/>
      </c>
      <c r="D62" s="660" t="n"/>
      <c r="E62" s="762">
        <f>AS17</f>
        <v/>
      </c>
      <c r="F62" s="548">
        <f>AS40</f>
        <v/>
      </c>
      <c r="G62" s="660" t="n"/>
      <c r="H62" s="660" t="n"/>
      <c r="I62" s="660" t="n"/>
      <c r="J62" s="660" t="n"/>
      <c r="K62" s="660" t="n"/>
      <c r="L62" s="660" t="n"/>
      <c r="M62" s="660" t="n"/>
      <c r="N62" s="660" t="n"/>
    </row>
    <row r="63">
      <c r="A63" s="760" t="n"/>
      <c r="B63" s="761">
        <f>AQ18</f>
        <v/>
      </c>
      <c r="C63" s="572">
        <f>AQ41</f>
        <v/>
      </c>
      <c r="D63" s="660" t="n"/>
      <c r="E63" s="761">
        <f>AS18</f>
        <v/>
      </c>
      <c r="F63" s="572">
        <f>AS41</f>
        <v/>
      </c>
      <c r="G63" s="660" t="n"/>
      <c r="H63" s="763" t="n"/>
      <c r="I63" s="763" t="n"/>
      <c r="J63" s="763" t="n"/>
      <c r="K63" s="763" t="n"/>
      <c r="L63" s="763" t="n"/>
      <c r="M63" s="763" t="n"/>
      <c r="N63" s="764" t="n"/>
    </row>
    <row r="64">
      <c r="A64" s="660" t="n"/>
      <c r="B64" s="660" t="n"/>
      <c r="C64" s="660" t="n"/>
      <c r="D64" s="660" t="n"/>
      <c r="E64" s="660" t="n"/>
      <c r="F64" s="660" t="n"/>
      <c r="G64" s="660" t="n"/>
      <c r="H64" s="763" t="n"/>
      <c r="I64" s="763" t="n"/>
      <c r="J64" s="763" t="n"/>
      <c r="K64" s="763" t="n"/>
      <c r="L64" s="763" t="n"/>
      <c r="M64" s="763" t="n"/>
      <c r="N64" s="764" t="n"/>
    </row>
    <row r="65">
      <c r="A65" s="538" t="n"/>
      <c r="B65" s="531" t="n"/>
      <c r="C65" s="532" t="n"/>
      <c r="D65" s="765" t="n"/>
      <c r="E65" s="765" t="n"/>
      <c r="F65" s="660" t="n"/>
      <c r="G65" s="766" t="n"/>
      <c r="H65" s="763" t="n"/>
      <c r="I65" s="763" t="n"/>
      <c r="J65" s="763" t="n"/>
      <c r="K65" s="763" t="n"/>
      <c r="L65" s="763" t="n"/>
      <c r="M65" s="763" t="n"/>
      <c r="N65" s="764" t="n"/>
    </row>
    <row r="66">
      <c r="A66" s="660" t="inlineStr">
        <is>
          <t>kierunek</t>
        </is>
      </c>
      <c r="B66" s="596" t="n"/>
      <c r="C66" s="767" t="n"/>
      <c r="D66" s="660" t="n">
        <v>5</v>
      </c>
      <c r="E66" s="660" t="n">
        <v>9</v>
      </c>
      <c r="F66" s="660" t="n"/>
      <c r="G66" s="660" t="n"/>
      <c r="H66" s="660" t="n"/>
      <c r="I66" s="660" t="n"/>
      <c r="J66" s="763" t="n"/>
      <c r="K66" s="660" t="n"/>
      <c r="L66" s="660" t="n"/>
      <c r="M66" s="660" t="n"/>
      <c r="N66" s="660" t="n"/>
    </row>
    <row r="67" ht="24" customHeight="1">
      <c r="A67" s="538" t="n"/>
      <c r="B67" s="538" t="n"/>
      <c r="C67" s="538" t="n"/>
      <c r="D67" s="768" t="n"/>
      <c r="E67" s="538" t="n"/>
      <c r="F67" s="538" t="n"/>
      <c r="G67" s="768" t="n"/>
      <c r="H67" s="538" t="n"/>
      <c r="I67" s="660" t="n"/>
      <c r="J67" s="763" t="n"/>
      <c r="K67" s="660" t="n"/>
      <c r="L67" s="660" t="n"/>
      <c r="M67" s="660" t="n"/>
      <c r="N67" s="660" t="n"/>
    </row>
    <row r="68" ht="14.25" customHeight="1">
      <c r="A68" s="538" t="inlineStr">
        <is>
          <t>Nr</t>
        </is>
      </c>
      <c r="B68" s="663" t="inlineStr">
        <is>
          <t>∆X</t>
        </is>
      </c>
      <c r="C68" s="663" t="inlineStr">
        <is>
          <t>σdx</t>
        </is>
      </c>
      <c r="D68" s="769" t="inlineStr">
        <is>
          <t>Warunek |ΔX|</t>
        </is>
      </c>
      <c r="E68" s="663" t="inlineStr">
        <is>
          <t>∆Y</t>
        </is>
      </c>
      <c r="F68" s="663" t="inlineStr">
        <is>
          <t>σdy</t>
        </is>
      </c>
      <c r="G68" s="769" t="inlineStr">
        <is>
          <t>Warunek |ΔY|</t>
        </is>
      </c>
      <c r="H68" s="662" t="inlineStr">
        <is>
          <t>warunek</t>
        </is>
      </c>
      <c r="I68" s="660" t="n"/>
      <c r="J68" s="763" t="n"/>
      <c r="K68" s="660" t="n"/>
      <c r="L68" s="660" t="n"/>
      <c r="M68" s="660" t="n"/>
      <c r="N68" s="660" t="n"/>
    </row>
    <row r="69">
      <c r="A69" s="538" t="n">
        <v>5</v>
      </c>
      <c r="B69" s="663" t="n">
        <v>5.984199479645396e-19</v>
      </c>
      <c r="C69" s="663" t="n">
        <v>0</v>
      </c>
      <c r="D69" s="769" t="inlineStr">
        <is>
          <t>SPEŁNIA</t>
        </is>
      </c>
      <c r="E69" s="663" t="n">
        <v>4.662709631866245e-18</v>
      </c>
      <c r="F69" s="663" t="n">
        <v>0</v>
      </c>
      <c r="G69" s="769" t="inlineStr">
        <is>
          <t>SPEŁNIA</t>
        </is>
      </c>
      <c r="H69" s="662" t="inlineStr">
        <is>
          <t>SPEŁNIONY</t>
        </is>
      </c>
      <c r="I69" s="660" t="n"/>
      <c r="J69" s="763" t="n"/>
      <c r="K69" s="660" t="n"/>
      <c r="L69" s="660" t="n"/>
      <c r="M69" s="660" t="n"/>
      <c r="N69" s="660" t="n"/>
    </row>
    <row r="70">
      <c r="A70" s="538" t="n">
        <v>6</v>
      </c>
      <c r="B70" s="663" t="n">
        <v>0.003643608336339604</v>
      </c>
      <c r="C70" s="663" t="n">
        <v>0.002769163155607008</v>
      </c>
      <c r="D70" s="769" t="inlineStr">
        <is>
          <t>NIESPEŁNIA</t>
        </is>
      </c>
      <c r="E70" s="663" t="n">
        <v>0.004052098886347428</v>
      </c>
      <c r="F70" s="663" t="n">
        <v>0.002192949154382623</v>
      </c>
      <c r="G70" s="769" t="inlineStr">
        <is>
          <t>NIESPEŁNIA</t>
        </is>
      </c>
      <c r="H70" s="662" t="inlineStr">
        <is>
          <t>NIESPEŁNIONY</t>
        </is>
      </c>
      <c r="I70" s="660" t="n"/>
      <c r="J70" s="763" t="n"/>
      <c r="K70" s="660" t="n"/>
      <c r="L70" s="660" t="n"/>
      <c r="M70" s="660" t="n"/>
      <c r="N70" s="660" t="n"/>
    </row>
    <row r="71">
      <c r="A71" s="538" t="n">
        <v>7</v>
      </c>
      <c r="B71" s="663" t="n">
        <v>-0.001539450646544276</v>
      </c>
      <c r="C71" s="663" t="n">
        <v>0.001384343848369071</v>
      </c>
      <c r="D71" s="769" t="inlineStr">
        <is>
          <t>NIESPEŁNIA</t>
        </is>
      </c>
      <c r="E71" s="663" t="n">
        <v>-5.459447903944595e-06</v>
      </c>
      <c r="F71" s="663" t="n">
        <v>0.002104691734969846</v>
      </c>
      <c r="G71" s="769" t="inlineStr">
        <is>
          <t>SPEŁNIA</t>
        </is>
      </c>
      <c r="H71" s="662" t="inlineStr">
        <is>
          <t>NIESPEŁNIONY</t>
        </is>
      </c>
      <c r="I71" s="660" t="n"/>
      <c r="J71" s="763" t="n"/>
      <c r="K71" s="660" t="n"/>
      <c r="L71" s="660" t="n"/>
      <c r="M71" s="660" t="n"/>
      <c r="N71" s="660" t="n"/>
    </row>
    <row r="72">
      <c r="A72" s="538" t="n">
        <v>8</v>
      </c>
      <c r="B72" s="663" t="n">
        <v>-0.003584066483741804</v>
      </c>
      <c r="C72" s="663" t="n">
        <v>0.002745077378491997</v>
      </c>
      <c r="D72" s="769" t="inlineStr">
        <is>
          <t>NIESPEŁNIA</t>
        </is>
      </c>
      <c r="E72" s="663" t="n">
        <v>0.001753247584143996</v>
      </c>
      <c r="F72" s="663" t="n">
        <v>0.002622374262570939</v>
      </c>
      <c r="G72" s="769" t="inlineStr">
        <is>
          <t>SPEŁNIA</t>
        </is>
      </c>
      <c r="H72" s="662" t="inlineStr">
        <is>
          <t>NIESPEŁNIONY</t>
        </is>
      </c>
      <c r="I72" s="660" t="n"/>
      <c r="J72" s="763" t="n"/>
      <c r="K72" s="763" t="n"/>
      <c r="L72" s="763" t="n"/>
      <c r="M72" s="763" t="n"/>
      <c r="N72" s="763" t="n"/>
    </row>
    <row r="73">
      <c r="A73" s="660" t="n">
        <v>9</v>
      </c>
      <c r="B73" s="770" t="n">
        <v>-0.0002271989088391428</v>
      </c>
      <c r="C73" s="660" t="n">
        <v>0.0001889899726635631</v>
      </c>
      <c r="D73" s="660" t="inlineStr">
        <is>
          <t>NIESPEŁNIA</t>
        </is>
      </c>
      <c r="E73" s="660" t="n">
        <v>0.002618766370303792</v>
      </c>
      <c r="F73" s="660" t="n">
        <v>0.00218345405749559</v>
      </c>
      <c r="G73" s="660" t="inlineStr">
        <is>
          <t>NIESPEŁNIA</t>
        </is>
      </c>
      <c r="H73" s="660" t="inlineStr">
        <is>
          <t>NIESPEŁNIONY</t>
        </is>
      </c>
      <c r="I73" s="763" t="n"/>
      <c r="J73" s="763" t="n"/>
      <c r="K73" s="763" t="n"/>
      <c r="L73" s="763" t="n"/>
      <c r="M73" s="763" t="n"/>
      <c r="N73" s="763" t="n"/>
    </row>
    <row r="74"/>
    <row r="75">
      <c r="A75" s="672" t="inlineStr">
        <is>
          <t>kierunek</t>
        </is>
      </c>
      <c r="B75" s="596" t="n"/>
      <c r="C75" s="767" t="n"/>
      <c r="D75" s="765" t="n">
        <v>6</v>
      </c>
      <c r="E75" s="765" t="n">
        <v>9</v>
      </c>
      <c r="F75" s="660" t="n"/>
      <c r="G75" s="766" t="n"/>
      <c r="H75" s="763" t="n"/>
      <c r="J75" s="672" t="n"/>
      <c r="K75" s="672" t="n"/>
      <c r="L75" s="672" t="n"/>
      <c r="M75" s="765" t="n"/>
      <c r="N75" s="765" t="n"/>
      <c r="O75" s="660" t="n"/>
      <c r="P75" s="766" t="n"/>
      <c r="Q75" s="763" t="n"/>
      <c r="S75" s="672" t="n"/>
      <c r="T75" s="672" t="n"/>
      <c r="U75" s="672" t="n"/>
      <c r="V75" s="765" t="n"/>
      <c r="W75" s="765" t="n"/>
      <c r="X75" s="660" t="n"/>
      <c r="Y75" s="766" t="n"/>
      <c r="Z75" s="763" t="n"/>
    </row>
    <row r="76">
      <c r="A76" s="660" t="n"/>
      <c r="B76" s="660" t="n"/>
      <c r="C76" s="660" t="n"/>
      <c r="D76" s="660" t="n"/>
      <c r="E76" s="660" t="n"/>
      <c r="F76" s="660" t="n"/>
      <c r="G76" s="660" t="n"/>
      <c r="H76" s="660" t="n"/>
      <c r="J76" s="660" t="n"/>
      <c r="K76" s="660" t="n"/>
      <c r="L76" s="660" t="n"/>
      <c r="M76" s="660" t="n"/>
      <c r="N76" s="660" t="n"/>
      <c r="O76" s="660" t="n"/>
      <c r="P76" s="660" t="n"/>
      <c r="Q76" s="660" t="n"/>
      <c r="S76" s="660" t="n"/>
      <c r="T76" s="660" t="n"/>
      <c r="U76" s="660" t="n"/>
      <c r="V76" s="660" t="n"/>
      <c r="W76" s="660" t="n"/>
      <c r="X76" s="660" t="n"/>
      <c r="Y76" s="660" t="n"/>
      <c r="Z76" s="660" t="n"/>
    </row>
    <row r="77" ht="24" customHeight="1">
      <c r="A77" s="672" t="inlineStr">
        <is>
          <t>Nr</t>
        </is>
      </c>
      <c r="B77" s="672" t="inlineStr">
        <is>
          <t>∆X</t>
        </is>
      </c>
      <c r="C77" s="672" t="inlineStr">
        <is>
          <t>σdx</t>
        </is>
      </c>
      <c r="D77" s="771" t="inlineStr">
        <is>
          <t>Warunek |ΔX|</t>
        </is>
      </c>
      <c r="E77" s="672" t="inlineStr">
        <is>
          <t>∆Y</t>
        </is>
      </c>
      <c r="F77" s="672" t="inlineStr">
        <is>
          <t>σdy</t>
        </is>
      </c>
      <c r="G77" s="771" t="inlineStr">
        <is>
          <t>Warunek |ΔY|</t>
        </is>
      </c>
      <c r="H77" s="672" t="inlineStr">
        <is>
          <t>warunek</t>
        </is>
      </c>
      <c r="J77" s="672" t="n"/>
      <c r="K77" s="672" t="n"/>
      <c r="L77" s="672" t="n"/>
      <c r="M77" s="771" t="n"/>
      <c r="N77" s="672" t="n"/>
      <c r="O77" s="672" t="n"/>
      <c r="P77" s="771" t="n"/>
      <c r="Q77" s="672" t="n"/>
      <c r="S77" s="672" t="n"/>
      <c r="T77" s="672" t="n"/>
      <c r="U77" s="672" t="n"/>
      <c r="V77" s="771" t="n"/>
      <c r="W77" s="672" t="n"/>
      <c r="X77" s="672" t="n"/>
      <c r="Y77" s="771" t="n"/>
      <c r="Z77" s="672" t="n"/>
    </row>
    <row r="78">
      <c r="A78" s="738" t="n">
        <v>5</v>
      </c>
      <c r="B78" s="663" t="n">
        <v>-0.002793670306729479</v>
      </c>
      <c r="C78" s="663" t="n">
        <v>0.00225786</v>
      </c>
      <c r="D78" s="769" t="inlineStr">
        <is>
          <t>NIESPEŁNIA</t>
        </is>
      </c>
      <c r="E78" s="663" t="n">
        <v>-0.002230803108611444</v>
      </c>
      <c r="F78" s="663" t="n">
        <v>0.002110171975443494</v>
      </c>
      <c r="G78" s="769" t="inlineStr">
        <is>
          <t>NIESPEŁNIA</t>
        </is>
      </c>
      <c r="H78" s="662" t="inlineStr">
        <is>
          <t>NIESPEŁNIONY</t>
        </is>
      </c>
      <c r="J78" s="738" t="n"/>
      <c r="K78" s="663" t="n"/>
      <c r="L78" s="663" t="n"/>
      <c r="M78" s="769" t="n"/>
      <c r="N78" s="663" t="n"/>
      <c r="O78" s="663" t="n"/>
      <c r="P78" s="769" t="n"/>
      <c r="Q78" s="662" t="n"/>
      <c r="S78" s="738" t="n"/>
      <c r="T78" s="663" t="n"/>
      <c r="U78" s="663" t="n"/>
      <c r="V78" s="769" t="n"/>
      <c r="W78" s="663" t="n"/>
      <c r="X78" s="663" t="n"/>
      <c r="Y78" s="769" t="n"/>
      <c r="Z78" s="662" t="n"/>
    </row>
    <row r="79">
      <c r="A79" s="738" t="n">
        <v>6</v>
      </c>
      <c r="B79" s="663" t="n">
        <v>-2.291414422517313e-18</v>
      </c>
      <c r="C79" s="663" t="n">
        <v>0</v>
      </c>
      <c r="D79" s="769" t="inlineStr">
        <is>
          <t>SPEŁNIA</t>
        </is>
      </c>
      <c r="E79" s="663" t="n">
        <v>1.151071775204527e-18</v>
      </c>
      <c r="F79" s="663" t="n">
        <v>0</v>
      </c>
      <c r="G79" s="769" t="inlineStr">
        <is>
          <t>SPEŁNIA</t>
        </is>
      </c>
      <c r="H79" s="662" t="inlineStr">
        <is>
          <t>SPEŁNIONY</t>
        </is>
      </c>
      <c r="J79" s="738" t="n"/>
      <c r="K79" s="663" t="n"/>
      <c r="L79" s="663" t="n"/>
      <c r="M79" s="769" t="n"/>
      <c r="N79" s="663" t="n"/>
      <c r="O79" s="663" t="n"/>
      <c r="P79" s="769" t="n"/>
      <c r="Q79" s="662" t="n"/>
      <c r="S79" s="738" t="n"/>
      <c r="T79" s="663" t="n"/>
      <c r="U79" s="663" t="n"/>
      <c r="V79" s="769" t="n"/>
      <c r="W79" s="663" t="n"/>
      <c r="X79" s="663" t="n"/>
      <c r="Y79" s="769" t="n"/>
      <c r="Z79" s="662" t="n"/>
    </row>
    <row r="80">
      <c r="A80" s="738" t="n">
        <v>7</v>
      </c>
      <c r="B80" s="663" t="n">
        <v>-0.003058213908858567</v>
      </c>
      <c r="C80" s="663" t="n">
        <v>0.001788617560733908</v>
      </c>
      <c r="D80" s="769" t="inlineStr">
        <is>
          <t>NIESPEŁNIA</t>
        </is>
      </c>
      <c r="E80" s="663" t="n">
        <v>-0.003632589319446307</v>
      </c>
      <c r="F80" s="663" t="n">
        <v>0.001889484871448977</v>
      </c>
      <c r="G80" s="769" t="inlineStr">
        <is>
          <t>NIESPEŁNIA</t>
        </is>
      </c>
      <c r="H80" s="662" t="inlineStr">
        <is>
          <t>NIESPEŁNIONY</t>
        </is>
      </c>
      <c r="J80" s="738" t="n"/>
      <c r="K80" s="663" t="n"/>
      <c r="L80" s="663" t="n"/>
      <c r="M80" s="769" t="n"/>
      <c r="N80" s="663" t="n"/>
      <c r="O80" s="663" t="n"/>
      <c r="P80" s="769" t="n"/>
      <c r="Q80" s="662" t="n"/>
      <c r="S80" s="738" t="n"/>
      <c r="T80" s="663" t="n"/>
      <c r="U80" s="663" t="n"/>
      <c r="V80" s="769" t="n"/>
      <c r="W80" s="663" t="n"/>
      <c r="X80" s="663" t="n"/>
      <c r="Y80" s="769" t="n"/>
      <c r="Z80" s="662" t="n"/>
    </row>
    <row r="81">
      <c r="A81" s="738" t="n">
        <v>8</v>
      </c>
      <c r="B81" s="663" t="n">
        <v>-0.003342243827577973</v>
      </c>
      <c r="C81" s="663" t="n">
        <v>0.002981407074777814</v>
      </c>
      <c r="D81" s="769" t="inlineStr">
        <is>
          <t>NIESPEŁNIA</t>
        </is>
      </c>
      <c r="E81" s="663" t="n">
        <v>-0.002238141442945558</v>
      </c>
      <c r="F81" s="663" t="n">
        <v>0.002393588864085014</v>
      </c>
      <c r="G81" s="769" t="inlineStr">
        <is>
          <t>SPEŁNIA</t>
        </is>
      </c>
      <c r="H81" s="662" t="inlineStr">
        <is>
          <t>NIESPEŁNIONY</t>
        </is>
      </c>
      <c r="J81" s="738" t="n"/>
      <c r="K81" s="663" t="n"/>
      <c r="L81" s="663" t="n"/>
      <c r="M81" s="769" t="n"/>
      <c r="N81" s="663" t="n"/>
      <c r="O81" s="663" t="n"/>
      <c r="P81" s="769" t="n"/>
      <c r="Q81" s="662" t="n"/>
      <c r="S81" s="738" t="n"/>
      <c r="T81" s="663" t="n"/>
      <c r="U81" s="663" t="n"/>
      <c r="V81" s="769" t="n"/>
      <c r="W81" s="663" t="n"/>
      <c r="X81" s="663" t="n"/>
      <c r="Y81" s="769" t="n"/>
      <c r="Z81" s="662" t="n"/>
    </row>
    <row r="82">
      <c r="A82" s="738" t="n">
        <v>9</v>
      </c>
      <c r="B82" s="663" t="n">
        <v>-0.0003617773800740841</v>
      </c>
      <c r="C82" s="663" t="n">
        <v>0.001224939937804911</v>
      </c>
      <c r="D82" s="769" t="inlineStr">
        <is>
          <t>SPEŁNIA</t>
        </is>
      </c>
      <c r="E82" s="663" t="n">
        <v>0.0006186607268722448</v>
      </c>
      <c r="F82" s="663" t="n">
        <v>0.002094371249177346</v>
      </c>
      <c r="G82" s="769" t="inlineStr">
        <is>
          <t>SPEŁNIA</t>
        </is>
      </c>
      <c r="H82" s="662" t="inlineStr">
        <is>
          <t>SPEŁNIONY</t>
        </is>
      </c>
      <c r="J82" s="738" t="n"/>
      <c r="K82" s="663" t="n"/>
      <c r="L82" s="663" t="n"/>
      <c r="M82" s="769" t="n"/>
      <c r="N82" s="663" t="n"/>
      <c r="O82" s="663" t="n"/>
      <c r="P82" s="769" t="n"/>
      <c r="Q82" s="662" t="n"/>
      <c r="S82" s="738" t="n"/>
      <c r="T82" s="663" t="n"/>
      <c r="U82" s="663" t="n"/>
      <c r="V82" s="769" t="n"/>
      <c r="W82" s="663" t="n"/>
      <c r="X82" s="663" t="n"/>
      <c r="Y82" s="769" t="n"/>
      <c r="Z82" s="662" t="n"/>
    </row>
    <row r="83"/>
    <row r="84">
      <c r="A84" s="283" t="inlineStr">
        <is>
          <t>kierunek</t>
        </is>
      </c>
      <c r="B84" s="596" t="n"/>
      <c r="C84" s="767" t="n"/>
      <c r="D84" s="185" t="n">
        <v>7</v>
      </c>
      <c r="E84" s="171" t="n">
        <v>9</v>
      </c>
      <c r="G84" s="172" t="n"/>
      <c r="H84" s="170" t="n"/>
    </row>
    <row r="85">
      <c r="A85" s="672" t="n"/>
      <c r="B85" s="672" t="n"/>
      <c r="C85" s="672" t="n"/>
      <c r="D85" s="765" t="n"/>
      <c r="E85" s="765" t="n"/>
      <c r="F85" s="660" t="n"/>
      <c r="G85" s="766" t="n"/>
      <c r="H85" s="763" t="n"/>
      <c r="J85" s="672" t="n"/>
      <c r="K85" s="672" t="n"/>
      <c r="L85" s="672" t="n"/>
      <c r="M85" s="765" t="n"/>
      <c r="N85" s="765" t="n"/>
      <c r="O85" s="660" t="n"/>
      <c r="P85" s="766" t="n"/>
      <c r="Q85" s="763" t="n"/>
      <c r="S85" s="672" t="n"/>
      <c r="T85" s="672" t="n"/>
      <c r="U85" s="672" t="n"/>
      <c r="V85" s="765" t="n"/>
      <c r="W85" s="765" t="n"/>
      <c r="X85" s="660" t="n"/>
      <c r="Y85" s="766" t="n"/>
      <c r="Z85" s="763" t="n"/>
    </row>
    <row r="86">
      <c r="A86" s="660" t="inlineStr">
        <is>
          <t>Nr</t>
        </is>
      </c>
      <c r="B86" s="660" t="inlineStr">
        <is>
          <t>∆X</t>
        </is>
      </c>
      <c r="C86" s="660" t="inlineStr">
        <is>
          <t>σdx</t>
        </is>
      </c>
      <c r="D86" s="660" t="inlineStr">
        <is>
          <t>Warunek |ΔX|</t>
        </is>
      </c>
      <c r="E86" s="660" t="inlineStr">
        <is>
          <t>∆Y</t>
        </is>
      </c>
      <c r="F86" s="660" t="inlineStr">
        <is>
          <t>σdy</t>
        </is>
      </c>
      <c r="G86" s="660" t="inlineStr">
        <is>
          <t>Warunek |ΔY|</t>
        </is>
      </c>
      <c r="H86" s="660" t="inlineStr">
        <is>
          <t>warunek</t>
        </is>
      </c>
      <c r="J86" s="660" t="n"/>
      <c r="K86" s="660" t="n"/>
      <c r="L86" s="660" t="n"/>
      <c r="M86" s="660" t="n"/>
      <c r="N86" s="660" t="n"/>
      <c r="O86" s="660" t="n"/>
      <c r="P86" s="660" t="n"/>
      <c r="Q86" s="660" t="n"/>
      <c r="S86" s="660" t="n"/>
      <c r="T86" s="660" t="n"/>
      <c r="U86" s="660" t="n"/>
      <c r="V86" s="660" t="n"/>
      <c r="W86" s="660" t="n"/>
      <c r="X86" s="660" t="n"/>
      <c r="Y86" s="660" t="n"/>
      <c r="Z86" s="660" t="n"/>
    </row>
    <row r="87" ht="24" customHeight="1">
      <c r="A87" s="672" t="n">
        <v>5</v>
      </c>
      <c r="B87" s="672" t="n">
        <v>0.003239841915687251</v>
      </c>
      <c r="C87" s="672" t="n">
        <v>0.00215261</v>
      </c>
      <c r="D87" s="771" t="inlineStr">
        <is>
          <t>NIESPEŁNIA</t>
        </is>
      </c>
      <c r="E87" s="672" t="n">
        <v>-0.001856873846871694</v>
      </c>
      <c r="F87" s="672" t="n">
        <v>0.001850649870201211</v>
      </c>
      <c r="G87" s="771" t="inlineStr">
        <is>
          <t>NIESPEŁNIA</t>
        </is>
      </c>
      <c r="H87" s="672" t="inlineStr">
        <is>
          <t>NIESPEŁNIONY</t>
        </is>
      </c>
      <c r="J87" s="672" t="n"/>
      <c r="K87" s="672" t="n"/>
      <c r="L87" s="672" t="n"/>
      <c r="M87" s="771" t="n"/>
      <c r="N87" s="672" t="n"/>
      <c r="O87" s="672" t="n"/>
      <c r="P87" s="771" t="n"/>
      <c r="Q87" s="672" t="n"/>
      <c r="S87" s="672" t="n"/>
      <c r="T87" s="672" t="n"/>
      <c r="U87" s="672" t="n"/>
      <c r="V87" s="771" t="n"/>
      <c r="W87" s="672" t="n"/>
      <c r="X87" s="672" t="n"/>
      <c r="Y87" s="771" t="n"/>
      <c r="Z87" s="672" t="n"/>
    </row>
    <row r="88">
      <c r="A88" s="738" t="n">
        <v>6</v>
      </c>
      <c r="B88" s="663" t="n">
        <v>0.008017044431455504</v>
      </c>
      <c r="C88" s="663" t="n">
        <v>0.003234341711683685</v>
      </c>
      <c r="D88" s="769" t="inlineStr">
        <is>
          <t>NIESPEŁNIA</t>
        </is>
      </c>
      <c r="E88" s="663" t="n">
        <v>0.004624355423965699</v>
      </c>
      <c r="F88" s="663" t="n">
        <v>0.002054947274061075</v>
      </c>
      <c r="G88" s="769" t="inlineStr">
        <is>
          <t>NIESPEŁNIA</t>
        </is>
      </c>
      <c r="H88" s="662" t="inlineStr">
        <is>
          <t>NIESPEŁNIONY</t>
        </is>
      </c>
      <c r="J88" s="738" t="n"/>
      <c r="K88" s="772" t="n"/>
      <c r="L88" s="772" t="n"/>
      <c r="M88" s="769" t="n"/>
      <c r="N88" s="663" t="n"/>
      <c r="O88" s="663" t="n"/>
      <c r="P88" s="769" t="n"/>
      <c r="Q88" s="662" t="n"/>
      <c r="S88" s="738" t="n"/>
      <c r="T88" s="663" t="n"/>
      <c r="U88" s="663" t="n"/>
      <c r="V88" s="769" t="n"/>
      <c r="W88" s="663" t="n"/>
      <c r="X88" s="663" t="n"/>
      <c r="Y88" s="769" t="n"/>
      <c r="Z88" s="662" t="n"/>
    </row>
    <row r="89">
      <c r="A89" s="738" t="n">
        <v>7</v>
      </c>
      <c r="B89" s="663" t="n">
        <v>1.616769731508567e-18</v>
      </c>
      <c r="C89" s="663" t="n">
        <v>0</v>
      </c>
      <c r="D89" s="769" t="inlineStr">
        <is>
          <t>SPEŁNIA</t>
        </is>
      </c>
      <c r="E89" s="663" t="n">
        <v>5.624647285984996e-19</v>
      </c>
      <c r="F89" s="663" t="n">
        <v>0</v>
      </c>
      <c r="G89" s="769" t="inlineStr">
        <is>
          <t>SPEŁNIA</t>
        </is>
      </c>
      <c r="H89" s="662" t="inlineStr">
        <is>
          <t>SPEŁNIONY</t>
        </is>
      </c>
      <c r="J89" s="738" t="n"/>
      <c r="K89" s="772" t="n"/>
      <c r="L89" s="772" t="n"/>
      <c r="M89" s="769" t="n"/>
      <c r="N89" s="663" t="n"/>
      <c r="O89" s="663" t="n"/>
      <c r="P89" s="769" t="n"/>
      <c r="Q89" s="662" t="n"/>
      <c r="S89" s="738" t="n"/>
      <c r="T89" s="663" t="n"/>
      <c r="U89" s="663" t="n"/>
      <c r="V89" s="769" t="n"/>
      <c r="W89" s="663" t="n"/>
      <c r="X89" s="663" t="n"/>
      <c r="Y89" s="769" t="n"/>
      <c r="Z89" s="662" t="n"/>
    </row>
    <row r="90">
      <c r="A90" s="738" t="n">
        <v>8</v>
      </c>
      <c r="B90" s="663" t="n">
        <v>-0.004392775208871154</v>
      </c>
      <c r="C90" s="663" t="n">
        <v>0.002965912214671577</v>
      </c>
      <c r="D90" s="769" t="inlineStr">
        <is>
          <t>NIESPEŁNIA</t>
        </is>
      </c>
      <c r="E90" s="663" t="n">
        <v>0.002244533108945939</v>
      </c>
      <c r="F90" s="663" t="n">
        <v>0.001799728651235421</v>
      </c>
      <c r="G90" s="769" t="inlineStr">
        <is>
          <t>NIESPEŁNIA</t>
        </is>
      </c>
      <c r="H90" s="662" t="inlineStr">
        <is>
          <t>NIESPEŁNIONY</t>
        </is>
      </c>
      <c r="J90" s="738" t="n"/>
      <c r="K90" s="772" t="n"/>
      <c r="L90" s="772" t="n"/>
      <c r="M90" s="769" t="n"/>
      <c r="N90" s="663" t="n"/>
      <c r="O90" s="663" t="n"/>
      <c r="P90" s="769" t="n"/>
      <c r="Q90" s="662" t="n"/>
      <c r="S90" s="738" t="n"/>
      <c r="T90" s="663" t="n"/>
      <c r="U90" s="663" t="n"/>
      <c r="V90" s="769" t="n"/>
      <c r="W90" s="663" t="n"/>
      <c r="X90" s="663" t="n"/>
      <c r="Y90" s="769" t="n"/>
      <c r="Z90" s="662" t="n"/>
    </row>
    <row r="91">
      <c r="A91" s="738" t="n">
        <v>9</v>
      </c>
      <c r="B91" s="663" t="n">
        <v>-0.0005338873545072395</v>
      </c>
      <c r="C91" s="663" t="n">
        <v>0.001312837365487794</v>
      </c>
      <c r="D91" s="769" t="inlineStr">
        <is>
          <t>SPEŁNIA</t>
        </is>
      </c>
      <c r="E91" s="663" t="n">
        <v>0.0004542026747300393</v>
      </c>
      <c r="F91" s="663" t="n">
        <v>0.001116803404469781</v>
      </c>
      <c r="G91" s="769" t="inlineStr">
        <is>
          <t>SPEŁNIA</t>
        </is>
      </c>
      <c r="H91" s="662" t="inlineStr">
        <is>
          <t>SPEŁNIONY</t>
        </is>
      </c>
      <c r="J91" s="738" t="n"/>
      <c r="K91" s="772" t="n"/>
      <c r="L91" s="772" t="n"/>
      <c r="M91" s="769" t="n"/>
      <c r="N91" s="663" t="n"/>
      <c r="O91" s="663" t="n"/>
      <c r="P91" s="769" t="n"/>
      <c r="Q91" s="662" t="n"/>
      <c r="S91" s="738" t="n"/>
      <c r="T91" s="663" t="n"/>
      <c r="U91" s="663" t="n"/>
      <c r="V91" s="769" t="n"/>
      <c r="W91" s="663" t="n"/>
      <c r="X91" s="663" t="n"/>
      <c r="Y91" s="769" t="n"/>
      <c r="Z91" s="662" t="n"/>
    </row>
    <row r="92">
      <c r="A92" s="738" t="n"/>
      <c r="B92" s="663" t="n"/>
      <c r="C92" s="663" t="n"/>
      <c r="D92" s="769" t="n"/>
      <c r="E92" s="663" t="n"/>
      <c r="F92" s="663" t="n"/>
      <c r="G92" s="769" t="n"/>
      <c r="H92" s="662" t="n"/>
      <c r="J92" s="738" t="n"/>
      <c r="K92" s="772" t="n"/>
      <c r="L92" s="772" t="n"/>
      <c r="M92" s="769" t="n"/>
      <c r="N92" s="663" t="n"/>
      <c r="O92" s="663" t="n"/>
      <c r="P92" s="769" t="n"/>
      <c r="Q92" s="662" t="n"/>
      <c r="S92" s="738" t="n"/>
      <c r="T92" s="663" t="n"/>
      <c r="U92" s="663" t="n"/>
      <c r="V92" s="769" t="n"/>
      <c r="W92" s="663" t="n"/>
      <c r="X92" s="663" t="n"/>
      <c r="Y92" s="769" t="n"/>
      <c r="Z92" s="662" t="n"/>
    </row>
    <row r="93">
      <c r="A93" s="283" t="inlineStr">
        <is>
          <t>kierunek</t>
        </is>
      </c>
      <c r="B93" s="596" t="n"/>
      <c r="C93" s="767" t="n"/>
      <c r="D93" s="185" t="n">
        <v>8</v>
      </c>
      <c r="E93" s="171" t="n">
        <v>9</v>
      </c>
      <c r="G93" s="172" t="n"/>
      <c r="H93" s="170" t="n"/>
    </row>
    <row r="94">
      <c r="K94" s="773" t="n"/>
    </row>
    <row r="95">
      <c r="A95" s="283" t="inlineStr">
        <is>
          <t>Nr</t>
        </is>
      </c>
      <c r="B95" s="154" t="inlineStr">
        <is>
          <t>∆X</t>
        </is>
      </c>
      <c r="C95" s="176" t="inlineStr">
        <is>
          <t>σdx</t>
        </is>
      </c>
      <c r="D95" s="177" t="inlineStr">
        <is>
          <t>Warunek |ΔX|</t>
        </is>
      </c>
      <c r="E95" s="154" t="inlineStr">
        <is>
          <t>∆Y</t>
        </is>
      </c>
      <c r="F95" s="176" t="inlineStr">
        <is>
          <t>σdy</t>
        </is>
      </c>
      <c r="G95" s="177" t="inlineStr">
        <is>
          <t>Warunek |ΔY|</t>
        </is>
      </c>
      <c r="H95" s="285" t="inlineStr">
        <is>
          <t>warunek</t>
        </is>
      </c>
      <c r="K95" s="773" t="n"/>
    </row>
    <row r="96">
      <c r="A96" s="288" t="n">
        <v>5</v>
      </c>
      <c r="B96" s="179" t="n">
        <v>0.003924036564046798</v>
      </c>
      <c r="C96" s="111" t="n">
        <v>0.00399423</v>
      </c>
      <c r="D96" s="174" t="inlineStr">
        <is>
          <t>SPEŁNIA</t>
        </is>
      </c>
      <c r="E96" s="111" t="n">
        <v>-0.001950430230720889</v>
      </c>
      <c r="F96" s="111" t="n">
        <v>0.00216328224654464</v>
      </c>
      <c r="G96" s="174" t="inlineStr">
        <is>
          <t>SPEŁNIA</t>
        </is>
      </c>
      <c r="H96" s="35" t="inlineStr">
        <is>
          <t>SPEŁNIONY</t>
        </is>
      </c>
      <c r="K96" s="773" t="n"/>
    </row>
    <row r="97">
      <c r="A97" s="286" t="n">
        <v>6</v>
      </c>
      <c r="B97" s="180" t="n">
        <v>0.007662836522871809</v>
      </c>
      <c r="C97" s="26" t="n">
        <v>0.005203523447822314</v>
      </c>
      <c r="D97" s="173" t="inlineStr">
        <is>
          <t>NIESPEŁNIA</t>
        </is>
      </c>
      <c r="E97" s="26" t="n">
        <v>0.002305650703809535</v>
      </c>
      <c r="F97" s="26" t="n">
        <v>0.002430388972407082</v>
      </c>
      <c r="G97" s="173" t="inlineStr">
        <is>
          <t>SPEŁNIA</t>
        </is>
      </c>
      <c r="H97" s="1" t="inlineStr">
        <is>
          <t>NIESPEŁNIONY</t>
        </is>
      </c>
      <c r="K97" s="773" t="n"/>
    </row>
    <row r="98">
      <c r="A98" s="286" t="n">
        <v>7</v>
      </c>
      <c r="B98" s="180" t="n">
        <v>0.002241798483774433</v>
      </c>
      <c r="C98" s="26" t="n">
        <v>0.003059014416566665</v>
      </c>
      <c r="D98" s="173" t="inlineStr">
        <is>
          <t>SPEŁNIA</t>
        </is>
      </c>
      <c r="E98" s="26" t="n">
        <v>-0.00179950344168454</v>
      </c>
      <c r="F98" s="26" t="n">
        <v>0.001578288356465083</v>
      </c>
      <c r="G98" s="173" t="inlineStr">
        <is>
          <t>NIESPEŁNIA</t>
        </is>
      </c>
      <c r="H98" s="1" t="inlineStr">
        <is>
          <t>NIESPEŁNIONY</t>
        </is>
      </c>
    </row>
    <row r="99">
      <c r="A99" s="286" t="n">
        <v>8</v>
      </c>
      <c r="B99" s="180" t="n">
        <v>4.349830124199955e-18</v>
      </c>
      <c r="C99" s="26" t="n">
        <v>0</v>
      </c>
      <c r="D99" s="173" t="inlineStr">
        <is>
          <t>SPEŁNIA</t>
        </is>
      </c>
      <c r="E99" s="26" t="n">
        <v>1.386530195425053e-18</v>
      </c>
      <c r="F99" s="26" t="n">
        <v>0</v>
      </c>
      <c r="G99" s="173" t="inlineStr">
        <is>
          <t>SPEŁNIA</t>
        </is>
      </c>
      <c r="H99" s="1" t="inlineStr">
        <is>
          <t>SPEŁNIONY</t>
        </is>
      </c>
    </row>
    <row r="100">
      <c r="A100" s="287" t="n">
        <v>9</v>
      </c>
      <c r="B100" s="180" t="n">
        <v>0.003399023864860489</v>
      </c>
      <c r="C100" s="26" t="n">
        <v>0.002694295465494292</v>
      </c>
      <c r="D100" s="173" t="inlineStr">
        <is>
          <t>NIESPEŁNIA</t>
        </is>
      </c>
      <c r="E100" s="26" t="n">
        <v>0.0006424984134797278</v>
      </c>
      <c r="F100" s="26" t="n">
        <v>0.0005095775338756188</v>
      </c>
      <c r="G100" s="173" t="inlineStr">
        <is>
          <t>NIESPEŁNIA</t>
        </is>
      </c>
      <c r="H100" s="1" t="inlineStr">
        <is>
          <t>NIESPEŁNIONY</t>
        </is>
      </c>
    </row>
    <row r="101"/>
    <row r="102">
      <c r="A102" s="283" t="inlineStr">
        <is>
          <t>kierunek</t>
        </is>
      </c>
      <c r="B102" s="596" t="n"/>
      <c r="C102" s="767" t="n"/>
      <c r="D102" s="185" t="n">
        <v>5</v>
      </c>
      <c r="E102" s="171" t="n">
        <v>6</v>
      </c>
      <c r="G102" s="172" t="n"/>
      <c r="H102" s="170" t="n"/>
    </row>
    <row r="103"/>
    <row r="104">
      <c r="A104" s="283" t="inlineStr">
        <is>
          <t>Nr</t>
        </is>
      </c>
      <c r="B104" s="154" t="inlineStr">
        <is>
          <t>∆X</t>
        </is>
      </c>
      <c r="C104" s="176" t="inlineStr">
        <is>
          <t>σdx</t>
        </is>
      </c>
      <c r="D104" s="177" t="inlineStr">
        <is>
          <t>Warunek |ΔX|</t>
        </is>
      </c>
      <c r="E104" s="154" t="inlineStr">
        <is>
          <t>∆Y</t>
        </is>
      </c>
      <c r="F104" s="176" t="inlineStr">
        <is>
          <t>σdy</t>
        </is>
      </c>
      <c r="G104" s="177" t="inlineStr">
        <is>
          <t>Warunek |ΔY|</t>
        </is>
      </c>
      <c r="H104" s="285" t="inlineStr">
        <is>
          <t>warunek</t>
        </is>
      </c>
    </row>
    <row r="105">
      <c r="A105" s="288" t="n">
        <v>5</v>
      </c>
      <c r="B105" s="179" t="n">
        <v>1.537466195325838e-17</v>
      </c>
      <c r="C105" s="111" t="n">
        <v>0</v>
      </c>
      <c r="D105" s="174" t="inlineStr">
        <is>
          <t>SPEŁNIA</t>
        </is>
      </c>
      <c r="E105" s="111" t="n">
        <v>-6.02287164091638e-18</v>
      </c>
      <c r="F105" s="111" t="n">
        <v>0</v>
      </c>
      <c r="G105" s="174" t="inlineStr">
        <is>
          <t>SPEŁNIA</t>
        </is>
      </c>
      <c r="H105" s="35" t="inlineStr">
        <is>
          <t>SPEŁNIONY</t>
        </is>
      </c>
    </row>
    <row r="106">
      <c r="A106" s="286" t="n">
        <v>6</v>
      </c>
      <c r="B106" s="180" t="n">
        <v>0.001439202527773513</v>
      </c>
      <c r="C106" s="26" t="n">
        <v>0.002350286803373308</v>
      </c>
      <c r="D106" s="173" t="inlineStr">
        <is>
          <t>SPEŁNIA</t>
        </is>
      </c>
      <c r="E106" s="26" t="n">
        <v>-0.000671627846294281</v>
      </c>
      <c r="F106" s="26" t="n">
        <v>0.001096521326847276</v>
      </c>
      <c r="G106" s="173" t="inlineStr">
        <is>
          <t>SPEŁNIA</t>
        </is>
      </c>
      <c r="H106" s="1" t="inlineStr">
        <is>
          <t>SPEŁNIONY</t>
        </is>
      </c>
    </row>
    <row r="107">
      <c r="A107" s="286" t="n">
        <v>7</v>
      </c>
      <c r="B107" s="180" t="n">
        <v>0.001767158066304926</v>
      </c>
      <c r="C107" s="26" t="n">
        <v>0.002101225688044039</v>
      </c>
      <c r="D107" s="173" t="inlineStr">
        <is>
          <t>SPEŁNIA</t>
        </is>
      </c>
      <c r="E107" s="26" t="n">
        <v>-0.003626983276262587</v>
      </c>
      <c r="F107" s="26" t="n">
        <v>0.001712196253554773</v>
      </c>
      <c r="G107" s="173" t="inlineStr">
        <is>
          <t>NIESPEŁNIA</t>
        </is>
      </c>
      <c r="H107" s="1" t="inlineStr">
        <is>
          <t>NIESPEŁNIONY</t>
        </is>
      </c>
    </row>
    <row r="108">
      <c r="A108" s="286" t="n">
        <v>8</v>
      </c>
      <c r="B108" s="180" t="n">
        <v>0.004288811403994357</v>
      </c>
      <c r="C108" s="26" t="n">
        <v>0.004187660772174092</v>
      </c>
      <c r="D108" s="173" t="inlineStr">
        <is>
          <t>NIESPEŁNIA</t>
        </is>
      </c>
      <c r="E108" s="26" t="n">
        <v>-0.002813021590742994</v>
      </c>
      <c r="F108" s="26" t="n">
        <v>0.002396158518133663</v>
      </c>
      <c r="G108" s="173" t="inlineStr">
        <is>
          <t>NIESPEŁNIA</t>
        </is>
      </c>
      <c r="H108" s="1" t="inlineStr">
        <is>
          <t>NIESPEŁNIONY</t>
        </is>
      </c>
    </row>
    <row r="109">
      <c r="A109" s="287" t="n">
        <v>9</v>
      </c>
      <c r="B109" s="180" t="n">
        <v>0.006669442120817749</v>
      </c>
      <c r="C109" s="26" t="n">
        <v>0.003115753445019959</v>
      </c>
      <c r="D109" s="173" t="inlineStr">
        <is>
          <t>NIESPEŁNIA</t>
        </is>
      </c>
      <c r="E109" s="26" t="n">
        <v>0.003217105089771732</v>
      </c>
      <c r="F109" s="26" t="n">
        <v>0.002288719424526819</v>
      </c>
      <c r="G109" s="173" t="inlineStr">
        <is>
          <t>NIESPEŁNIA</t>
        </is>
      </c>
      <c r="H109" s="1" t="inlineStr">
        <is>
          <t>NIESPEŁNIONY</t>
        </is>
      </c>
    </row>
    <row r="110"/>
    <row r="111">
      <c r="A111" s="283" t="inlineStr">
        <is>
          <t>kierunek</t>
        </is>
      </c>
      <c r="B111" s="596" t="n"/>
      <c r="C111" s="767" t="n"/>
      <c r="D111" s="185" t="n">
        <v>5</v>
      </c>
      <c r="E111" s="171" t="n">
        <v>8</v>
      </c>
      <c r="G111" s="172" t="n"/>
      <c r="H111" s="170" t="n"/>
    </row>
    <row r="112"/>
    <row r="113">
      <c r="A113" s="283" t="inlineStr">
        <is>
          <t>Nr</t>
        </is>
      </c>
      <c r="B113" s="154" t="inlineStr">
        <is>
          <t>∆X</t>
        </is>
      </c>
      <c r="C113" s="176" t="inlineStr">
        <is>
          <t>σdx</t>
        </is>
      </c>
      <c r="D113" s="177" t="inlineStr">
        <is>
          <t>Warunek |ΔX|</t>
        </is>
      </c>
      <c r="E113" s="154" t="inlineStr">
        <is>
          <t>∆Y</t>
        </is>
      </c>
      <c r="F113" s="176" t="inlineStr">
        <is>
          <t>σdy</t>
        </is>
      </c>
      <c r="G113" s="177" t="inlineStr">
        <is>
          <t>Warunek |ΔY|</t>
        </is>
      </c>
      <c r="H113" s="285" t="inlineStr">
        <is>
          <t>warunek</t>
        </is>
      </c>
    </row>
    <row r="114">
      <c r="A114" s="288" t="n">
        <v>5</v>
      </c>
      <c r="B114" s="247" t="n">
        <v>0</v>
      </c>
      <c r="C114" s="249" t="n">
        <v>0</v>
      </c>
      <c r="D114" s="174" t="inlineStr">
        <is>
          <t>SPEŁNIA</t>
        </is>
      </c>
      <c r="E114" s="249" t="n">
        <v>0</v>
      </c>
      <c r="F114" s="249" t="n">
        <v>0</v>
      </c>
      <c r="G114" s="174" t="inlineStr">
        <is>
          <t>SPEŁNIA</t>
        </is>
      </c>
      <c r="H114" s="35" t="inlineStr">
        <is>
          <t>SPEŁNIONY</t>
        </is>
      </c>
    </row>
    <row r="115">
      <c r="A115" s="286" t="n">
        <v>6</v>
      </c>
      <c r="B115" s="248" t="n">
        <v>-0.0001</v>
      </c>
      <c r="C115" s="250" t="n">
        <v>0.0028</v>
      </c>
      <c r="D115" s="173">
        <f>IF(ABS(ROUND(B115,8))&lt;=C115,"SPEŁNIA","NIESPEŁNIA")</f>
        <v/>
      </c>
      <c r="E115" s="250" t="n">
        <v>-0.0015</v>
      </c>
      <c r="F115" s="250" t="n">
        <v>0.0022</v>
      </c>
      <c r="G115" s="173">
        <f>IF(ABS(ROUND(E115,8))&lt;=F115,"SPEŁNIA","NIESPEŁNIA")</f>
        <v/>
      </c>
      <c r="H115" s="1">
        <f>IF(AND(D115="SPEŁNIA",G115="SPEŁNIA"),"SPEŁNIONY","NIESPEŁNIONY")</f>
        <v/>
      </c>
    </row>
    <row r="116">
      <c r="A116" s="286" t="n">
        <v>7</v>
      </c>
      <c r="B116" s="248" t="n">
        <v>-0.0025</v>
      </c>
      <c r="C116" s="250" t="n">
        <v>0.0017</v>
      </c>
      <c r="D116" s="173">
        <f>IF(ABS(ROUND(B116,8))&lt;=C116,"SPEŁNIA","NIESPEŁNIA")</f>
        <v/>
      </c>
      <c r="E116" s="250" t="n">
        <v>-0.005</v>
      </c>
      <c r="F116" s="250" t="n">
        <v>0.002</v>
      </c>
      <c r="G116" s="173">
        <f>IF(ABS(ROUND(E116,8))&lt;=F116,"SPEŁNIA","NIESPEŁNIA")</f>
        <v/>
      </c>
      <c r="H116" s="1">
        <f>IF(AND(D116="SPEŁNIA",G116="SPEŁNIA"),"SPEŁNIONY","NIESPEŁNIONY")</f>
        <v/>
      </c>
    </row>
    <row r="117">
      <c r="A117" s="286" t="n">
        <v>8</v>
      </c>
      <c r="B117" s="248" t="n">
        <v>-0.0023</v>
      </c>
      <c r="C117" s="250" t="n">
        <v>0.0014</v>
      </c>
      <c r="D117" s="173">
        <f>IF(ABS(ROUND(B117,8))&lt;=C117,"SPEŁNIA","NIESPEŁNIA")</f>
        <v/>
      </c>
      <c r="E117" s="250" t="n">
        <v>-0.004</v>
      </c>
      <c r="F117" s="250" t="n">
        <v>0.0024</v>
      </c>
      <c r="G117" s="173">
        <f>IF(ABS(ROUND(E117,8))&lt;=F117,"SPEŁNIA","NIESPEŁNIA")</f>
        <v/>
      </c>
      <c r="H117" s="1">
        <f>IF(AND(D117="SPEŁNIA",G117="SPEŁNIA"),"SPEŁNIONY","NIESPEŁNIONY")</f>
        <v/>
      </c>
    </row>
    <row r="118">
      <c r="A118" s="287" t="n">
        <v>9</v>
      </c>
      <c r="B118" s="248" t="n">
        <v>0.0001</v>
      </c>
      <c r="C118" s="250" t="n">
        <v>0.002</v>
      </c>
      <c r="D118" s="173">
        <f>IF(ABS(ROUND(B118,8))&lt;=C118,"SPEŁNIA","NIESPEŁNIA")</f>
        <v/>
      </c>
      <c r="E118" s="250" t="n">
        <v>-0.0009</v>
      </c>
      <c r="F118" s="250" t="n">
        <v>0.0023</v>
      </c>
      <c r="G118" s="173">
        <f>IF(ABS(ROUND(E118,8))&lt;=F118,"SPEŁNIA","NIESPEŁNIA")</f>
        <v/>
      </c>
      <c r="H118" s="1">
        <f>IF(AND(D118="SPEŁNIA",G118="SPEŁNIA"),"SPEŁNIONY","NIESPEŁNIONY")</f>
        <v/>
      </c>
    </row>
  </sheetData>
  <mergeCells count="23">
    <mergeCell ref="A66:C66"/>
    <mergeCell ref="A75:C75"/>
    <mergeCell ref="A84:C84"/>
    <mergeCell ref="A60:A61"/>
    <mergeCell ref="A54:A55"/>
    <mergeCell ref="W2:AL2"/>
    <mergeCell ref="A56:A57"/>
    <mergeCell ref="A19:A21"/>
    <mergeCell ref="B25:Q25"/>
    <mergeCell ref="AM25:AO25"/>
    <mergeCell ref="V42:V44"/>
    <mergeCell ref="W25:AL25"/>
    <mergeCell ref="A102:C102"/>
    <mergeCell ref="R2:T2"/>
    <mergeCell ref="A93:C93"/>
    <mergeCell ref="A111:C111"/>
    <mergeCell ref="B2:Q2"/>
    <mergeCell ref="V19:V21"/>
    <mergeCell ref="A62:A63"/>
    <mergeCell ref="AM2:AO2"/>
    <mergeCell ref="A58:A59"/>
    <mergeCell ref="R25:T25"/>
    <mergeCell ref="A42:A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221"/>
  <sheetViews>
    <sheetView workbookViewId="0">
      <selection activeCell="A1" sqref="A1"/>
    </sheetView>
  </sheetViews>
  <sheetFormatPr baseColWidth="10" defaultColWidth="8.83203125" defaultRowHeight="15"/>
  <cols>
    <col width="5.6484375" customWidth="1" min="1" max="1"/>
    <col width="13.98828125" customWidth="1" min="2" max="4"/>
    <col width="13" customWidth="1" min="3" max="3"/>
    <col width="11.02734375" customWidth="1" min="4" max="4"/>
    <col width="13.98828125" customWidth="1" min="5" max="5"/>
    <col width="13" customWidth="1" min="6" max="7"/>
    <col width="13" customWidth="1" min="7" max="7"/>
    <col width="11.02734375" customWidth="1" min="8" max="13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6"/>
    <col width="13" customWidth="1" min="15" max="15"/>
    <col width="13" customWidth="1" min="16" max="16"/>
    <col width="11.02734375" customWidth="1" min="17" max="23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/>
    <row r="2">
      <c r="B2" s="530" t="n"/>
      <c r="C2" s="531" t="n"/>
      <c r="D2" s="531" t="n"/>
      <c r="E2" s="532" t="n"/>
      <c r="P2" s="530" t="n"/>
      <c r="Q2" s="531" t="n"/>
      <c r="R2" s="532" t="n"/>
      <c r="S2" s="530" t="n"/>
      <c r="T2" s="531" t="n"/>
      <c r="U2" s="531" t="n"/>
      <c r="V2" s="532" t="n"/>
    </row>
    <row r="3" ht="17.1" customHeight="1">
      <c r="B3" s="574" t="inlineStr">
        <is>
          <t>c</t>
        </is>
      </c>
      <c r="C3" s="603" t="inlineStr">
        <is>
          <t>l</t>
        </is>
      </c>
      <c r="D3" s="603" t="inlineStr">
        <is>
          <t>p</t>
        </is>
      </c>
      <c r="E3" s="774" t="inlineStr">
        <is>
          <t>L obs [m]</t>
        </is>
      </c>
      <c r="F3" s="534" t="inlineStr">
        <is>
          <t>∆x</t>
        </is>
      </c>
      <c r="G3" s="536" t="inlineStr">
        <is>
          <t>∆y</t>
        </is>
      </c>
      <c r="H3" s="537" t="inlineStr">
        <is>
          <t>L przyb [m]</t>
        </is>
      </c>
      <c r="I3" s="538" t="inlineStr">
        <is>
          <t>Az [g]</t>
        </is>
      </c>
      <c r="J3" s="538" t="inlineStr">
        <is>
          <t>Sin Az</t>
        </is>
      </c>
      <c r="K3" s="539" t="inlineStr">
        <is>
          <t>Cos Az</t>
        </is>
      </c>
      <c r="L3" s="537" t="inlineStr">
        <is>
          <t>Błąd [m]</t>
        </is>
      </c>
      <c r="M3" s="538" t="inlineStr">
        <is>
          <t>l [m]</t>
        </is>
      </c>
      <c r="N3" s="538" t="n"/>
      <c r="O3" s="411" t="n"/>
      <c r="P3" s="530" t="inlineStr">
        <is>
          <t>Współrzedne przybliżone</t>
        </is>
      </c>
      <c r="Q3" s="506" t="n"/>
      <c r="R3" s="507" t="n"/>
      <c r="S3" s="530" t="n"/>
      <c r="T3" s="530" t="n"/>
      <c r="U3" s="530" t="n"/>
      <c r="V3" s="530" t="n"/>
    </row>
    <row r="4">
      <c r="B4" s="727">
        <f>'_calc_Dane'!B5</f>
        <v/>
      </c>
      <c r="C4" s="775">
        <f>'_calc_Dane'!C5</f>
        <v/>
      </c>
      <c r="D4" s="775">
        <f>'_calc_Dane'!D5</f>
        <v/>
      </c>
      <c r="E4" s="776">
        <f>'_calc_Dane'!E5</f>
        <v/>
      </c>
      <c r="F4" s="35">
        <f>'_calc_Dane'!M5-'_calc_Dane'!M11</f>
        <v/>
      </c>
      <c r="G4" s="544">
        <f>'_calc_Dane'!N5-'_calc_Dane'!N11</f>
        <v/>
      </c>
      <c r="H4" s="545">
        <f>SQRT(F4^2+G4^2)</f>
        <v/>
      </c>
      <c r="I4" s="546">
        <f>IF(ATAN2(F4,G4)*200/PI()&lt;0,ATAN2(F4,G4)*200/PI()+400)</f>
        <v/>
      </c>
      <c r="J4" s="547">
        <f>SIN(I4*PI()/200)</f>
        <v/>
      </c>
      <c r="K4" s="543">
        <f>COS(I4*PI()/200)</f>
        <v/>
      </c>
      <c r="L4" s="544">
        <f>0.001+0.000001*E4</f>
        <v/>
      </c>
      <c r="M4" s="548">
        <f>H4-E4</f>
        <v/>
      </c>
      <c r="N4" s="548" t="n"/>
      <c r="O4" s="413" t="n"/>
      <c r="P4" s="549" t="inlineStr">
        <is>
          <t>NR</t>
        </is>
      </c>
      <c r="Q4" s="550" t="inlineStr">
        <is>
          <t>Xo</t>
        </is>
      </c>
      <c r="R4" s="550" t="inlineStr">
        <is>
          <t>Yo</t>
        </is>
      </c>
      <c r="S4" s="551" t="n"/>
      <c r="T4" s="551" t="n"/>
      <c r="U4" s="551" t="n"/>
      <c r="V4" s="551" t="n"/>
      <c r="W4" s="552" t="n"/>
    </row>
    <row r="5">
      <c r="B5" s="724">
        <f>'_calc_Dane'!B6</f>
        <v/>
      </c>
      <c r="C5" s="671">
        <f>'_calc_Dane'!C6</f>
        <v/>
      </c>
      <c r="D5" s="671">
        <f>'_calc_Dane'!D6</f>
        <v/>
      </c>
      <c r="E5" s="777">
        <f>'_calc_Dane'!E6</f>
        <v/>
      </c>
      <c r="F5" s="1">
        <f>'_calc_Dane'!M9-'_calc_Dane'!M11</f>
        <v/>
      </c>
      <c r="G5" s="544">
        <f>'_calc_Dane'!N9-'_calc_Dane'!N11</f>
        <v/>
      </c>
      <c r="H5" s="545">
        <f>SQRT(F5^2+G5^2)</f>
        <v/>
      </c>
      <c r="I5" s="546">
        <f>IF(ATAN2(F5,G5)*200/PI()&lt;0,ATAN2(F5,G5)*200/PI()+400,ATAN2(F5,G5)*200/PI())</f>
        <v/>
      </c>
      <c r="J5" s="547">
        <f>SIN(I5*PI()/200)</f>
        <v/>
      </c>
      <c r="K5" s="543">
        <f>COS(I5*PI()/200)</f>
        <v/>
      </c>
      <c r="L5" s="544">
        <f>0.001+0.000001*E5</f>
        <v/>
      </c>
      <c r="M5" s="548">
        <f>H5-E5</f>
        <v/>
      </c>
      <c r="N5" s="548" t="n"/>
      <c r="P5" s="549" t="n">
        <v>1</v>
      </c>
      <c r="Q5" s="550" t="n">
        <v>240</v>
      </c>
      <c r="R5" s="550" t="n">
        <v>120</v>
      </c>
      <c r="S5" s="551" t="n"/>
      <c r="T5" s="551" t="n"/>
      <c r="U5" s="551" t="n"/>
      <c r="V5" s="551" t="n"/>
      <c r="W5" s="552" t="n"/>
    </row>
    <row r="6">
      <c r="B6" s="724">
        <f>'_calc_Dane'!B7</f>
        <v/>
      </c>
      <c r="C6" s="671">
        <f>'_calc_Dane'!C7</f>
        <v/>
      </c>
      <c r="D6" s="671">
        <f>'_calc_Dane'!D7</f>
        <v/>
      </c>
      <c r="E6" s="777">
        <f>'_calc_Dane'!E7</f>
        <v/>
      </c>
      <c r="F6" s="1">
        <f>'_calc_Dane'!M10-'_calc_Dane'!M11</f>
        <v/>
      </c>
      <c r="G6" s="544">
        <f>'_calc_Dane'!N10-'_calc_Dane'!N11</f>
        <v/>
      </c>
      <c r="H6" s="545">
        <f>SQRT(F6^2+G6^2)</f>
        <v/>
      </c>
      <c r="I6" s="546">
        <f>IF(ATAN2(F6,G6)*200/PI()&lt;0,ATAN2(F6,G6)*200/PI()+400,ATAN2(F6,G6)*200/PI())</f>
        <v/>
      </c>
      <c r="J6" s="547">
        <f>SIN(I6*PI()/200)</f>
        <v/>
      </c>
      <c r="K6" s="543">
        <f>COS(I6*PI()/200)</f>
        <v/>
      </c>
      <c r="L6" s="544">
        <f>0.001+0.000001*E6</f>
        <v/>
      </c>
      <c r="M6" s="548">
        <f>H6-E6</f>
        <v/>
      </c>
      <c r="N6" s="548" t="n"/>
      <c r="P6" s="549" t="n">
        <v>2</v>
      </c>
      <c r="Q6" s="550" t="n">
        <v>385</v>
      </c>
      <c r="R6" s="550" t="n">
        <v>145</v>
      </c>
      <c r="S6" s="551" t="n"/>
      <c r="T6" s="551" t="n"/>
      <c r="U6" s="551" t="n"/>
      <c r="V6" s="551" t="n"/>
      <c r="W6" s="552" t="n"/>
    </row>
    <row r="7">
      <c r="B7" s="724">
        <f>'_calc_Dane'!B8</f>
        <v/>
      </c>
      <c r="C7" s="671">
        <f>'_calc_Dane'!C8</f>
        <v/>
      </c>
      <c r="D7" s="671">
        <f>'_calc_Dane'!D8</f>
        <v/>
      </c>
      <c r="E7" s="777">
        <f>'_calc_Dane'!E8</f>
        <v/>
      </c>
      <c r="F7" s="1">
        <f>'_calc_Dane'!M12-'_calc_Dane'!M11</f>
        <v/>
      </c>
      <c r="G7" s="544">
        <f>'_calc_Dane'!N12-'_calc_Dane'!N11</f>
        <v/>
      </c>
      <c r="H7" s="545">
        <f>SQRT(F7^2+G7^2)</f>
        <v/>
      </c>
      <c r="I7" s="546">
        <f>IF(ATAN2(F7,G7)*200/PI()&lt;0,ATAN2(F7,G7)*200/PI()+400)</f>
        <v/>
      </c>
      <c r="J7" s="547">
        <f>SIN(I7*PI()/200)</f>
        <v/>
      </c>
      <c r="K7" s="543">
        <f>COS(I7*PI()/200)</f>
        <v/>
      </c>
      <c r="L7" s="544">
        <f>0.001+0.000001*E7</f>
        <v/>
      </c>
      <c r="M7" s="548">
        <f>H7-E7</f>
        <v/>
      </c>
      <c r="N7" s="548" t="n"/>
      <c r="P7" s="549" t="n">
        <v>3</v>
      </c>
      <c r="Q7" s="550" t="n">
        <v>475</v>
      </c>
      <c r="R7" s="550" t="n">
        <v>245</v>
      </c>
      <c r="S7" s="551" t="n"/>
      <c r="T7" s="551" t="n"/>
      <c r="U7" s="551" t="n"/>
      <c r="V7" s="551" t="n"/>
      <c r="W7" s="552" t="n"/>
    </row>
    <row r="8">
      <c r="B8" s="724">
        <f>'_calc_Dane'!B9</f>
        <v/>
      </c>
      <c r="C8" s="671">
        <f>'_calc_Dane'!C9</f>
        <v/>
      </c>
      <c r="D8" s="671">
        <f>'_calc_Dane'!D9</f>
        <v/>
      </c>
      <c r="E8" s="777">
        <f>'_calc_Dane'!E9</f>
        <v/>
      </c>
      <c r="F8" s="1">
        <f>'_calc_Dane'!M13-'_calc_Dane'!M11</f>
        <v/>
      </c>
      <c r="G8" s="544">
        <f>'_calc_Dane'!N13-'_calc_Dane'!N11</f>
        <v/>
      </c>
      <c r="H8" s="545">
        <f>SQRT(F8^2+G8^2)</f>
        <v/>
      </c>
      <c r="I8" s="546">
        <f>IF(ATAN2(F8,G8)*200/PI()&lt;0,ATAN2(F8,G8)*200/PI()+400)</f>
        <v/>
      </c>
      <c r="J8" s="547">
        <f>SIN(I8*PI()/200)</f>
        <v/>
      </c>
      <c r="K8" s="543">
        <f>COS(I8*PI()/200)</f>
        <v/>
      </c>
      <c r="L8" s="544">
        <f>0.001+0.000001*E8</f>
        <v/>
      </c>
      <c r="M8" s="548">
        <f>H8-E8</f>
        <v/>
      </c>
      <c r="N8" s="548" t="n"/>
      <c r="P8" s="549" t="n">
        <v>4</v>
      </c>
      <c r="Q8" s="550" t="n">
        <v>435</v>
      </c>
      <c r="R8" s="550" t="n">
        <v>435</v>
      </c>
      <c r="S8" s="551" t="n"/>
      <c r="T8" s="551" t="n"/>
      <c r="U8" s="551" t="n"/>
      <c r="V8" s="551" t="n"/>
      <c r="W8" s="552" t="n"/>
    </row>
    <row r="9">
      <c r="B9" s="724">
        <f>'_calc_Dane'!B10</f>
        <v/>
      </c>
      <c r="C9" s="671">
        <f>'_calc_Dane'!C10</f>
        <v/>
      </c>
      <c r="D9" s="671">
        <f>'_calc_Dane'!D10</f>
        <v/>
      </c>
      <c r="E9" s="777">
        <f>'_calc_Dane'!E10</f>
        <v/>
      </c>
      <c r="F9" s="1">
        <f>'_calc_Dane'!M5-'_calc_Dane'!M12</f>
        <v/>
      </c>
      <c r="G9" s="544">
        <f>'_calc_Dane'!N5-'_calc_Dane'!N12</f>
        <v/>
      </c>
      <c r="H9" s="545">
        <f>SQRT(F9^2+G9^2)</f>
        <v/>
      </c>
      <c r="I9" s="546">
        <f>IF(ATAN2(F9,G9)*200/PI()&lt;0,ATAN2(F9,G9)*200/PI()+400)</f>
        <v/>
      </c>
      <c r="J9" s="547">
        <f>SIN(I9*PI()/200)</f>
        <v/>
      </c>
      <c r="K9" s="543">
        <f>COS(I9*PI()/200)</f>
        <v/>
      </c>
      <c r="L9" s="544">
        <f>0.001+0.000001*E9</f>
        <v/>
      </c>
      <c r="M9" s="548">
        <f>H9-E9</f>
        <v/>
      </c>
      <c r="N9" s="548" t="n"/>
      <c r="P9" s="549" t="n">
        <v>5</v>
      </c>
      <c r="Q9" s="550" t="n">
        <v>295</v>
      </c>
      <c r="R9" s="550" t="n">
        <v>490</v>
      </c>
      <c r="S9" s="551" t="n"/>
      <c r="T9" s="551" t="n"/>
      <c r="U9" s="551" t="n"/>
      <c r="V9" s="551" t="n"/>
      <c r="W9" s="552" t="n"/>
    </row>
    <row r="10">
      <c r="B10" s="724">
        <f>'_calc_Dane'!B11</f>
        <v/>
      </c>
      <c r="C10" s="671">
        <f>'_calc_Dane'!C11</f>
        <v/>
      </c>
      <c r="D10" s="671">
        <f>'_calc_Dane'!D11</f>
        <v/>
      </c>
      <c r="E10" s="777">
        <f>'_calc_Dane'!E11</f>
        <v/>
      </c>
      <c r="F10" s="1">
        <f>'_calc_Dane'!M13-'_calc_Dane'!M12</f>
        <v/>
      </c>
      <c r="G10" s="544">
        <f>'_calc_Dane'!N13-'_calc_Dane'!N12</f>
        <v/>
      </c>
      <c r="H10" s="545">
        <f>SQRT(F10^2+G10^2)</f>
        <v/>
      </c>
      <c r="I10" s="546">
        <f>IF(ATAN2(F10,G10)*200/PI()&lt;0,ATAN2(F10,G10)*200/PI()+400,ATAN2(F10,G10)*200/PI())</f>
        <v/>
      </c>
      <c r="J10" s="547">
        <f>SIN(I10*PI()/200)</f>
        <v/>
      </c>
      <c r="K10" s="543">
        <f>COS(I10*PI()/200)</f>
        <v/>
      </c>
      <c r="L10" s="544">
        <f>0.001+0.000001*E10</f>
        <v/>
      </c>
      <c r="M10" s="548">
        <f>H10-E10</f>
        <v/>
      </c>
      <c r="N10" s="548" t="n"/>
      <c r="P10" s="549" t="n">
        <v>6</v>
      </c>
      <c r="Q10" s="550" t="n">
        <v>145</v>
      </c>
      <c r="R10" s="550" t="n">
        <v>560</v>
      </c>
      <c r="S10" s="551" t="n"/>
      <c r="T10" s="551" t="n"/>
      <c r="U10" s="551" t="n"/>
      <c r="V10" s="551" t="n"/>
      <c r="W10" s="552" t="n"/>
    </row>
    <row r="11">
      <c r="B11" s="724">
        <f>'_calc_Dane'!B12</f>
        <v/>
      </c>
      <c r="C11" s="671">
        <f>'_calc_Dane'!C12</f>
        <v/>
      </c>
      <c r="D11" s="671">
        <f>'_calc_Dane'!D12</f>
        <v/>
      </c>
      <c r="E11" s="777">
        <f>'_calc_Dane'!E12</f>
        <v/>
      </c>
      <c r="F11" s="1">
        <f>'_calc_Dane'!M11-'_calc_Dane'!M12</f>
        <v/>
      </c>
      <c r="G11" s="544">
        <f>'_calc_Dane'!N11-'_calc_Dane'!N12</f>
        <v/>
      </c>
      <c r="H11" s="545">
        <f>SQRT(F11^2+G11^2)</f>
        <v/>
      </c>
      <c r="I11" s="546">
        <f>IF(ATAN2(F11,G11)*200/PI()&lt;0,ATAN2(F11,G11)*200/PI()+400,ATAN2(F11,G11)*200/PI())</f>
        <v/>
      </c>
      <c r="J11" s="547">
        <f>SIN(I11*PI()/200)</f>
        <v/>
      </c>
      <c r="K11" s="543">
        <f>COS(I11*PI()/200)</f>
        <v/>
      </c>
      <c r="L11" s="544">
        <f>0.001+0.000001*E11</f>
        <v/>
      </c>
      <c r="M11" s="548">
        <f>H11-E11</f>
        <v/>
      </c>
      <c r="N11" s="548" t="n"/>
      <c r="P11" s="549" t="n">
        <v>7</v>
      </c>
      <c r="Q11" s="550" t="n">
        <v>180</v>
      </c>
      <c r="R11" s="550" t="n">
        <v>385</v>
      </c>
      <c r="S11" s="551" t="n"/>
      <c r="T11" s="551" t="n"/>
      <c r="U11" s="551" t="n"/>
      <c r="V11" s="551" t="n"/>
      <c r="W11" s="552" t="n"/>
    </row>
    <row r="12">
      <c r="B12" s="724">
        <f>'_calc_Dane'!B13</f>
        <v/>
      </c>
      <c r="C12" s="671">
        <f>'_calc_Dane'!C13</f>
        <v/>
      </c>
      <c r="D12" s="671">
        <f>'_calc_Dane'!D13</f>
        <v/>
      </c>
      <c r="E12" s="777">
        <f>'_calc_Dane'!E13</f>
        <v/>
      </c>
      <c r="F12" s="1">
        <f>'_calc_Dane'!M10-'_calc_Dane'!M12</f>
        <v/>
      </c>
      <c r="G12" s="544">
        <f>'_calc_Dane'!N10-'_calc_Dane'!N12</f>
        <v/>
      </c>
      <c r="H12" s="545">
        <f>SQRT(F12^2+G12^2)</f>
        <v/>
      </c>
      <c r="I12" s="546">
        <f>IF(ATAN2(F12,G12)*200/PI()&lt;0,ATAN2(F12,G12)*200/PI()+400,ATAN2(F12,G12)*200/PI())</f>
        <v/>
      </c>
      <c r="J12" s="547">
        <f>SIN(I12*PI()/200)</f>
        <v/>
      </c>
      <c r="K12" s="543">
        <f>COS(I12*PI()/200)</f>
        <v/>
      </c>
      <c r="L12" s="544">
        <f>0.001+0.000001*E12</f>
        <v/>
      </c>
      <c r="M12" s="548">
        <f>H12-E12</f>
        <v/>
      </c>
      <c r="N12" s="548" t="n"/>
      <c r="P12" s="549" t="n">
        <v>8</v>
      </c>
      <c r="Q12" s="550" t="n">
        <v>150</v>
      </c>
      <c r="R12" s="550" t="n">
        <v>240</v>
      </c>
      <c r="S12" s="551" t="n"/>
      <c r="T12" s="551" t="n"/>
      <c r="U12" s="551" t="n"/>
      <c r="V12" s="551" t="n"/>
      <c r="W12" s="552" t="n"/>
    </row>
    <row r="13">
      <c r="B13" s="724">
        <f>'_calc_Dane'!B14</f>
        <v/>
      </c>
      <c r="C13" s="671">
        <f>'_calc_Dane'!C14</f>
        <v/>
      </c>
      <c r="D13" s="671">
        <f>'_calc_Dane'!D14</f>
        <v/>
      </c>
      <c r="E13" s="777">
        <f>'_calc_Dane'!E14</f>
        <v/>
      </c>
      <c r="F13" s="1">
        <f>'_calc_Dane'!M7-'_calc_Dane'!M5</f>
        <v/>
      </c>
      <c r="G13" s="544">
        <f>'_calc_Dane'!N7-'_calc_Dane'!N5</f>
        <v/>
      </c>
      <c r="H13" s="545">
        <f>SQRT(F13^2+G13^2)</f>
        <v/>
      </c>
      <c r="I13" s="546">
        <f>IF(ATAN2(F13,G13)*200/PI()&lt;0,ATAN2(F13,G13)*200/PI()+400,ATAN2(F13,G13)*200/PI())</f>
        <v/>
      </c>
      <c r="J13" s="547">
        <f>SIN(I13*PI()/200)</f>
        <v/>
      </c>
      <c r="K13" s="543">
        <f>COS(I13*PI()/200)</f>
        <v/>
      </c>
      <c r="L13" s="544">
        <f>0.001+0.000001*E13</f>
        <v/>
      </c>
      <c r="M13" s="548">
        <f>H13-E13</f>
        <v/>
      </c>
      <c r="N13" s="548" t="n"/>
      <c r="P13" s="13" t="n">
        <v>9</v>
      </c>
      <c r="Q13" s="14" t="n">
        <v>314</v>
      </c>
      <c r="R13" s="15" t="n">
        <v>271</v>
      </c>
    </row>
    <row r="14" ht="17.1" customHeight="1">
      <c r="B14" s="724">
        <f>'_calc_Dane'!B15</f>
        <v/>
      </c>
      <c r="C14" s="671">
        <f>'_calc_Dane'!C15</f>
        <v/>
      </c>
      <c r="D14" s="671">
        <f>'_calc_Dane'!D15</f>
        <v/>
      </c>
      <c r="E14" s="777">
        <f>'_calc_Dane'!E15</f>
        <v/>
      </c>
      <c r="F14" s="1">
        <f>'_calc_Dane'!M13-'_calc_Dane'!M5</f>
        <v/>
      </c>
      <c r="G14" s="544">
        <f>'_calc_Dane'!N13-'_calc_Dane'!N5</f>
        <v/>
      </c>
      <c r="H14" s="545">
        <f>SQRT(F14^2+G14^2)</f>
        <v/>
      </c>
      <c r="I14" s="546">
        <f>IF(ATAN2(F14,G14)*200/PI()&lt;0,ATAN2(F14,G14)*200/PI()+400,ATAN2(F14,G14)*200/PI())</f>
        <v/>
      </c>
      <c r="J14" s="547">
        <f>SIN(I14*PI()/200)</f>
        <v/>
      </c>
      <c r="K14" s="543">
        <f>COS(I14*PI()/200)</f>
        <v/>
      </c>
      <c r="L14" s="544">
        <f>0.001+0.000001*E14</f>
        <v/>
      </c>
      <c r="M14" s="548">
        <f>H14-E14</f>
        <v/>
      </c>
      <c r="N14" s="548" t="n"/>
      <c r="P14" s="554" t="n"/>
      <c r="Q14" s="555" t="n"/>
      <c r="T14" s="556" t="n"/>
      <c r="U14" s="503" t="n"/>
      <c r="V14" s="778" t="n"/>
      <c r="W14" s="558" t="n"/>
    </row>
    <row r="15" ht="17.1" customHeight="1">
      <c r="B15" s="724">
        <f>'_calc_Dane'!B16</f>
        <v/>
      </c>
      <c r="C15" s="671">
        <f>'_calc_Dane'!C16</f>
        <v/>
      </c>
      <c r="D15" s="671">
        <f>'_calc_Dane'!D16</f>
        <v/>
      </c>
      <c r="E15" s="777">
        <f>'_calc_Dane'!E16</f>
        <v/>
      </c>
      <c r="F15" s="1">
        <f>'_calc_Dane'!M11-'_calc_Dane'!M5</f>
        <v/>
      </c>
      <c r="G15" s="544">
        <f>'_calc_Dane'!N11-'_calc_Dane'!N5</f>
        <v/>
      </c>
      <c r="H15" s="545">
        <f>SQRT(F15^2+G15^2)</f>
        <v/>
      </c>
      <c r="I15" s="546">
        <f>IF(ATAN2(F15,G15)*200/PI()&lt;0,ATAN2(F15,G15)*200/PI()+400,ATAN2(F15,G15)*200/PI())</f>
        <v/>
      </c>
      <c r="J15" s="547">
        <f>SIN(I15*PI()/200)</f>
        <v/>
      </c>
      <c r="K15" s="543">
        <f>COS(I15*PI()/200)</f>
        <v/>
      </c>
      <c r="L15" s="544">
        <f>0.001+0.000001*E15</f>
        <v/>
      </c>
      <c r="M15" s="548">
        <f>H15-E15</f>
        <v/>
      </c>
      <c r="N15" s="548" t="n"/>
      <c r="P15" s="559" t="n"/>
      <c r="Q15" s="560" t="n"/>
      <c r="R15" s="561" t="n"/>
      <c r="T15" s="556" t="n"/>
      <c r="U15" s="503" t="n"/>
      <c r="V15" s="559" t="n"/>
      <c r="W15" s="550" t="n"/>
    </row>
    <row r="16" ht="17.1" customHeight="1">
      <c r="B16" s="724">
        <f>'_calc_Dane'!B17</f>
        <v/>
      </c>
      <c r="C16" s="671">
        <f>'_calc_Dane'!C17</f>
        <v/>
      </c>
      <c r="D16" s="671">
        <f>'_calc_Dane'!D17</f>
        <v/>
      </c>
      <c r="E16" s="777">
        <f>'_calc_Dane'!E17</f>
        <v/>
      </c>
      <c r="F16" s="1">
        <f>'_calc_Dane'!M9-'_calc_Dane'!M7</f>
        <v/>
      </c>
      <c r="G16" s="544">
        <f>'_calc_Dane'!N9-'_calc_Dane'!N7</f>
        <v/>
      </c>
      <c r="H16" s="545">
        <f>SQRT(F16^2+G16^2)</f>
        <v/>
      </c>
      <c r="I16" s="546">
        <f>IF(ATAN2(F16,G16)*200/PI()&lt;0,ATAN2(F16,G16)*200/PI()+400,ATAN2(F16,G16)*200/PI())</f>
        <v/>
      </c>
      <c r="J16" s="547">
        <f>SIN(I16*PI()/200)</f>
        <v/>
      </c>
      <c r="K16" s="543">
        <f>COS(I16*PI()/200)</f>
        <v/>
      </c>
      <c r="L16" s="544">
        <f>0.001+0.000001*E16</f>
        <v/>
      </c>
      <c r="M16" s="548">
        <f>H16-E16</f>
        <v/>
      </c>
      <c r="N16" s="548" t="n"/>
      <c r="P16" s="559" t="n"/>
      <c r="Q16" s="563" t="n"/>
      <c r="R16" s="564" t="n"/>
      <c r="T16" s="556" t="n"/>
      <c r="U16" s="492" t="n"/>
      <c r="V16" s="501" t="n"/>
    </row>
    <row r="17">
      <c r="B17" s="724">
        <f>'_calc_Dane'!B18</f>
        <v/>
      </c>
      <c r="C17" s="671">
        <f>'_calc_Dane'!C18</f>
        <v/>
      </c>
      <c r="D17" s="671">
        <f>'_calc_Dane'!D18</f>
        <v/>
      </c>
      <c r="E17" s="777">
        <f>'_calc_Dane'!E18</f>
        <v/>
      </c>
      <c r="F17" s="1">
        <f>'_calc_Dane'!M13-'_calc_Dane'!M7</f>
        <v/>
      </c>
      <c r="G17" s="544">
        <f>'_calc_Dane'!N13-'_calc_Dane'!N7</f>
        <v/>
      </c>
      <c r="H17" s="545">
        <f>SQRT(F17^2+G17^2)</f>
        <v/>
      </c>
      <c r="I17" s="546">
        <f>IF(ATAN2(F17,G17)*200/PI()&lt;0,ATAN2(F17,G17)*200/PI()+400,ATAN2(F17,G17)*200/PI())</f>
        <v/>
      </c>
      <c r="J17" s="547">
        <f>SIN(I17*PI()/200)</f>
        <v/>
      </c>
      <c r="K17" s="543">
        <f>COS(I17*PI()/200)</f>
        <v/>
      </c>
      <c r="L17" s="544">
        <f>0.001+0.000001*E17</f>
        <v/>
      </c>
      <c r="M17" s="548">
        <f>H17-E17</f>
        <v/>
      </c>
      <c r="N17" s="548" t="n"/>
      <c r="P17" s="501" t="n"/>
      <c r="Q17" s="501" t="n"/>
      <c r="R17" s="501" t="n"/>
    </row>
    <row r="18">
      <c r="B18" s="724">
        <f>'_calc_Dane'!B19</f>
        <v/>
      </c>
      <c r="C18" s="671">
        <f>'_calc_Dane'!C19</f>
        <v/>
      </c>
      <c r="D18" s="671">
        <f>'_calc_Dane'!D19</f>
        <v/>
      </c>
      <c r="E18" s="777">
        <f>'_calc_Dane'!E19</f>
        <v/>
      </c>
      <c r="F18" s="1">
        <f>'_calc_Dane'!M8-'_calc_Dane'!M7</f>
        <v/>
      </c>
      <c r="G18" s="544">
        <f>'_calc_Dane'!N8-'_calc_Dane'!N7</f>
        <v/>
      </c>
      <c r="H18" s="545">
        <f>SQRT(F18^2+G18^2)</f>
        <v/>
      </c>
      <c r="I18" s="546">
        <f>IF(ATAN2(F18,G18)*200/PI()&lt;0,ATAN2(F18,G18)*200/PI()+400,ATAN2(F18,G18)*200/PI())</f>
        <v/>
      </c>
      <c r="J18" s="547">
        <f>SIN(I18*PI()/200)</f>
        <v/>
      </c>
      <c r="K18" s="543">
        <f>COS(I18*PI()/200)</f>
        <v/>
      </c>
      <c r="L18" s="544">
        <f>0.001+0.000001*E18</f>
        <v/>
      </c>
      <c r="M18" s="548">
        <f>H18-E18</f>
        <v/>
      </c>
      <c r="N18" s="548" t="n"/>
      <c r="P18" s="565" t="n"/>
      <c r="Q18" s="502" t="n"/>
      <c r="R18" s="501" t="n"/>
    </row>
    <row r="19">
      <c r="B19" s="724">
        <f>'_calc_Dane'!B20</f>
        <v/>
      </c>
      <c r="C19" s="671">
        <f>'_calc_Dane'!C20</f>
        <v/>
      </c>
      <c r="D19" s="671">
        <f>'_calc_Dane'!D20</f>
        <v/>
      </c>
      <c r="E19" s="777">
        <f>'_calc_Dane'!E20</f>
        <v/>
      </c>
      <c r="F19" s="1">
        <f>'_calc_Dane'!M9-'_calc_Dane'!M8</f>
        <v/>
      </c>
      <c r="G19" s="544">
        <f>'_calc_Dane'!N9-'_calc_Dane'!N8</f>
        <v/>
      </c>
      <c r="H19" s="545">
        <f>SQRT(F19^2+G19^2)</f>
        <v/>
      </c>
      <c r="I19" s="546">
        <f>IF(ATAN2(F19,G19)*200/PI()&lt;0,ATAN2(F19,G19)*200/PI()+400,ATAN2(F19,G19)*200/PI())</f>
        <v/>
      </c>
      <c r="J19" s="547">
        <f>SIN(I19*PI()/200)</f>
        <v/>
      </c>
      <c r="K19" s="543">
        <f>COS(I19*PI()/200)</f>
        <v/>
      </c>
      <c r="L19" s="544">
        <f>0.001+0.000001*E19</f>
        <v/>
      </c>
      <c r="M19" s="548">
        <f>H19-E19</f>
        <v/>
      </c>
      <c r="N19" s="548" t="n"/>
      <c r="P19" s="501" t="n"/>
      <c r="Q19" s="501" t="n"/>
      <c r="R19" s="501" t="n"/>
    </row>
    <row r="20">
      <c r="B20" s="724">
        <f>'_calc_Dane'!B21</f>
        <v/>
      </c>
      <c r="C20" s="671">
        <f>'_calc_Dane'!C21</f>
        <v/>
      </c>
      <c r="D20" s="671">
        <f>'_calc_Dane'!D21</f>
        <v/>
      </c>
      <c r="E20" s="777">
        <f>'_calc_Dane'!E21</f>
        <v/>
      </c>
      <c r="F20" s="1">
        <f>'_calc_Dane'!M11-'_calc_Dane'!M8</f>
        <v/>
      </c>
      <c r="G20" s="544">
        <f>'_calc_Dane'!N11-'_calc_Dane'!N8</f>
        <v/>
      </c>
      <c r="H20" s="545">
        <f>SQRT(F20^2+G20^2)</f>
        <v/>
      </c>
      <c r="I20" s="546">
        <f>IF(ATAN2(F20,G20)*200/PI()&lt;0,ATAN2(F20,G20)*200/PI()+400)</f>
        <v/>
      </c>
      <c r="J20" s="547">
        <f>SIN(I20*PI()/200)</f>
        <v/>
      </c>
      <c r="K20" s="543">
        <f>COS(I20*PI()/200)</f>
        <v/>
      </c>
      <c r="L20" s="544">
        <f>0.001+0.000001*E20</f>
        <v/>
      </c>
      <c r="M20" s="548">
        <f>H20-E20</f>
        <v/>
      </c>
      <c r="N20" s="548" t="n"/>
    </row>
    <row r="21">
      <c r="B21" s="724">
        <f>'_calc_Dane'!B22</f>
        <v/>
      </c>
      <c r="C21" s="671">
        <f>'_calc_Dane'!C22</f>
        <v/>
      </c>
      <c r="D21" s="671">
        <f>'_calc_Dane'!D22</f>
        <v/>
      </c>
      <c r="E21" s="777">
        <f>'_calc_Dane'!E22</f>
        <v/>
      </c>
      <c r="F21" s="1">
        <f>'_calc_Dane'!M13-'_calc_Dane'!M8</f>
        <v/>
      </c>
      <c r="G21" s="544">
        <f>'_calc_Dane'!N13-'_calc_Dane'!N8</f>
        <v/>
      </c>
      <c r="H21" s="545">
        <f>SQRT(F21^2+G21^2)</f>
        <v/>
      </c>
      <c r="I21" s="546">
        <f>IF(ATAN2(F21,G21)*200/PI()&lt;0,ATAN2(F21,G21)*200/PI()+400)</f>
        <v/>
      </c>
      <c r="J21" s="547">
        <f>SIN(I21*PI()/200)</f>
        <v/>
      </c>
      <c r="K21" s="543">
        <f>COS(I21*PI()/200)</f>
        <v/>
      </c>
      <c r="L21" s="544">
        <f>0.001+0.000001*E21</f>
        <v/>
      </c>
      <c r="M21" s="548">
        <f>H21-E21</f>
        <v/>
      </c>
      <c r="N21" s="548" t="n"/>
    </row>
    <row r="22">
      <c r="B22" s="724">
        <f>'_calc_Dane'!B23</f>
        <v/>
      </c>
      <c r="C22" s="671">
        <f>'_calc_Dane'!C23</f>
        <v/>
      </c>
      <c r="D22" s="671">
        <f>'_calc_Dane'!D23</f>
        <v/>
      </c>
      <c r="E22" s="777">
        <f>'_calc_Dane'!E23</f>
        <v/>
      </c>
      <c r="F22" s="1">
        <f>'_calc_Dane'!M13-'_calc_Dane'!M10</f>
        <v/>
      </c>
      <c r="G22" s="544">
        <f>'_calc_Dane'!N13-'_calc_Dane'!N10</f>
        <v/>
      </c>
      <c r="H22" s="545">
        <f>SQRT(F22^2+G22^2)</f>
        <v/>
      </c>
      <c r="I22" s="546">
        <f>IF(ATAN2(F22,G22)*200/PI()&lt;0,ATAN2(F22,G22)*200/PI()+400)</f>
        <v/>
      </c>
      <c r="J22" s="547">
        <f>SIN(I22*PI()/200)</f>
        <v/>
      </c>
      <c r="K22" s="543">
        <f>COS(I22*PI()/200)</f>
        <v/>
      </c>
      <c r="L22" s="544">
        <f>0.001+0.000001*E22</f>
        <v/>
      </c>
      <c r="M22" s="548">
        <f>H22-E22</f>
        <v/>
      </c>
      <c r="N22" s="548" t="n"/>
    </row>
    <row r="23">
      <c r="B23" s="728">
        <f>'_calc_Dane'!B24</f>
        <v/>
      </c>
      <c r="C23" s="779">
        <f>'_calc_Dane'!C24</f>
        <v/>
      </c>
      <c r="D23" s="779">
        <f>'_calc_Dane'!D24</f>
        <v/>
      </c>
      <c r="E23" s="780">
        <f>'_calc_Dane'!E24</f>
        <v/>
      </c>
      <c r="F23" s="590">
        <f>'_calc_Dane'!M9-'_calc_Dane'!M10</f>
        <v/>
      </c>
      <c r="G23" s="568">
        <f>'_calc_Dane'!N9-'_calc_Dane'!N10</f>
        <v/>
      </c>
      <c r="H23" s="569">
        <f>SQRT(F23^2+G23^2)</f>
        <v/>
      </c>
      <c r="I23" s="570">
        <f>IF(ATAN2(F23,G23)*200/PI()&lt;0,ATAN2(F23,G23)*200/PI()+400)</f>
        <v/>
      </c>
      <c r="J23" s="571">
        <f>SIN(I23*PI()/200)</f>
        <v/>
      </c>
      <c r="K23" s="567">
        <f>COS(I23*PI()/200)</f>
        <v/>
      </c>
      <c r="L23" s="568">
        <f>0.001+0.000001*E23</f>
        <v/>
      </c>
      <c r="M23" s="572">
        <f>H23-E23</f>
        <v/>
      </c>
      <c r="N23" s="572" t="n"/>
    </row>
    <row r="24" ht="15.95" customHeight="1">
      <c r="B24" s="781" t="n"/>
      <c r="C24" s="609" t="n"/>
      <c r="D24" s="609" t="n"/>
      <c r="E24" s="782" t="n"/>
      <c r="F24" s="534" t="n"/>
      <c r="G24" s="536" t="n"/>
      <c r="H24" s="574" t="n"/>
      <c r="I24" s="575" t="n"/>
      <c r="J24" s="530" t="n"/>
      <c r="K24" s="530" t="n"/>
      <c r="L24" s="576" t="n"/>
      <c r="M24" s="577" t="n"/>
      <c r="N24" s="578" t="n"/>
      <c r="O24" s="538" t="n"/>
      <c r="P24" s="539" t="n"/>
      <c r="Q24" s="539" t="n"/>
      <c r="R24" s="537" t="n"/>
      <c r="S24" s="539" t="n"/>
      <c r="T24" s="579" t="n"/>
      <c r="U24" s="534" t="n"/>
      <c r="V24" s="536" t="n"/>
      <c r="W24" s="534" t="n"/>
      <c r="X24" s="536" t="n"/>
      <c r="Y24" s="538" t="n"/>
      <c r="Z24" s="537" t="n"/>
      <c r="AA24" s="538" t="n"/>
    </row>
    <row r="25" ht="18" customHeight="1">
      <c r="B25" s="727" t="inlineStr">
        <is>
          <t>c</t>
        </is>
      </c>
      <c r="C25" s="775" t="inlineStr">
        <is>
          <t>l</t>
        </is>
      </c>
      <c r="D25" s="775" t="inlineStr">
        <is>
          <t>p</t>
        </is>
      </c>
      <c r="E25" s="776" t="inlineStr">
        <is>
          <t>b obs [g]</t>
        </is>
      </c>
      <c r="F25" s="581" t="inlineStr">
        <is>
          <t>∆xcl</t>
        </is>
      </c>
      <c r="G25" s="581" t="inlineStr">
        <is>
          <t>∆ycl</t>
        </is>
      </c>
      <c r="H25" s="580" t="inlineStr">
        <is>
          <t>∆xcp</t>
        </is>
      </c>
      <c r="I25" s="555" t="inlineStr">
        <is>
          <t>∆ycp</t>
        </is>
      </c>
      <c r="J25" s="547" t="inlineStr">
        <is>
          <t>d²cl</t>
        </is>
      </c>
      <c r="K25" s="547" t="inlineStr">
        <is>
          <t>d²cp</t>
        </is>
      </c>
      <c r="L25" s="582" t="inlineStr">
        <is>
          <t>Az cl [g]</t>
        </is>
      </c>
      <c r="M25" s="582" t="inlineStr">
        <is>
          <t>Az cp [g]</t>
        </is>
      </c>
      <c r="N25" s="583" t="inlineStr">
        <is>
          <t>b przyb [g]</t>
        </is>
      </c>
      <c r="O25" s="584" t="inlineStr">
        <is>
          <t>Błąd [cc]</t>
        </is>
      </c>
      <c r="P25" s="585" t="inlineStr">
        <is>
          <t>l [g]</t>
        </is>
      </c>
      <c r="Q25" s="580" t="inlineStr">
        <is>
          <t>Al.</t>
        </is>
      </c>
      <c r="R25" s="555" t="inlineStr">
        <is>
          <t>Bl</t>
        </is>
      </c>
      <c r="S25" s="580" t="inlineStr">
        <is>
          <t>Ap</t>
        </is>
      </c>
      <c r="T25" s="581" t="inlineStr">
        <is>
          <t>Bp</t>
        </is>
      </c>
      <c r="U25" s="543" t="n"/>
      <c r="V25" s="544" t="n"/>
      <c r="W25" s="543" t="n"/>
      <c r="X25" s="544" t="n"/>
      <c r="Y25" s="546" t="n"/>
      <c r="Z25" s="586" t="n"/>
      <c r="AA25" s="548" t="n"/>
    </row>
    <row r="26">
      <c r="B26" s="724">
        <f>'_calc_Dane'!B25</f>
        <v/>
      </c>
      <c r="C26" s="671">
        <f>'_calc_Dane'!C25</f>
        <v/>
      </c>
      <c r="D26" s="671">
        <f>'_calc_Dane'!D25</f>
        <v/>
      </c>
      <c r="E26" s="777">
        <f>'_calc_Dane'!E25</f>
        <v/>
      </c>
      <c r="F26" s="35">
        <f>'_calc_Dane'!M5-'_calc_Dane'!M13</f>
        <v/>
      </c>
      <c r="G26" s="35">
        <f>'_calc_Dane'!N5-'_calc_Dane'!N13</f>
        <v/>
      </c>
      <c r="H26" s="543">
        <f>'_calc_Dane'!M7-'_calc_Dane'!M13</f>
        <v/>
      </c>
      <c r="I26" s="544">
        <f>'_calc_Dane'!N7-'_calc_Dane'!N13</f>
        <v/>
      </c>
      <c r="J26" s="547">
        <f>F26^2+G26^2</f>
        <v/>
      </c>
      <c r="K26" s="547">
        <f>H26^2+I26^2</f>
        <v/>
      </c>
      <c r="L26" s="546">
        <f>IF(ATAN2(F26,G26)*200/PI()&lt;0,ATAN2(F26,G26)*200/PI()+400,ATAN2(F26,G26)*200/PI())</f>
        <v/>
      </c>
      <c r="M26" s="546">
        <f>IF(ATAN2(H26,I26)*200/PI()&lt;0,ATAN2(H26,I26)*200/PI()+400,ATAN2(H26,I26)*200/PI())</f>
        <v/>
      </c>
      <c r="N26" s="548">
        <f>IF(M26-L26&lt;0,M26-L26+400,M26-L26)</f>
        <v/>
      </c>
      <c r="O26" s="587">
        <f>'_calc_Dane'!$M$15</f>
        <v/>
      </c>
      <c r="P26" s="588">
        <f>N26-E26</f>
        <v/>
      </c>
      <c r="Q26" s="543">
        <f>F26/J26*2000000/PI()</f>
        <v/>
      </c>
      <c r="R26" s="544">
        <f>G26/J26*2000000/PI()</f>
        <v/>
      </c>
      <c r="S26" s="543">
        <f>H26/K26*2000000/PI()</f>
        <v/>
      </c>
      <c r="T26" s="61">
        <f>I26/K26*2000000/PI()</f>
        <v/>
      </c>
      <c r="U26" s="543" t="n"/>
      <c r="V26" s="544" t="n"/>
      <c r="W26" s="543" t="n"/>
      <c r="X26" s="544" t="n"/>
      <c r="Y26" s="546" t="n"/>
      <c r="Z26" s="586" t="n"/>
      <c r="AA26" s="548" t="n"/>
    </row>
    <row r="27">
      <c r="B27" s="724">
        <f>'_calc_Dane'!B26</f>
        <v/>
      </c>
      <c r="C27" s="671">
        <f>'_calc_Dane'!C26</f>
        <v/>
      </c>
      <c r="D27" s="671">
        <f>'_calc_Dane'!D26</f>
        <v/>
      </c>
      <c r="E27" s="777">
        <f>'_calc_Dane'!E26</f>
        <v/>
      </c>
      <c r="F27" s="1">
        <f>'_calc_Dane'!M7-'_calc_Dane'!M13</f>
        <v/>
      </c>
      <c r="G27" s="1">
        <f>'_calc_Dane'!N7-'_calc_Dane'!N13</f>
        <v/>
      </c>
      <c r="H27" s="543">
        <f>'_calc_Dane'!M8-'_calc_Dane'!M13</f>
        <v/>
      </c>
      <c r="I27" s="544">
        <f>'_calc_Dane'!N8-'_calc_Dane'!N13</f>
        <v/>
      </c>
      <c r="J27" s="547">
        <f>F27^2+G27^2</f>
        <v/>
      </c>
      <c r="K27" s="547">
        <f>H27^2+I27^2</f>
        <v/>
      </c>
      <c r="L27" s="546">
        <f>IF(ATAN2(F27,G27)*200/PI()&lt;0,ATAN2(F27,G27)*200/PI()+400,ATAN2(F27,G27)*200/PI())</f>
        <v/>
      </c>
      <c r="M27" s="546">
        <f>IF(ATAN2(H27,I27)*200/PI()&lt;0,ATAN2(H27,I27)*200/PI()+400,ATAN2(H27,I27)*200/PI())</f>
        <v/>
      </c>
      <c r="N27" s="548">
        <f>IF(M27-L27&lt;0,M27-L27+400,M27-L27)</f>
        <v/>
      </c>
      <c r="O27" s="587">
        <f>'_calc_Dane'!$M$15</f>
        <v/>
      </c>
      <c r="P27" s="588">
        <f>N27-E27</f>
        <v/>
      </c>
      <c r="Q27" s="543">
        <f>F27/J27*2000000/PI()</f>
        <v/>
      </c>
      <c r="R27" s="544">
        <f>G27/J27*2000000/PI()</f>
        <v/>
      </c>
      <c r="S27" s="543">
        <f>H27/K27*2000000/PI()</f>
        <v/>
      </c>
      <c r="T27" s="12">
        <f>I27/K27*2000000/PI()</f>
        <v/>
      </c>
      <c r="U27" s="543" t="n"/>
      <c r="V27" s="544" t="n"/>
      <c r="W27" s="543" t="n"/>
      <c r="X27" s="544" t="n"/>
      <c r="Y27" s="546" t="n"/>
      <c r="Z27" s="586" t="n"/>
      <c r="AA27" s="548" t="n"/>
    </row>
    <row r="28">
      <c r="B28" s="724">
        <f>'_calc_Dane'!B27</f>
        <v/>
      </c>
      <c r="C28" s="671">
        <f>'_calc_Dane'!C27</f>
        <v/>
      </c>
      <c r="D28" s="671">
        <f>'_calc_Dane'!D27</f>
        <v/>
      </c>
      <c r="E28" s="777">
        <f>'_calc_Dane'!E27</f>
        <v/>
      </c>
      <c r="F28" s="1">
        <f>'_calc_Dane'!M8-'_calc_Dane'!M13</f>
        <v/>
      </c>
      <c r="G28" s="1">
        <f>'_calc_Dane'!N8-'_calc_Dane'!N13</f>
        <v/>
      </c>
      <c r="H28" s="543">
        <f>'_calc_Dane'!M9-'_calc_Dane'!M13</f>
        <v/>
      </c>
      <c r="I28" s="544">
        <f>'_calc_Dane'!N9-'_calc_Dane'!N13</f>
        <v/>
      </c>
      <c r="J28" s="547">
        <f>F28^2+G28^2</f>
        <v/>
      </c>
      <c r="K28" s="547">
        <f>H28^2+I28^2</f>
        <v/>
      </c>
      <c r="L28" s="546">
        <f>IF(ATAN2(F28,G28)*200/PI()&lt;0,ATAN2(F28,G28)*200/PI()+400,ATAN2(F28,G28)*200/PI())</f>
        <v/>
      </c>
      <c r="M28" s="546">
        <f>IF(ATAN2(H28,I28)*200/PI()&lt;0,ATAN2(H28,I28)*200/PI()+400,ATAN2(H28,I28)*200/PI())</f>
        <v/>
      </c>
      <c r="N28" s="548">
        <f>IF(M28-L28&lt;0,M28-L28+400,M28-L28)</f>
        <v/>
      </c>
      <c r="O28" s="587">
        <f>'_calc_Dane'!$M$15</f>
        <v/>
      </c>
      <c r="P28" s="588">
        <f>N28-E28</f>
        <v/>
      </c>
      <c r="Q28" s="543">
        <f>F28/J28*2000000/PI()</f>
        <v/>
      </c>
      <c r="R28" s="544">
        <f>G28/J28*2000000/PI()</f>
        <v/>
      </c>
      <c r="S28" s="543">
        <f>H28/K28*2000000/PI()</f>
        <v/>
      </c>
      <c r="T28" s="12">
        <f>I28/K28*2000000/PI()</f>
        <v/>
      </c>
      <c r="U28" s="543" t="n"/>
      <c r="V28" s="544" t="n"/>
      <c r="W28" s="543" t="n"/>
      <c r="X28" s="544" t="n"/>
      <c r="Y28" s="546" t="n"/>
      <c r="Z28" s="586" t="n"/>
      <c r="AA28" s="548" t="n"/>
    </row>
    <row r="29">
      <c r="B29" s="724">
        <f>'_calc_Dane'!B28</f>
        <v/>
      </c>
      <c r="C29" s="671">
        <f>'_calc_Dane'!C28</f>
        <v/>
      </c>
      <c r="D29" s="671">
        <f>'_calc_Dane'!D28</f>
        <v/>
      </c>
      <c r="E29" s="777">
        <f>'_calc_Dane'!E28</f>
        <v/>
      </c>
      <c r="F29" s="1">
        <f>'_calc_Dane'!M9-'_calc_Dane'!M13</f>
        <v/>
      </c>
      <c r="G29" s="1">
        <f>'_calc_Dane'!N9-'_calc_Dane'!N13</f>
        <v/>
      </c>
      <c r="H29" s="543">
        <f>'_calc_Dane'!M11-'_calc_Dane'!M13</f>
        <v/>
      </c>
      <c r="I29" s="544">
        <f>'_calc_Dane'!N11-'_calc_Dane'!N13</f>
        <v/>
      </c>
      <c r="J29" s="547">
        <f>F29^2+G29^2</f>
        <v/>
      </c>
      <c r="K29" s="547">
        <f>H29^2+I29^2</f>
        <v/>
      </c>
      <c r="L29" s="546">
        <f>IF(ATAN2(F29,G29)*200/PI()&lt;0,ATAN2(F29,G29)*200/PI()+400,ATAN2(F29,G29)*200/PI())</f>
        <v/>
      </c>
      <c r="M29" s="546">
        <f>IF(ATAN2(H29,I29)*200/PI()&lt;0,ATAN2(H29,I29)*200/PI()+400,ATAN2(H29,I29)*200/PI())</f>
        <v/>
      </c>
      <c r="N29" s="548">
        <f>IF(M29-L29&lt;0,M29-L29+400,M29-L29)</f>
        <v/>
      </c>
      <c r="O29" s="587">
        <f>'_calc_Dane'!$M$15</f>
        <v/>
      </c>
      <c r="P29" s="588">
        <f>N29-E29</f>
        <v/>
      </c>
      <c r="Q29" s="543">
        <f>F29/J29*2000000/PI()</f>
        <v/>
      </c>
      <c r="R29" s="544">
        <f>G29/J29*2000000/PI()</f>
        <v/>
      </c>
      <c r="S29" s="543">
        <f>H29/K29*2000000/PI()</f>
        <v/>
      </c>
      <c r="T29" s="12">
        <f>I29/K29*2000000/PI()</f>
        <v/>
      </c>
      <c r="U29" s="543" t="n"/>
      <c r="V29" s="544" t="n"/>
      <c r="W29" s="543" t="n"/>
      <c r="X29" s="544" t="n"/>
      <c r="Y29" s="546" t="n"/>
      <c r="Z29" s="586" t="n"/>
      <c r="AA29" s="548" t="n"/>
    </row>
    <row r="30">
      <c r="B30" s="724">
        <f>'_calc_Dane'!B29</f>
        <v/>
      </c>
      <c r="C30" s="671">
        <f>'_calc_Dane'!C29</f>
        <v/>
      </c>
      <c r="D30" s="671">
        <f>'_calc_Dane'!D29</f>
        <v/>
      </c>
      <c r="E30" s="777">
        <f>'_calc_Dane'!E29</f>
        <v/>
      </c>
      <c r="F30" s="1">
        <f>'_calc_Dane'!M11-'_calc_Dane'!M13</f>
        <v/>
      </c>
      <c r="G30" s="1">
        <f>'_calc_Dane'!N11-'_calc_Dane'!N13</f>
        <v/>
      </c>
      <c r="H30" s="543">
        <f>'_calc_Dane'!M12-'_calc_Dane'!M13</f>
        <v/>
      </c>
      <c r="I30" s="544">
        <f>'_calc_Dane'!N12-'_calc_Dane'!N13</f>
        <v/>
      </c>
      <c r="J30" s="547">
        <f>F30^2+G30^2</f>
        <v/>
      </c>
      <c r="K30" s="547">
        <f>H30^2+I30^2</f>
        <v/>
      </c>
      <c r="L30" s="546">
        <f>IF(ATAN2(F30,G30)*200/PI()&lt;0,ATAN2(F30,G30)*200/PI()+400,ATAN2(F30,G30)*200/PI())</f>
        <v/>
      </c>
      <c r="M30" s="546">
        <f>IF(ATAN2(H30,I30)*200/PI()&lt;0,ATAN2(H30,I30)*200/PI()+400,ATAN2(H30,I30)*200/PI())</f>
        <v/>
      </c>
      <c r="N30" s="548">
        <f>IF(M30-L30&lt;0,M30-L30+400,M30-L30)</f>
        <v/>
      </c>
      <c r="O30" s="587">
        <f>'_calc_Dane'!$M$15</f>
        <v/>
      </c>
      <c r="P30" s="588">
        <f>N30-E30</f>
        <v/>
      </c>
      <c r="Q30" s="543">
        <f>F30/J30*2000000/PI()</f>
        <v/>
      </c>
      <c r="R30" s="544">
        <f>G30/J30*2000000/PI()</f>
        <v/>
      </c>
      <c r="S30" s="543">
        <f>H30/K30*2000000/PI()</f>
        <v/>
      </c>
      <c r="T30" s="12">
        <f>I30/K30*2000000/PI()</f>
        <v/>
      </c>
      <c r="U30" s="543" t="n"/>
      <c r="V30" s="544" t="n"/>
      <c r="W30" s="543" t="n"/>
      <c r="X30" s="544" t="n"/>
      <c r="Y30" s="546" t="n"/>
      <c r="Z30" s="586" t="n"/>
      <c r="AA30" s="548" t="n"/>
    </row>
    <row r="31">
      <c r="B31" s="724">
        <f>'_calc_Dane'!B30</f>
        <v/>
      </c>
      <c r="C31" s="671">
        <f>'_calc_Dane'!C30</f>
        <v/>
      </c>
      <c r="D31" s="671">
        <f>'_calc_Dane'!D30</f>
        <v/>
      </c>
      <c r="E31" s="777">
        <f>'_calc_Dane'!E30</f>
        <v/>
      </c>
      <c r="F31" s="1">
        <f>'_calc_Dane'!M12-'_calc_Dane'!M13</f>
        <v/>
      </c>
      <c r="G31" s="1">
        <f>'_calc_Dane'!N12-'_calc_Dane'!N13</f>
        <v/>
      </c>
      <c r="H31" s="543">
        <f>'_calc_Dane'!M5-'_calc_Dane'!M13</f>
        <v/>
      </c>
      <c r="I31" s="544">
        <f>'_calc_Dane'!N5-'_calc_Dane'!N13</f>
        <v/>
      </c>
      <c r="J31" s="547">
        <f>F31^2+G31^2</f>
        <v/>
      </c>
      <c r="K31" s="547">
        <f>H31^2+I31^2</f>
        <v/>
      </c>
      <c r="L31" s="546">
        <f>IF(ATAN2(F31,G31)*200/PI()&lt;0,ATAN2(F31,G31)*200/PI()+400,ATAN2(F31,G31)*200/PI())</f>
        <v/>
      </c>
      <c r="M31" s="546">
        <f>IF(ATAN2(H31,I31)*200/PI()&lt;0,ATAN2(H31,I31)*200/PI()+400,ATAN2(H31,I31)*200/PI())</f>
        <v/>
      </c>
      <c r="N31" s="548">
        <f>IF(M31-L31&lt;0,M31-L31+400,M31-L31)</f>
        <v/>
      </c>
      <c r="O31" s="587">
        <f>'_calc_Dane'!$M$15</f>
        <v/>
      </c>
      <c r="P31" s="588">
        <f>N31-E31</f>
        <v/>
      </c>
      <c r="Q31" s="543">
        <f>F31/J31*2000000/PI()</f>
        <v/>
      </c>
      <c r="R31" s="544">
        <f>G31/J31*2000000/PI()</f>
        <v/>
      </c>
      <c r="S31" s="543">
        <f>H31/K31*2000000/PI()</f>
        <v/>
      </c>
      <c r="T31" s="12">
        <f>I31/K31*2000000/PI()</f>
        <v/>
      </c>
      <c r="U31" s="543" t="n"/>
      <c r="V31" s="544" t="n"/>
      <c r="W31" s="543" t="n"/>
      <c r="X31" s="544" t="n"/>
      <c r="Y31" s="546" t="n"/>
      <c r="Z31" s="586" t="n"/>
      <c r="AA31" s="548" t="n"/>
    </row>
    <row r="32">
      <c r="B32" s="724">
        <f>'_calc_Dane'!B31</f>
        <v/>
      </c>
      <c r="C32" s="671">
        <f>'_calc_Dane'!C31</f>
        <v/>
      </c>
      <c r="D32" s="671">
        <f>'_calc_Dane'!D31</f>
        <v/>
      </c>
      <c r="E32" s="783">
        <f>'_calc_Dane'!E31</f>
        <v/>
      </c>
      <c r="F32" s="1">
        <f>'_calc_Dane'!M12-'_calc_Dane'!M10</f>
        <v/>
      </c>
      <c r="G32" s="1">
        <f>'_calc_Dane'!N12-'_calc_Dane'!N10</f>
        <v/>
      </c>
      <c r="H32" s="543">
        <f>'_calc_Dane'!M11-'_calc_Dane'!M10</f>
        <v/>
      </c>
      <c r="I32" s="544">
        <f>'_calc_Dane'!N11-'_calc_Dane'!N10</f>
        <v/>
      </c>
      <c r="J32" s="547">
        <f>F32^2+G32^2</f>
        <v/>
      </c>
      <c r="K32" s="547">
        <f>H32^2+I32^2</f>
        <v/>
      </c>
      <c r="L32" s="546">
        <f>IF(ATAN2(F32,G32)*200/PI()&lt;0,ATAN2(F32,G32)*200/PI()+400,ATAN2(F32,G32)*200/PI())</f>
        <v/>
      </c>
      <c r="M32" s="546">
        <f>IF(ATAN2(H32,I32)*200/PI()&lt;0,ATAN2(H32,I32)*200/PI()+400,ATAN2(H32,I32)*200/PI())</f>
        <v/>
      </c>
      <c r="N32" s="784">
        <f>IF(M32-L32&lt;0,M32-L32+400,M32-L32)</f>
        <v/>
      </c>
      <c r="O32" s="587">
        <f>'_calc_Dane'!$M$15</f>
        <v/>
      </c>
      <c r="P32" s="588">
        <f>N32-E32</f>
        <v/>
      </c>
      <c r="Q32" s="543">
        <f>F32/J32*2000000/PI()</f>
        <v/>
      </c>
      <c r="R32" s="544">
        <f>G32/J32*2000000/PI()</f>
        <v/>
      </c>
      <c r="S32" s="543">
        <f>H32/K32*2000000/PI()</f>
        <v/>
      </c>
      <c r="T32" s="12">
        <f>I32/K32*2000000/PI()</f>
        <v/>
      </c>
      <c r="U32" s="543" t="n"/>
      <c r="V32" s="544" t="n"/>
      <c r="W32" s="543" t="n"/>
      <c r="X32" s="544" t="n"/>
      <c r="Y32" s="546" t="n"/>
      <c r="Z32" s="586" t="n"/>
      <c r="AA32" s="548" t="n"/>
    </row>
    <row r="33">
      <c r="B33" s="724">
        <f>'_calc_Dane'!B32</f>
        <v/>
      </c>
      <c r="C33" s="671">
        <f>'_calc_Dane'!C32</f>
        <v/>
      </c>
      <c r="D33" s="671">
        <f>'_calc_Dane'!D32</f>
        <v/>
      </c>
      <c r="E33" s="777">
        <f>'_calc_Dane'!E32</f>
        <v/>
      </c>
      <c r="F33" s="1">
        <f>'_calc_Dane'!M11-'_calc_Dane'!M10</f>
        <v/>
      </c>
      <c r="G33" s="1">
        <f>'_calc_Dane'!N11-'_calc_Dane'!N10</f>
        <v/>
      </c>
      <c r="H33" s="543">
        <f>'_calc_Dane'!M13-'_calc_Dane'!M10</f>
        <v/>
      </c>
      <c r="I33" s="544">
        <f>'_calc_Dane'!N13-'_calc_Dane'!N10</f>
        <v/>
      </c>
      <c r="J33" s="547">
        <f>F33^2+G33^2</f>
        <v/>
      </c>
      <c r="K33" s="547">
        <f>H33^2+I33^2</f>
        <v/>
      </c>
      <c r="L33" s="546">
        <f>IF(ATAN2(F33,G33)*200/PI()&lt;0,ATAN2(F33,G33)*200/PI()+400,ATAN2(F33,G33)*200/PI())</f>
        <v/>
      </c>
      <c r="M33" s="546">
        <f>IF(ATAN2(H33,I33)*200/PI()&lt;0,ATAN2(H33,I33)*200/PI()+400,ATAN2(H33,I33)*200/PI())</f>
        <v/>
      </c>
      <c r="N33" s="548">
        <f>IF(M33-L33&lt;0,M33-L33+400,M33-L33)</f>
        <v/>
      </c>
      <c r="O33" s="587">
        <f>'_calc_Dane'!$M$15</f>
        <v/>
      </c>
      <c r="P33" s="588">
        <f>N33-E33</f>
        <v/>
      </c>
      <c r="Q33" s="543">
        <f>F33/J33*2000000/PI()</f>
        <v/>
      </c>
      <c r="R33" s="544">
        <f>G33/J33*2000000/PI()</f>
        <v/>
      </c>
      <c r="S33" s="543">
        <f>H33/K33*2000000/PI()</f>
        <v/>
      </c>
      <c r="T33" s="12">
        <f>I33/K33*2000000/PI()</f>
        <v/>
      </c>
      <c r="U33" s="543" t="n"/>
      <c r="V33" s="544" t="n"/>
      <c r="W33" s="543" t="n"/>
      <c r="X33" s="544" t="n"/>
      <c r="Y33" s="546" t="n"/>
      <c r="Z33" s="586" t="n"/>
      <c r="AA33" s="548" t="n"/>
    </row>
    <row r="34">
      <c r="B34" s="724">
        <f>'_calc_Dane'!B33</f>
        <v/>
      </c>
      <c r="C34" s="671">
        <f>'_calc_Dane'!C33</f>
        <v/>
      </c>
      <c r="D34" s="671">
        <f>'_calc_Dane'!D33</f>
        <v/>
      </c>
      <c r="E34" s="777">
        <f>'_calc_Dane'!E33</f>
        <v/>
      </c>
      <c r="F34" s="1">
        <f>'_calc_Dane'!M13-'_calc_Dane'!M10</f>
        <v/>
      </c>
      <c r="G34" s="1">
        <f>'_calc_Dane'!N13-'_calc_Dane'!N10</f>
        <v/>
      </c>
      <c r="H34" s="543">
        <f>'_calc_Dane'!M9-'_calc_Dane'!M10</f>
        <v/>
      </c>
      <c r="I34" s="544">
        <f>'_calc_Dane'!N9-'_calc_Dane'!N10</f>
        <v/>
      </c>
      <c r="J34" s="547">
        <f>F34^2+G34^2</f>
        <v/>
      </c>
      <c r="K34" s="547">
        <f>H34^2+I34^2</f>
        <v/>
      </c>
      <c r="L34" s="546">
        <f>IF(ATAN2(F34,G34)*200/PI()&lt;0,ATAN2(F34,G34)*200/PI()+400,ATAN2(F34,G34)*200/PI())</f>
        <v/>
      </c>
      <c r="M34" s="546">
        <f>IF(ATAN2(H34,I34)*200/PI()&lt;0,ATAN2(H34,I34)*200/PI()+400,ATAN2(H34,I34)*200/PI())</f>
        <v/>
      </c>
      <c r="N34" s="548">
        <f>IF(M34-L34&lt;0,M34-L34+400,M34-L34)</f>
        <v/>
      </c>
      <c r="O34" s="587">
        <f>'_calc_Dane'!$M$15</f>
        <v/>
      </c>
      <c r="P34" s="588">
        <f>N34-E34</f>
        <v/>
      </c>
      <c r="Q34" s="543">
        <f>F34/J34*2000000/PI()</f>
        <v/>
      </c>
      <c r="R34" s="544">
        <f>G34/J34*2000000/PI()</f>
        <v/>
      </c>
      <c r="S34" s="543">
        <f>H34/K34*2000000/PI()</f>
        <v/>
      </c>
      <c r="T34" s="12">
        <f>I34/K34*2000000/PI()</f>
        <v/>
      </c>
      <c r="U34" s="543" t="n"/>
      <c r="V34" s="544" t="n"/>
      <c r="W34" s="543" t="n"/>
      <c r="X34" s="544" t="n"/>
      <c r="Y34" s="546" t="n"/>
      <c r="Z34" s="586" t="n"/>
      <c r="AA34" s="548" t="n"/>
    </row>
    <row r="35">
      <c r="B35" s="724">
        <f>'_calc_Dane'!B34</f>
        <v/>
      </c>
      <c r="C35" s="671">
        <f>'_calc_Dane'!C34</f>
        <v/>
      </c>
      <c r="D35" s="671">
        <f>'_calc_Dane'!D34</f>
        <v/>
      </c>
      <c r="E35" s="777">
        <f>'_calc_Dane'!E34</f>
        <v/>
      </c>
      <c r="F35" s="1">
        <f>'_calc_Dane'!M10-'_calc_Dane'!M9</f>
        <v/>
      </c>
      <c r="G35" s="1">
        <f>'_calc_Dane'!N10-'_calc_Dane'!N9</f>
        <v/>
      </c>
      <c r="H35" s="543">
        <f>'_calc_Dane'!M11-'_calc_Dane'!M9</f>
        <v/>
      </c>
      <c r="I35" s="544">
        <f>'_calc_Dane'!N11-'_calc_Dane'!N9</f>
        <v/>
      </c>
      <c r="J35" s="547">
        <f>F35^2+G35^2</f>
        <v/>
      </c>
      <c r="K35" s="547">
        <f>H35^2+I35^2</f>
        <v/>
      </c>
      <c r="L35" s="546">
        <f>IF(ATAN2(F35,G35)*200/PI()&lt;0,ATAN2(F35,G35)*200/PI()+400,ATAN2(F35,G35)*200/PI())</f>
        <v/>
      </c>
      <c r="M35" s="546">
        <f>IF(ATAN2(H35,I35)*200/PI()&lt;0,ATAN2(H35,I35)*200/PI()+400,ATAN2(H35,I35)*200/PI())</f>
        <v/>
      </c>
      <c r="N35" s="548">
        <f>IF(M35-L35&lt;0,M35-L35+400,M35-L35)</f>
        <v/>
      </c>
      <c r="O35" s="587">
        <f>'_calc_Dane'!$M$15</f>
        <v/>
      </c>
      <c r="P35" s="588">
        <f>N35-E35</f>
        <v/>
      </c>
      <c r="Q35" s="543">
        <f>F35/J35*2000000/PI()</f>
        <v/>
      </c>
      <c r="R35" s="544">
        <f>G35/J35*2000000/PI()</f>
        <v/>
      </c>
      <c r="S35" s="543">
        <f>H35/K35*2000000/PI()</f>
        <v/>
      </c>
      <c r="T35" s="12">
        <f>I35/K35*2000000/PI()</f>
        <v/>
      </c>
      <c r="U35" s="543" t="n"/>
      <c r="V35" s="544" t="n"/>
      <c r="W35" s="543" t="n"/>
      <c r="X35" s="544" t="n"/>
      <c r="Y35" s="546" t="n"/>
      <c r="Z35" s="586" t="n"/>
      <c r="AA35" s="548" t="n"/>
    </row>
    <row r="36">
      <c r="B36" s="728">
        <f>'_calc_Dane'!B35</f>
        <v/>
      </c>
      <c r="C36" s="779">
        <f>'_calc_Dane'!C35</f>
        <v/>
      </c>
      <c r="D36" s="779">
        <f>'_calc_Dane'!D35</f>
        <v/>
      </c>
      <c r="E36" s="780">
        <f>'_calc_Dane'!E35</f>
        <v/>
      </c>
      <c r="F36" s="590">
        <f>'_calc_Dane'!M11-'_calc_Dane'!M9</f>
        <v/>
      </c>
      <c r="G36" s="590">
        <f>'_calc_Dane'!N11-'_calc_Dane'!N9</f>
        <v/>
      </c>
      <c r="H36" s="567">
        <f>'_calc_Dane'!M13-'_calc_Dane'!M9</f>
        <v/>
      </c>
      <c r="I36" s="568">
        <f>'_calc_Dane'!N13-'_calc_Dane'!N9</f>
        <v/>
      </c>
      <c r="J36" s="571">
        <f>F36^2+G36^2</f>
        <v/>
      </c>
      <c r="K36" s="571">
        <f>H36^2+I36^2</f>
        <v/>
      </c>
      <c r="L36" s="570">
        <f>IF(ATAN2(F36,G36)*200/PI()&lt;0,ATAN2(F36,G36)*200/PI()+400,ATAN2(F36,G36)*200/PI())</f>
        <v/>
      </c>
      <c r="M36" s="570">
        <f>IF(ATAN2(H36,I36)*200/PI()&lt;0,ATAN2(H36,I36)*200/PI()+400,ATAN2(H36,I36)*200/PI())</f>
        <v/>
      </c>
      <c r="N36" s="572">
        <f>IF(M36-L36&lt;0,M36-L36+400,M36-L36)</f>
        <v/>
      </c>
      <c r="O36" s="591">
        <f>'_calc_Dane'!$M$15</f>
        <v/>
      </c>
      <c r="P36" s="592">
        <f>N36-E36</f>
        <v/>
      </c>
      <c r="Q36" s="567">
        <f>F36/J36*2000000/PI()</f>
        <v/>
      </c>
      <c r="R36" s="568">
        <f>G36/J36*2000000/PI()</f>
        <v/>
      </c>
      <c r="S36" s="567">
        <f>H36/K36*2000000/PI()</f>
        <v/>
      </c>
      <c r="T36" s="590">
        <f>I36/K36*2000000/PI()</f>
        <v/>
      </c>
      <c r="U36" s="567" t="n"/>
      <c r="V36" s="568" t="n"/>
      <c r="W36" s="567" t="n"/>
      <c r="X36" s="568" t="n"/>
      <c r="Y36" s="570" t="n"/>
      <c r="Z36" s="593" t="n"/>
      <c r="AA36" s="572" t="n"/>
    </row>
    <row r="37">
      <c r="B37" s="46">
        <f>'_calc_Dane'!B36</f>
        <v/>
      </c>
      <c r="C37" s="47">
        <f>'_calc_Dane'!C36</f>
        <v/>
      </c>
      <c r="D37" s="14">
        <f>'_calc_Dane'!D36</f>
        <v/>
      </c>
      <c r="E37" s="14">
        <f>'_calc_Dane'!E36</f>
        <v/>
      </c>
      <c r="F37" s="14">
        <f>'_calc_Dane'!M13-'_calc_Dane'!M9</f>
        <v/>
      </c>
      <c r="G37" s="14">
        <f>'_calc_Dane'!N13-'_calc_Dane'!N9</f>
        <v/>
      </c>
      <c r="H37" s="14">
        <f>'_calc_Dane'!M8-'_calc_Dane'!M9</f>
        <v/>
      </c>
      <c r="I37" s="14">
        <f>'_calc_Dane'!N8-'_calc_Dane'!N9</f>
        <v/>
      </c>
      <c r="J37" s="14">
        <f>F37^2+G37^2</f>
        <v/>
      </c>
      <c r="K37" s="14">
        <f>H37^2+I37^2</f>
        <v/>
      </c>
      <c r="L37" s="14">
        <f>IF(ATAN2(F37,G37)*200/PI()&lt;0,ATAN2(F37,G37)*200/PI()+400,ATAN2(F37,G37)*200/PI())</f>
        <v/>
      </c>
      <c r="M37" s="14">
        <f>IF(ATAN2(H37,I37)*200/PI()&lt;0,ATAN2(H37,I37)*200/PI()+400,ATAN2(H37,I37)*200/PI())</f>
        <v/>
      </c>
      <c r="N37" s="14">
        <f>IF(M37-L37&lt;0,M37-L37+400,M37-L37)</f>
        <v/>
      </c>
      <c r="O37" s="14">
        <f>'_calc_Dane'!$M$15</f>
        <v/>
      </c>
      <c r="P37" s="594">
        <f>N37-E37</f>
        <v/>
      </c>
      <c r="Q37" s="14">
        <f>F37/J37*2000000/PI()</f>
        <v/>
      </c>
      <c r="R37" s="14">
        <f>G37/J37*2000000/PI()</f>
        <v/>
      </c>
      <c r="S37" s="14">
        <f>H37/K37*2000000/PI()</f>
        <v/>
      </c>
      <c r="T37" s="15">
        <f>I37/K37*2000000/PI()</f>
        <v/>
      </c>
    </row>
    <row r="38"/>
    <row r="39" ht="15.95" customHeight="1">
      <c r="B39" s="595" t="inlineStr">
        <is>
          <t>a</t>
        </is>
      </c>
      <c r="C39" s="596" t="n"/>
      <c r="D39" s="596" t="n"/>
      <c r="E39" s="596" t="n"/>
      <c r="F39" s="596" t="n"/>
      <c r="G39" s="596" t="n"/>
      <c r="H39" s="596" t="n"/>
      <c r="I39" s="596" t="n"/>
      <c r="J39" s="596" t="n"/>
      <c r="K39" s="596" t="n"/>
      <c r="L39" s="596" t="n"/>
      <c r="M39" s="596" t="n"/>
      <c r="N39" s="596" t="n"/>
      <c r="O39" s="596" t="n"/>
      <c r="P39" s="596" t="n"/>
      <c r="Q39" s="597" t="n"/>
      <c r="S39" s="595" t="inlineStr">
        <is>
          <t>l [m/cc]</t>
        </is>
      </c>
    </row>
    <row r="40" ht="18" customHeight="1">
      <c r="B40" s="598" t="inlineStr">
        <is>
          <t>dx</t>
        </is>
      </c>
      <c r="C40" s="599" t="inlineStr">
        <is>
          <t>dy</t>
        </is>
      </c>
      <c r="D40" s="599" t="inlineStr">
        <is>
          <t>dx</t>
        </is>
      </c>
      <c r="E40" s="599" t="inlineStr">
        <is>
          <t>dy</t>
        </is>
      </c>
      <c r="F40" s="599" t="inlineStr">
        <is>
          <t>dx</t>
        </is>
      </c>
      <c r="G40" s="599" t="inlineStr">
        <is>
          <t>dy</t>
        </is>
      </c>
      <c r="H40" s="599" t="inlineStr">
        <is>
          <t>dx</t>
        </is>
      </c>
      <c r="I40" s="599" t="inlineStr">
        <is>
          <t>dy</t>
        </is>
      </c>
      <c r="J40" s="599" t="inlineStr">
        <is>
          <t>dx</t>
        </is>
      </c>
      <c r="K40" s="599" t="inlineStr">
        <is>
          <t>dy</t>
        </is>
      </c>
      <c r="L40" s="599" t="inlineStr">
        <is>
          <t>dx</t>
        </is>
      </c>
      <c r="M40" s="599" t="inlineStr">
        <is>
          <t>dy</t>
        </is>
      </c>
      <c r="N40" s="599" t="inlineStr">
        <is>
          <t>dx</t>
        </is>
      </c>
      <c r="O40" s="599" t="inlineStr">
        <is>
          <t>dy</t>
        </is>
      </c>
      <c r="P40" s="599" t="inlineStr">
        <is>
          <t>dx</t>
        </is>
      </c>
      <c r="Q40" s="600" t="inlineStr">
        <is>
          <t>dy</t>
        </is>
      </c>
      <c r="S40" s="601" t="n"/>
    </row>
    <row r="41" ht="18" customHeight="1">
      <c r="B41" s="729" t="n">
        <v>1</v>
      </c>
      <c r="C41" s="730" t="n">
        <v>1</v>
      </c>
      <c r="D41" s="730" t="n">
        <v>3</v>
      </c>
      <c r="E41" s="730" t="n">
        <v>3</v>
      </c>
      <c r="F41" s="730" t="n">
        <v>4</v>
      </c>
      <c r="G41" s="730" t="n">
        <v>4</v>
      </c>
      <c r="H41" s="730" t="n">
        <v>5</v>
      </c>
      <c r="I41" s="730" t="n">
        <v>5</v>
      </c>
      <c r="J41" s="730" t="n">
        <v>6</v>
      </c>
      <c r="K41" s="730" t="n">
        <v>6</v>
      </c>
      <c r="L41" s="730" t="n">
        <v>7</v>
      </c>
      <c r="M41" s="730" t="n">
        <v>7</v>
      </c>
      <c r="N41" s="730" t="n">
        <v>8</v>
      </c>
      <c r="O41" s="730" t="n">
        <v>8</v>
      </c>
      <c r="P41" s="730" t="n">
        <v>9</v>
      </c>
      <c r="Q41" s="731" t="n">
        <v>9</v>
      </c>
      <c r="R41" s="605" t="n"/>
      <c r="S41" s="606" t="n"/>
      <c r="T41" s="607" t="n"/>
    </row>
    <row r="42">
      <c r="B42" s="732">
        <f>IF(B$41=$B4,IF(B$40="dx",-$K4,-$J4),IF(B$41=$C4,IF(B$40="dx",$K4,$J4),0))</f>
        <v/>
      </c>
      <c r="C42" s="733">
        <f>IF(C$41=$B4,IF(C$40="dx",-$K4,-$J4),IF(C$41=$C4,IF(C$40="dx",$K4,$J4),0))</f>
        <v/>
      </c>
      <c r="D42" s="733">
        <f>IF(D$41=$B4,IF(D$40="dx",-$K4,-$J4),IF(D$41=$C4,IF(D$40="dx",$K4,$J4),0))</f>
        <v/>
      </c>
      <c r="E42" s="733">
        <f>IF(E$41=$B4,IF(E$40="dx",-$K4,-$J4),IF(E$41=$C4,IF(E$40="dx",$K4,$J4),0))</f>
        <v/>
      </c>
      <c r="F42" s="733">
        <f>IF(F$41=$B4,IF(F$40="dx",-$K4,-$J4),IF(F$41=$C4,IF(F$40="dx",$K4,$J4),0))</f>
        <v/>
      </c>
      <c r="G42" s="733">
        <f>IF(G$41=$B4,IF(G$40="dx",-$K4,-$J4),IF(G$41=$C4,IF(G$40="dx",$K4,$J4),0))</f>
        <v/>
      </c>
      <c r="H42" s="610">
        <f>IF(H$41=$B4,IF(H$40="dx",-$K4,-$J4),IF(H$41=$C4,IF(H$40="dx",$K4,$J4),0))</f>
        <v/>
      </c>
      <c r="I42" s="610">
        <f>IF(I$41=$B4,IF(I$40="dx",-$K4,-$J4),IF(I$41=$C4,IF(I$40="dx",$K4,$J4),0))</f>
        <v/>
      </c>
      <c r="J42" s="733">
        <f>IF(J$41=$B4,IF(J$40="dx",-$K4,-$J4),IF(J$41=$C4,IF(J$40="dx",$K4,$J4),0))</f>
        <v/>
      </c>
      <c r="K42" s="733">
        <f>IF(K$41=$B4,IF(K$40="dx",-$K4,-$J4),IF(K$41=$C4,IF(K$40="dx",$K4,$J4),0))</f>
        <v/>
      </c>
      <c r="L42" s="733">
        <f>IF(L$41=$B4,IF(L$40="dx",-$K4,-$J4),IF(L$41=$C4,IF(L$40="dx",$K4,$J4),0))</f>
        <v/>
      </c>
      <c r="M42" s="733">
        <f>IF(M$41=$B4,IF(M$40="dx",-$K4,-$J4),IF(M$41=$C4,IF(M$40="dx",$K4,$J4),0))</f>
        <v/>
      </c>
      <c r="N42" s="733">
        <f>IF(N$41=$B4,IF(N$40="dx",-$K4,-$J4),IF(N$41=$C4,IF(N$40="dx",$K4,$J4),0))</f>
        <v/>
      </c>
      <c r="O42" s="733">
        <f>IF(O$41=$B4,IF(O$40="dx",-$K4,-$J4),IF(O$41=$C4,IF(O$40="dx",$K4,$J4),0))</f>
        <v/>
      </c>
      <c r="P42" s="733">
        <f>IF(P$41=$B4,IF(P$40="dx",-$K4,-$J4),IF(P$41=$C4,IF(P$40="dx",$K4,$J4),0))</f>
        <v/>
      </c>
      <c r="Q42" s="734">
        <f>IF(Q$41=$B4,IF(Q$40="dx",-$K4,-$J4),IF(Q$41=$C4,IF(Q$40="dx",$K4,$J4),0))</f>
        <v/>
      </c>
      <c r="R42" s="568" t="n"/>
      <c r="S42" s="72">
        <f>M4</f>
        <v/>
      </c>
      <c r="T42" s="571" t="n"/>
    </row>
    <row r="43">
      <c r="A43" s="612" t="n"/>
      <c r="B43" s="613">
        <f>IF(B$41=$B5,IF(B$40="dx",-$K5,-$J5),IF(B$41=$C5,IF(B$40="dx",$K5,$J5),0))</f>
        <v/>
      </c>
      <c r="C43" s="614">
        <f>IF(C$41=$B5,IF(C$40="dx",-$K5,-$J5),IF(C$41=$C5,IF(C$40="dx",$K5,$J5),0))</f>
        <v/>
      </c>
      <c r="D43" s="614">
        <f>IF(D$41=$B5,IF(D$40="dx",-$K5,-$J5),IF(D$41=$C5,IF(D$40="dx",$K5,$J5),0))</f>
        <v/>
      </c>
      <c r="E43" s="614">
        <f>IF(E$41=$B5,IF(E$40="dx",-$K5,-$J5),IF(E$41=$C5,IF(E$40="dx",$K5,$J5),0))</f>
        <v/>
      </c>
      <c r="F43" s="614">
        <f>IF(F$41=$B5,IF(F$40="dx",-$K5,-$J5),IF(F$41=$C5,IF(F$40="dx",$K5,$J5),0))</f>
        <v/>
      </c>
      <c r="G43" s="614">
        <f>IF(G$41=$B5,IF(G$40="dx",-$K5,-$J5),IF(G$41=$C5,IF(G$40="dx",$K5,$J5),0))</f>
        <v/>
      </c>
      <c r="H43" s="614">
        <f>IF(H$41=$B5,IF(H$40="dx",-$K5,-$J5),IF(H$41=$C5,IF(H$40="dx",$K5,$J5),0))</f>
        <v/>
      </c>
      <c r="I43" s="614">
        <f>IF(I$41=$B5,IF(I$40="dx",-$K5,-$J5),IF(I$41=$C5,IF(I$40="dx",$K5,$J5),0))</f>
        <v/>
      </c>
      <c r="J43" s="614">
        <f>IF(J$41=$B5,IF(J$40="dx",-$K5,-$J5),IF(J$41=$C5,IF(J$40="dx",$K5,$J5),0))</f>
        <v/>
      </c>
      <c r="K43" s="614">
        <f>IF(K$41=$B5,IF(K$40="dx",-$K5,-$J5),IF(K$41=$C5,IF(K$40="dx",$K5,$J5),0))</f>
        <v/>
      </c>
      <c r="L43" s="614">
        <f>IF(L$41=$B5,IF(L$40="dx",-$K5,-$J5),IF(L$41=$C5,IF(L$40="dx",$K5,$J5),0))</f>
        <v/>
      </c>
      <c r="M43" s="614">
        <f>IF(M$41=$B5,IF(M$40="dx",-$K5,-$J5),IF(M$41=$C5,IF(M$40="dx",$K5,$J5),0))</f>
        <v/>
      </c>
      <c r="N43" s="614">
        <f>IF(N$41=$B5,IF(N$40="dx",-$K5,-$J5),IF(N$41=$C5,IF(N$40="dx",$K5,$J5),0))</f>
        <v/>
      </c>
      <c r="O43" s="614">
        <f>IF(O$41=$B5,IF(O$40="dx",-$K5,-$J5),IF(O$41=$C5,IF(O$40="dx",$K5,$J5),0))</f>
        <v/>
      </c>
      <c r="P43" s="614">
        <f>IF(P$41=$B5,IF(P$40="dx",-$K5,-$J5),IF(P$41=$C5,IF(P$40="dx",$K5,$J5),0))</f>
        <v/>
      </c>
      <c r="Q43" s="615">
        <f>IF(Q$41=$B5,IF(Q$40="dx",-$K5,-$J5),IF(Q$41=$C5,IF(Q$40="dx",$K5,$J5),0))</f>
        <v/>
      </c>
      <c r="R43" s="616" t="n"/>
      <c r="S43" s="72">
        <f>M5</f>
        <v/>
      </c>
      <c r="T43" s="617" t="n"/>
    </row>
    <row r="44">
      <c r="A44" s="612" t="n"/>
      <c r="B44" s="618">
        <f>IF(B$41=$B6,IF(B$40="dx",-$K6,-$J6),IF(B$41=$C6,IF(B$40="dx",$K6,$J6),0))</f>
        <v/>
      </c>
      <c r="C44" s="552">
        <f>IF(C$41=$B6,IF(C$40="dx",-$K6,-$J6),IF(C$41=$C6,IF(C$40="dx",$K6,$J6),0))</f>
        <v/>
      </c>
      <c r="D44" s="552">
        <f>IF(D$41=$B6,IF(D$40="dx",-$K6,-$J6),IF(D$41=$C6,IF(D$40="dx",$K6,$J6),0))</f>
        <v/>
      </c>
      <c r="E44" s="552">
        <f>IF(E$41=$B6,IF(E$40="dx",-$K6,-$J6),IF(E$41=$C6,IF(E$40="dx",$K6,$J6),0))</f>
        <v/>
      </c>
      <c r="F44" s="552">
        <f>IF(F$41=$B6,IF(F$40="dx",-$K6,-$J6),IF(F$41=$C6,IF(F$40="dx",$K6,$J6),0))</f>
        <v/>
      </c>
      <c r="G44" s="552">
        <f>IF(G$41=$B6,IF(G$40="dx",-$K6,-$J6),IF(G$41=$C6,IF(G$40="dx",$K6,$J6),0))</f>
        <v/>
      </c>
      <c r="H44" s="552">
        <f>IF(H$41=$B6,IF(H$40="dx",-$K6,-$J6),IF(H$41=$C6,IF(H$40="dx",$K6,$J6),0))</f>
        <v/>
      </c>
      <c r="I44" s="552">
        <f>IF(I$41=$B6,IF(I$40="dx",-$K6,-$J6),IF(I$41=$C6,IF(I$40="dx",$K6,$J6),0))</f>
        <v/>
      </c>
      <c r="J44" s="552">
        <f>IF(J$41=$B6,IF(J$40="dx",-$K6,-$J6),IF(J$41=$C6,IF(J$40="dx",$K6,$J6),0))</f>
        <v/>
      </c>
      <c r="K44" s="552">
        <f>IF(K$41=$B6,IF(K$40="dx",-$K6,-$J6),IF(K$41=$C6,IF(K$40="dx",$K6,$J6),0))</f>
        <v/>
      </c>
      <c r="L44" s="552">
        <f>IF(L$41=$B6,IF(L$40="dx",-$K6,-$J6),IF(L$41=$C6,IF(L$40="dx",$K6,$J6),0))</f>
        <v/>
      </c>
      <c r="M44" s="552">
        <f>IF(M$41=$B6,IF(M$40="dx",-$K6,-$J6),IF(M$41=$C6,IF(M$40="dx",$K6,$J6),0))</f>
        <v/>
      </c>
      <c r="N44" s="552">
        <f>IF(N$41=$B6,IF(N$40="dx",-$K6,-$J6),IF(N$41=$C6,IF(N$40="dx",$K6,$J6),0))</f>
        <v/>
      </c>
      <c r="O44" s="552">
        <f>IF(O$41=$B6,IF(O$40="dx",-$K6,-$J6),IF(O$41=$C6,IF(O$40="dx",$K6,$J6),0))</f>
        <v/>
      </c>
      <c r="P44" s="552">
        <f>IF(P$41=$B6,IF(P$40="dx",-$K6,-$J6),IF(P$41=$C6,IF(P$40="dx",$K6,$J6),0))</f>
        <v/>
      </c>
      <c r="Q44" s="619">
        <f>IF(Q$41=$B6,IF(Q$40="dx",-$K6,-$J6),IF(Q$41=$C6,IF(Q$40="dx",$K6,$J6),0))</f>
        <v/>
      </c>
      <c r="R44" s="620" t="n"/>
      <c r="S44" s="72">
        <f>M6</f>
        <v/>
      </c>
      <c r="T44" s="542" t="n"/>
    </row>
    <row r="45">
      <c r="A45" s="612" t="n"/>
      <c r="B45" s="618">
        <f>IF(B$41=$B7,IF(B$40="dx",-$K7,-$J7),IF(B$41=$C7,IF(B$40="dx",$K7,$J7),0))</f>
        <v/>
      </c>
      <c r="C45" s="552">
        <f>IF(C$41=$B7,IF(C$40="dx",-$K7,-$J7),IF(C$41=$C7,IF(C$40="dx",$K7,$J7),0))</f>
        <v/>
      </c>
      <c r="D45" s="552">
        <f>IF(D$41=$B7,IF(D$40="dx",-$K7,-$J7),IF(D$41=$C7,IF(D$40="dx",$K7,$J7),0))</f>
        <v/>
      </c>
      <c r="E45" s="552">
        <f>IF(E$41=$B7,IF(E$40="dx",-$K7,-$J7),IF(E$41=$C7,IF(E$40="dx",$K7,$J7),0))</f>
        <v/>
      </c>
      <c r="F45" s="552">
        <f>IF(F$41=$B7,IF(F$40="dx",-$K7,-$J7),IF(F$41=$C7,IF(F$40="dx",$K7,$J7),0))</f>
        <v/>
      </c>
      <c r="G45" s="552">
        <f>IF(G$41=$B7,IF(G$40="dx",-$K7,-$J7),IF(G$41=$C7,IF(G$40="dx",$K7,$J7),0))</f>
        <v/>
      </c>
      <c r="H45" s="552">
        <f>IF(H$41=$B7,IF(H$40="dx",-$K7,-$J7),IF(H$41=$C7,IF(H$40="dx",$K7,$J7),0))</f>
        <v/>
      </c>
      <c r="I45" s="552">
        <f>IF(I$41=$B7,IF(I$40="dx",-$K7,-$J7),IF(I$41=$C7,IF(I$40="dx",$K7,$J7),0))</f>
        <v/>
      </c>
      <c r="J45" s="552">
        <f>IF(J$41=$B7,IF(J$40="dx",-$K7,-$J7),IF(J$41=$C7,IF(J$40="dx",$K7,$J7),0))</f>
        <v/>
      </c>
      <c r="K45" s="552">
        <f>IF(K$41=$B7,IF(K$40="dx",-$K7,-$J7),IF(K$41=$C7,IF(K$40="dx",$K7,$J7),0))</f>
        <v/>
      </c>
      <c r="L45" s="552">
        <f>IF(L$41=$B7,IF(L$40="dx",-$K7,-$J7),IF(L$41=$C7,IF(L$40="dx",$K7,$J7),0))</f>
        <v/>
      </c>
      <c r="M45" s="552">
        <f>IF(M$41=$B7,IF(M$40="dx",-$K7,-$J7),IF(M$41=$C7,IF(M$40="dx",$K7,$J7),0))</f>
        <v/>
      </c>
      <c r="N45" s="552">
        <f>IF(N$41=$B7,IF(N$40="dx",-$K7,-$J7),IF(N$41=$C7,IF(N$40="dx",$K7,$J7),0))</f>
        <v/>
      </c>
      <c r="O45" s="552">
        <f>IF(O$41=$B7,IF(O$40="dx",-$K7,-$J7),IF(O$41=$C7,IF(O$40="dx",$K7,$J7),0))</f>
        <v/>
      </c>
      <c r="P45" s="552">
        <f>IF(P$41=$B7,IF(P$40="dx",-$K7,-$J7),IF(P$41=$C7,IF(P$40="dx",$K7,$J7),0))</f>
        <v/>
      </c>
      <c r="Q45" s="619">
        <f>IF(Q$41=$B7,IF(Q$40="dx",-$K7,-$J7),IF(Q$41=$C7,IF(Q$40="dx",$K7,$J7),0))</f>
        <v/>
      </c>
      <c r="R45" s="620" t="n"/>
      <c r="S45" s="72">
        <f>M7</f>
        <v/>
      </c>
      <c r="T45" s="542" t="n"/>
    </row>
    <row r="46">
      <c r="A46" s="612" t="n"/>
      <c r="B46" s="618">
        <f>IF(B$41=$B8,IF(B$40="dx",-$K8,-$J8),IF(B$41=$C8,IF(B$40="dx",$K8,$J8),0))</f>
        <v/>
      </c>
      <c r="C46" s="552">
        <f>IF(C$41=$B8,IF(C$40="dx",-$K8,-$J8),IF(C$41=$C8,IF(C$40="dx",$K8,$J8),0))</f>
        <v/>
      </c>
      <c r="D46" s="552">
        <f>IF(D$41=$B8,IF(D$40="dx",-$K8,-$J8),IF(D$41=$C8,IF(D$40="dx",$K8,$J8),0))</f>
        <v/>
      </c>
      <c r="E46" s="552">
        <f>IF(E$41=$B8,IF(E$40="dx",-$K8,-$J8),IF(E$41=$C8,IF(E$40="dx",$K8,$J8),0))</f>
        <v/>
      </c>
      <c r="F46" s="552">
        <f>IF(F$41=$B8,IF(F$40="dx",-$K8,-$J8),IF(F$41=$C8,IF(F$40="dx",$K8,$J8),0))</f>
        <v/>
      </c>
      <c r="G46" s="552">
        <f>IF(G$41=$B8,IF(G$40="dx",-$K8,-$J8),IF(G$41=$C8,IF(G$40="dx",$K8,$J8),0))</f>
        <v/>
      </c>
      <c r="H46" s="552">
        <f>IF(H$41=$B8,IF(H$40="dx",-$K8,-$J8),IF(H$41=$C8,IF(H$40="dx",$K8,$J8),0))</f>
        <v/>
      </c>
      <c r="I46" s="552">
        <f>IF(I$41=$B8,IF(I$40="dx",-$K8,-$J8),IF(I$41=$C8,IF(I$40="dx",$K8,$J8),0))</f>
        <v/>
      </c>
      <c r="J46" s="552">
        <f>IF(J$41=$B8,IF(J$40="dx",-$K8,-$J8),IF(J$41=$C8,IF(J$40="dx",$K8,$J8),0))</f>
        <v/>
      </c>
      <c r="K46" s="552">
        <f>IF(K$41=$B8,IF(K$40="dx",-$K8,-$J8),IF(K$41=$C8,IF(K$40="dx",$K8,$J8),0))</f>
        <v/>
      </c>
      <c r="L46" s="552">
        <f>IF(L$41=$B8,IF(L$40="dx",-$K8,-$J8),IF(L$41=$C8,IF(L$40="dx",$K8,$J8),0))</f>
        <v/>
      </c>
      <c r="M46" s="552">
        <f>IF(M$41=$B8,IF(M$40="dx",-$K8,-$J8),IF(M$41=$C8,IF(M$40="dx",$K8,$J8),0))</f>
        <v/>
      </c>
      <c r="N46" s="552">
        <f>IF(N$41=$B8,IF(N$40="dx",-$K8,-$J8),IF(N$41=$C8,IF(N$40="dx",$K8,$J8),0))</f>
        <v/>
      </c>
      <c r="O46" s="552">
        <f>IF(O$41=$B8,IF(O$40="dx",-$K8,-$J8),IF(O$41=$C8,IF(O$40="dx",$K8,$J8),0))</f>
        <v/>
      </c>
      <c r="P46" s="552">
        <f>IF(P$41=$B8,IF(P$40="dx",-$K8,-$J8),IF(P$41=$C8,IF(P$40="dx",$K8,$J8),0))</f>
        <v/>
      </c>
      <c r="Q46" s="619">
        <f>IF(Q$41=$B8,IF(Q$40="dx",-$K8,-$J8),IF(Q$41=$C8,IF(Q$40="dx",$K8,$J8),0))</f>
        <v/>
      </c>
      <c r="R46" s="620" t="n"/>
      <c r="S46" s="72">
        <f>M8</f>
        <v/>
      </c>
      <c r="T46" s="542" t="n"/>
    </row>
    <row r="47">
      <c r="A47" s="612" t="n"/>
      <c r="B47" s="618">
        <f>IF(B$41=$B9,IF(B$40="dx",-$K9,-$J9),IF(B$41=$C9,IF(B$40="dx",$K9,$J9),0))</f>
        <v/>
      </c>
      <c r="C47" s="552">
        <f>IF(C$41=$B9,IF(C$40="dx",-$K9,-$J9),IF(C$41=$C9,IF(C$40="dx",$K9,$J9),0))</f>
        <v/>
      </c>
      <c r="D47" s="552">
        <f>IF(D$41=$B9,IF(D$40="dx",-$K9,-$J9),IF(D$41=$C9,IF(D$40="dx",$K9,$J9),0))</f>
        <v/>
      </c>
      <c r="E47" s="552">
        <f>IF(E$41=$B9,IF(E$40="dx",-$K9,-$J9),IF(E$41=$C9,IF(E$40="dx",$K9,$J9),0))</f>
        <v/>
      </c>
      <c r="F47" s="552">
        <f>IF(F$41=$B9,IF(F$40="dx",-$K9,-$J9),IF(F$41=$C9,IF(F$40="dx",$K9,$J9),0))</f>
        <v/>
      </c>
      <c r="G47" s="552">
        <f>IF(G$41=$B9,IF(G$40="dx",-$K9,-$J9),IF(G$41=$C9,IF(G$40="dx",$K9,$J9),0))</f>
        <v/>
      </c>
      <c r="H47" s="552">
        <f>IF(H$41=$B9,IF(H$40="dx",-$K9,-$J9),IF(H$41=$C9,IF(H$40="dx",$K9,$J9),0))</f>
        <v/>
      </c>
      <c r="I47" s="552">
        <f>IF(I$41=$B9,IF(I$40="dx",-$K9,-$J9),IF(I$41=$C9,IF(I$40="dx",$K9,$J9),0))</f>
        <v/>
      </c>
      <c r="J47" s="552">
        <f>IF(J$41=$B9,IF(J$40="dx",-$K9,-$J9),IF(J$41=$C9,IF(J$40="dx",$K9,$J9),0))</f>
        <v/>
      </c>
      <c r="K47" s="552">
        <f>IF(K$41=$B9,IF(K$40="dx",-$K9,-$J9),IF(K$41=$C9,IF(K$40="dx",$K9,$J9),0))</f>
        <v/>
      </c>
      <c r="L47" s="552">
        <f>IF(L$41=$B9,IF(L$40="dx",-$K9,-$J9),IF(L$41=$C9,IF(L$40="dx",$K9,$J9),0))</f>
        <v/>
      </c>
      <c r="M47" s="552">
        <f>IF(M$41=$B9,IF(M$40="dx",-$K9,-$J9),IF(M$41=$C9,IF(M$40="dx",$K9,$J9),0))</f>
        <v/>
      </c>
      <c r="N47" s="552">
        <f>IF(N$41=$B9,IF(N$40="dx",-$K9,-$J9),IF(N$41=$C9,IF(N$40="dx",$K9,$J9),0))</f>
        <v/>
      </c>
      <c r="O47" s="552">
        <f>IF(O$41=$B9,IF(O$40="dx",-$K9,-$J9),IF(O$41=$C9,IF(O$40="dx",$K9,$J9),0))</f>
        <v/>
      </c>
      <c r="P47" s="552">
        <f>IF(P$41=$B9,IF(P$40="dx",-$K9,-$J9),IF(P$41=$C9,IF(P$40="dx",$K9,$J9),0))</f>
        <v/>
      </c>
      <c r="Q47" s="619">
        <f>IF(Q$41=$B9,IF(Q$40="dx",-$K9,-$J9),IF(Q$41=$C9,IF(Q$40="dx",$K9,$J9),0))</f>
        <v/>
      </c>
      <c r="R47" s="620" t="n"/>
      <c r="S47" s="72">
        <f>M9</f>
        <v/>
      </c>
      <c r="T47" s="542" t="n"/>
    </row>
    <row r="48">
      <c r="A48" s="612" t="n"/>
      <c r="B48" s="618">
        <f>IF(B$41=$B10,IF(B$40="dx",-$K10,-$J10),IF(B$41=$C10,IF(B$40="dx",$K10,$J10),0))</f>
        <v/>
      </c>
      <c r="C48" s="552">
        <f>IF(C$41=$B10,IF(C$40="dx",-$K10,-$J10),IF(C$41=$C10,IF(C$40="dx",$K10,$J10),0))</f>
        <v/>
      </c>
      <c r="D48" s="552">
        <f>IF(D$41=$B10,IF(D$40="dx",-$K10,-$J10),IF(D$41=$C10,IF(D$40="dx",$K10,$J10),0))</f>
        <v/>
      </c>
      <c r="E48" s="552">
        <f>IF(E$41=$B10,IF(E$40="dx",-$K10,-$J10),IF(E$41=$C10,IF(E$40="dx",$K10,$J10),0))</f>
        <v/>
      </c>
      <c r="F48" s="552">
        <f>IF(F$41=$B10,IF(F$40="dx",-$K10,-$J10),IF(F$41=$C10,IF(F$40="dx",$K10,$J10),0))</f>
        <v/>
      </c>
      <c r="G48" s="552">
        <f>IF(G$41=$B10,IF(G$40="dx",-$K10,-$J10),IF(G$41=$C10,IF(G$40="dx",$K10,$J10),0))</f>
        <v/>
      </c>
      <c r="H48" s="552">
        <f>IF(H$41=$B10,IF(H$40="dx",-$K10,-$J10),IF(H$41=$C10,IF(H$40="dx",$K10,$J10),0))</f>
        <v/>
      </c>
      <c r="I48" s="552">
        <f>IF(I$41=$B10,IF(I$40="dx",-$K10,-$J10),IF(I$41=$C10,IF(I$40="dx",$K10,$J10),0))</f>
        <v/>
      </c>
      <c r="J48" s="552">
        <f>IF(J$41=$B10,IF(J$40="dx",-$K10,-$J10),IF(J$41=$C10,IF(J$40="dx",$K10,$J10),0))</f>
        <v/>
      </c>
      <c r="K48" s="552">
        <f>IF(K$41=$B10,IF(K$40="dx",-$K10,-$J10),IF(K$41=$C10,IF(K$40="dx",$K10,$J10),0))</f>
        <v/>
      </c>
      <c r="L48" s="552">
        <f>IF(L$41=$B10,IF(L$40="dx",-$K10,-$J10),IF(L$41=$C10,IF(L$40="dx",$K10,$J10),0))</f>
        <v/>
      </c>
      <c r="M48" s="552">
        <f>IF(M$41=$B10,IF(M$40="dx",-$K10,-$J10),IF(M$41=$C10,IF(M$40="dx",$K10,$J10),0))</f>
        <v/>
      </c>
      <c r="N48" s="552">
        <f>IF(N$41=$B10,IF(N$40="dx",-$K10,-$J10),IF(N$41=$C10,IF(N$40="dx",$K10,$J10),0))</f>
        <v/>
      </c>
      <c r="O48" s="552">
        <f>IF(O$41=$B10,IF(O$40="dx",-$K10,-$J10),IF(O$41=$C10,IF(O$40="dx",$K10,$J10),0))</f>
        <v/>
      </c>
      <c r="P48" s="552">
        <f>IF(P$41=$B10,IF(P$40="dx",-$K10,-$J10),IF(P$41=$C10,IF(P$40="dx",$K10,$J10),0))</f>
        <v/>
      </c>
      <c r="Q48" s="619">
        <f>IF(Q$41=$B10,IF(Q$40="dx",-$K10,-$J10),IF(Q$41=$C10,IF(Q$40="dx",$K10,$J10),0))</f>
        <v/>
      </c>
      <c r="R48" s="620" t="n"/>
      <c r="S48" s="72">
        <f>M10</f>
        <v/>
      </c>
      <c r="T48" s="542" t="n"/>
    </row>
    <row r="49">
      <c r="A49" s="612" t="n"/>
      <c r="B49" s="618">
        <f>IF(B$41=$B11,IF(B$40="dx",-$K11,-$J11),IF(B$41=$C11,IF(B$40="dx",$K11,$J11),0))</f>
        <v/>
      </c>
      <c r="C49" s="552">
        <f>IF(C$41=$B11,IF(C$40="dx",-$K11,-$J11),IF(C$41=$C11,IF(C$40="dx",$K11,$J11),0))</f>
        <v/>
      </c>
      <c r="D49" s="552">
        <f>IF(D$41=$B11,IF(D$40="dx",-$K11,-$J11),IF(D$41=$C11,IF(D$40="dx",$K11,$J11),0))</f>
        <v/>
      </c>
      <c r="E49" s="552">
        <f>IF(E$41=$B11,IF(E$40="dx",-$K11,-$J11),IF(E$41=$C11,IF(E$40="dx",$K11,$J11),0))</f>
        <v/>
      </c>
      <c r="F49" s="552">
        <f>IF(F$41=$B11,IF(F$40="dx",-$K11,-$J11),IF(F$41=$C11,IF(F$40="dx",$K11,$J11),0))</f>
        <v/>
      </c>
      <c r="G49" s="552">
        <f>IF(G$41=$B11,IF(G$40="dx",-$K11,-$J11),IF(G$41=$C11,IF(G$40="dx",$K11,$J11),0))</f>
        <v/>
      </c>
      <c r="H49" s="552">
        <f>IF(H$41=$B11,IF(H$40="dx",-$K11,-$J11),IF(H$41=$C11,IF(H$40="dx",$K11,$J11),0))</f>
        <v/>
      </c>
      <c r="I49" s="552">
        <f>IF(I$41=$B11,IF(I$40="dx",-$K11,-$J11),IF(I$41=$C11,IF(I$40="dx",$K11,$J11),0))</f>
        <v/>
      </c>
      <c r="J49" s="552">
        <f>IF(J$41=$B11,IF(J$40="dx",-$K11,-$J11),IF(J$41=$C11,IF(J$40="dx",$K11,$J11),0))</f>
        <v/>
      </c>
      <c r="K49" s="552">
        <f>IF(K$41=$B11,IF(K$40="dx",-$K11,-$J11),IF(K$41=$C11,IF(K$40="dx",$K11,$J11),0))</f>
        <v/>
      </c>
      <c r="L49" s="552">
        <f>IF(L$41=$B11,IF(L$40="dx",-$K11,-$J11),IF(L$41=$C11,IF(L$40="dx",$K11,$J11),0))</f>
        <v/>
      </c>
      <c r="M49" s="552">
        <f>IF(M$41=$B11,IF(M$40="dx",-$K11,-$J11),IF(M$41=$C11,IF(M$40="dx",$K11,$J11),0))</f>
        <v/>
      </c>
      <c r="N49" s="552">
        <f>IF(N$41=$B11,IF(N$40="dx",-$K11,-$J11),IF(N$41=$C11,IF(N$40="dx",$K11,$J11),0))</f>
        <v/>
      </c>
      <c r="O49" s="552">
        <f>IF(O$41=$B11,IF(O$40="dx",-$K11,-$J11),IF(O$41=$C11,IF(O$40="dx",$K11,$J11),0))</f>
        <v/>
      </c>
      <c r="P49" s="552">
        <f>IF(P$41=$B11,IF(P$40="dx",-$K11,-$J11),IF(P$41=$C11,IF(P$40="dx",$K11,$J11),0))</f>
        <v/>
      </c>
      <c r="Q49" s="619">
        <f>IF(Q$41=$B11,IF(Q$40="dx",-$K11,-$J11),IF(Q$41=$C11,IF(Q$40="dx",$K11,$J11),0))</f>
        <v/>
      </c>
      <c r="R49" s="620" t="n"/>
      <c r="S49" s="72">
        <f>M11</f>
        <v/>
      </c>
      <c r="T49" s="542" t="n"/>
    </row>
    <row r="50">
      <c r="A50" s="612" t="n"/>
      <c r="B50" s="618">
        <f>IF(B$41=$B12,IF(B$40="dx",-$K12,-$J12),IF(B$41=$C12,IF(B$40="dx",$K12,$J12),0))</f>
        <v/>
      </c>
      <c r="C50" s="552">
        <f>IF(C$41=$B12,IF(C$40="dx",-$K12,-$J12),IF(C$41=$C12,IF(C$40="dx",$K12,$J12),0))</f>
        <v/>
      </c>
      <c r="D50" s="552">
        <f>IF(D$41=$B12,IF(D$40="dx",-$K12,-$J12),IF(D$41=$C12,IF(D$40="dx",$K12,$J12),0))</f>
        <v/>
      </c>
      <c r="E50" s="552">
        <f>IF(E$41=$B12,IF(E$40="dx",-$K12,-$J12),IF(E$41=$C12,IF(E$40="dx",$K12,$J12),0))</f>
        <v/>
      </c>
      <c r="F50" s="552">
        <f>IF(F$41=$B12,IF(F$40="dx",-$K12,-$J12),IF(F$41=$C12,IF(F$40="dx",$K12,$J12),0))</f>
        <v/>
      </c>
      <c r="G50" s="552">
        <f>IF(G$41=$B12,IF(G$40="dx",-$K12,-$J12),IF(G$41=$C12,IF(G$40="dx",$K12,$J12),0))</f>
        <v/>
      </c>
      <c r="H50" s="552">
        <f>IF(H$41=$B12,IF(H$40="dx",-$K12,-$J12),IF(H$41=$C12,IF(H$40="dx",$K12,$J12),0))</f>
        <v/>
      </c>
      <c r="I50" s="552">
        <f>IF(I$41=$B12,IF(I$40="dx",-$K12,-$J12),IF(I$41=$C12,IF(I$40="dx",$K12,$J12),0))</f>
        <v/>
      </c>
      <c r="J50" s="552">
        <f>IF(J$41=$B12,IF(J$40="dx",-$K12,-$J12),IF(J$41=$C12,IF(J$40="dx",$K12,$J12),0))</f>
        <v/>
      </c>
      <c r="K50" s="552">
        <f>IF(K$41=$B12,IF(K$40="dx",-$K12,-$J12),IF(K$41=$C12,IF(K$40="dx",$K12,$J12),0))</f>
        <v/>
      </c>
      <c r="L50" s="552">
        <f>IF(L$41=$B12,IF(L$40="dx",-$K12,-$J12),IF(L$41=$C12,IF(L$40="dx",$K12,$J12),0))</f>
        <v/>
      </c>
      <c r="M50" s="552">
        <f>IF(M$41=$B12,IF(M$40="dx",-$K12,-$J12),IF(M$41=$C12,IF(M$40="dx",$K12,$J12),0))</f>
        <v/>
      </c>
      <c r="N50" s="552">
        <f>IF(N$41=$B12,IF(N$40="dx",-$K12,-$J12),IF(N$41=$C12,IF(N$40="dx",$K12,$J12),0))</f>
        <v/>
      </c>
      <c r="O50" s="552">
        <f>IF(O$41=$B12,IF(O$40="dx",-$K12,-$J12),IF(O$41=$C12,IF(O$40="dx",$K12,$J12),0))</f>
        <v/>
      </c>
      <c r="P50" s="552">
        <f>IF(P$41=$B12,IF(P$40="dx",-$K12,-$J12),IF(P$41=$C12,IF(P$40="dx",$K12,$J12),0))</f>
        <v/>
      </c>
      <c r="Q50" s="619">
        <f>IF(Q$41=$B12,IF(Q$40="dx",-$K12,-$J12),IF(Q$41=$C12,IF(Q$40="dx",$K12,$J12),0))</f>
        <v/>
      </c>
      <c r="R50" s="620" t="n"/>
      <c r="S50" s="72">
        <f>M12</f>
        <v/>
      </c>
      <c r="T50" s="542" t="n"/>
    </row>
    <row r="51">
      <c r="A51" s="612" t="n"/>
      <c r="B51" s="618">
        <f>IF(B$41=$B13,IF(B$40="dx",-$K13,-$J13),IF(B$41=$C13,IF(B$40="dx",$K13,$J13),0))</f>
        <v/>
      </c>
      <c r="C51" s="552">
        <f>IF(C$41=$B13,IF(C$40="dx",-$K13,-$J13),IF(C$41=$C13,IF(C$40="dx",$K13,$J13),0))</f>
        <v/>
      </c>
      <c r="D51" s="552">
        <f>IF(D$41=$B13,IF(D$40="dx",-$K13,-$J13),IF(D$41=$C13,IF(D$40="dx",$K13,$J13),0))</f>
        <v/>
      </c>
      <c r="E51" s="552">
        <f>IF(E$41=$B13,IF(E$40="dx",-$K13,-$J13),IF(E$41=$C13,IF(E$40="dx",$K13,$J13),0))</f>
        <v/>
      </c>
      <c r="F51" s="552">
        <f>IF(F$41=$B13,IF(F$40="dx",-$K13,-$J13),IF(F$41=$C13,IF(F$40="dx",$K13,$J13),0))</f>
        <v/>
      </c>
      <c r="G51" s="552">
        <f>IF(G$41=$B13,IF(G$40="dx",-$K13,-$J13),IF(G$41=$C13,IF(G$40="dx",$K13,$J13),0))</f>
        <v/>
      </c>
      <c r="H51" s="552">
        <f>IF(H$41=$B13,IF(H$40="dx",-$K13,-$J13),IF(H$41=$C13,IF(H$40="dx",$K13,$J13),0))</f>
        <v/>
      </c>
      <c r="I51" s="552">
        <f>IF(I$41=$B13,IF(I$40="dx",-$K13,-$J13),IF(I$41=$C13,IF(I$40="dx",$K13,$J13),0))</f>
        <v/>
      </c>
      <c r="J51" s="552">
        <f>IF(J$41=$B13,IF(J$40="dx",-$K13,-$J13),IF(J$41=$C13,IF(J$40="dx",$K13,$J13),0))</f>
        <v/>
      </c>
      <c r="K51" s="552">
        <f>IF(K$41=$B13,IF(K$40="dx",-$K13,-$J13),IF(K$41=$C13,IF(K$40="dx",$K13,$J13),0))</f>
        <v/>
      </c>
      <c r="L51" s="552">
        <f>IF(L$41=$B13,IF(L$40="dx",-$K13,-$J13),IF(L$41=$C13,IF(L$40="dx",$K13,$J13),0))</f>
        <v/>
      </c>
      <c r="M51" s="552">
        <f>IF(M$41=$B13,IF(M$40="dx",-$K13,-$J13),IF(M$41=$C13,IF(M$40="dx",$K13,$J13),0))</f>
        <v/>
      </c>
      <c r="N51" s="552">
        <f>IF(N$41=$B13,IF(N$40="dx",-$K13,-$J13),IF(N$41=$C13,IF(N$40="dx",$K13,$J13),0))</f>
        <v/>
      </c>
      <c r="O51" s="552">
        <f>IF(O$41=$B13,IF(O$40="dx",-$K13,-$J13),IF(O$41=$C13,IF(O$40="dx",$K13,$J13),0))</f>
        <v/>
      </c>
      <c r="P51" s="552">
        <f>IF(P$41=$B13,IF(P$40="dx",-$K13,-$J13),IF(P$41=$C13,IF(P$40="dx",$K13,$J13),0))</f>
        <v/>
      </c>
      <c r="Q51" s="619">
        <f>IF(Q$41=$B13,IF(Q$40="dx",-$K13,-$J13),IF(Q$41=$C13,IF(Q$40="dx",$K13,$J13),0))</f>
        <v/>
      </c>
      <c r="R51" s="620" t="n"/>
      <c r="S51" s="72">
        <f>M13</f>
        <v/>
      </c>
      <c r="T51" s="542" t="n"/>
    </row>
    <row r="52">
      <c r="A52" s="612" t="n"/>
      <c r="B52" s="618">
        <f>IF(B$41=$B14,IF(B$40="dx",-$K14,-$J14),IF(B$41=$C14,IF(B$40="dx",$K14,$J14),0))</f>
        <v/>
      </c>
      <c r="C52" s="552">
        <f>IF(C$41=$B14,IF(C$40="dx",-$K14,-$J14),IF(C$41=$C14,IF(C$40="dx",$K14,$J14),0))</f>
        <v/>
      </c>
      <c r="D52" s="552">
        <f>IF(D$41=$B14,IF(D$40="dx",-$K14,-$J14),IF(D$41=$C14,IF(D$40="dx",$K14,$J14),0))</f>
        <v/>
      </c>
      <c r="E52" s="552">
        <f>IF(E$41=$B14,IF(E$40="dx",-$K14,-$J14),IF(E$41=$C14,IF(E$40="dx",$K14,$J14),0))</f>
        <v/>
      </c>
      <c r="F52" s="552">
        <f>IF(F$41=$B14,IF(F$40="dx",-$K14,-$J14),IF(F$41=$C14,IF(F$40="dx",$K14,$J14),0))</f>
        <v/>
      </c>
      <c r="G52" s="552">
        <f>IF(G$41=$B14,IF(G$40="dx",-$K14,-$J14),IF(G$41=$C14,IF(G$40="dx",$K14,$J14),0))</f>
        <v/>
      </c>
      <c r="H52" s="552">
        <f>IF(H$41=$B14,IF(H$40="dx",-$K14,-$J14),IF(H$41=$C14,IF(H$40="dx",$K14,$J14),0))</f>
        <v/>
      </c>
      <c r="I52" s="552">
        <f>IF(I$41=$B14,IF(I$40="dx",-$K14,-$J14),IF(I$41=$C14,IF(I$40="dx",$K14,$J14),0))</f>
        <v/>
      </c>
      <c r="J52" s="552">
        <f>IF(J$41=$B14,IF(J$40="dx",-$K14,-$J14),IF(J$41=$C14,IF(J$40="dx",$K14,$J14),0))</f>
        <v/>
      </c>
      <c r="K52" s="552">
        <f>IF(K$41=$B14,IF(K$40="dx",-$K14,-$J14),IF(K$41=$C14,IF(K$40="dx",$K14,$J14),0))</f>
        <v/>
      </c>
      <c r="L52" s="552">
        <f>IF(L$41=$B14,IF(L$40="dx",-$K14,-$J14),IF(L$41=$C14,IF(L$40="dx",$K14,$J14),0))</f>
        <v/>
      </c>
      <c r="M52" s="552">
        <f>IF(M$41=$B14,IF(M$40="dx",-$K14,-$J14),IF(M$41=$C14,IF(M$40="dx",$K14,$J14),0))</f>
        <v/>
      </c>
      <c r="N52" s="552">
        <f>IF(N$41=$B14,IF(N$40="dx",-$K14,-$J14),IF(N$41=$C14,IF(N$40="dx",$K14,$J14),0))</f>
        <v/>
      </c>
      <c r="O52" s="552">
        <f>IF(O$41=$B14,IF(O$40="dx",-$K14,-$J14),IF(O$41=$C14,IF(O$40="dx",$K14,$J14),0))</f>
        <v/>
      </c>
      <c r="P52" s="552">
        <f>IF(P$41=$B14,IF(P$40="dx",-$K14,-$J14),IF(P$41=$C14,IF(P$40="dx",$K14,$J14),0))</f>
        <v/>
      </c>
      <c r="Q52" s="619">
        <f>IF(Q$41=$B14,IF(Q$40="dx",-$K14,-$J14),IF(Q$41=$C14,IF(Q$40="dx",$K14,$J14),0))</f>
        <v/>
      </c>
      <c r="R52" s="620" t="n"/>
      <c r="S52" s="72">
        <f>M14</f>
        <v/>
      </c>
      <c r="T52" s="542" t="n"/>
    </row>
    <row r="53">
      <c r="A53" s="612" t="n"/>
      <c r="B53" s="618">
        <f>IF(B$41=$B15,IF(B$40="dx",-$K15,-$J15),IF(B$41=$C15,IF(B$40="dx",$K15,$J15),0))</f>
        <v/>
      </c>
      <c r="C53" s="552">
        <f>IF(C$41=$B15,IF(C$40="dx",-$K15,-$J15),IF(C$41=$C15,IF(C$40="dx",$K15,$J15),0))</f>
        <v/>
      </c>
      <c r="D53" s="552">
        <f>IF(D$41=$B15,IF(D$40="dx",-$K15,-$J15),IF(D$41=$C15,IF(D$40="dx",$K15,$J15),0))</f>
        <v/>
      </c>
      <c r="E53" s="552">
        <f>IF(E$41=$B15,IF(E$40="dx",-$K15,-$J15),IF(E$41=$C15,IF(E$40="dx",$K15,$J15),0))</f>
        <v/>
      </c>
      <c r="F53" s="552">
        <f>IF(F$41=$B15,IF(F$40="dx",-$K15,-$J15),IF(F$41=$C15,IF(F$40="dx",$K15,$J15),0))</f>
        <v/>
      </c>
      <c r="G53" s="552">
        <f>IF(G$41=$B15,IF(G$40="dx",-$K15,-$J15),IF(G$41=$C15,IF(G$40="dx",$K15,$J15),0))</f>
        <v/>
      </c>
      <c r="H53" s="552">
        <f>IF(H$41=$B15,IF(H$40="dx",-$K15,-$J15),IF(H$41=$C15,IF(H$40="dx",$K15,$J15),0))</f>
        <v/>
      </c>
      <c r="I53" s="552">
        <f>IF(I$41=$B15,IF(I$40="dx",-$K15,-$J15),IF(I$41=$C15,IF(I$40="dx",$K15,$J15),0))</f>
        <v/>
      </c>
      <c r="J53" s="552">
        <f>IF(J$41=$B15,IF(J$40="dx",-$K15,-$J15),IF(J$41=$C15,IF(J$40="dx",$K15,$J15),0))</f>
        <v/>
      </c>
      <c r="K53" s="552">
        <f>IF(K$41=$B15,IF(K$40="dx",-$K15,-$J15),IF(K$41=$C15,IF(K$40="dx",$K15,$J15),0))</f>
        <v/>
      </c>
      <c r="L53" s="552">
        <f>IF(L$41=$B15,IF(L$40="dx",-$K15,-$J15),IF(L$41=$C15,IF(L$40="dx",$K15,$J15),0))</f>
        <v/>
      </c>
      <c r="M53" s="552">
        <f>IF(M$41=$B15,IF(M$40="dx",-$K15,-$J15),IF(M$41=$C15,IF(M$40="dx",$K15,$J15),0))</f>
        <v/>
      </c>
      <c r="N53" s="552">
        <f>IF(N$41=$B15,IF(N$40="dx",-$K15,-$J15),IF(N$41=$C15,IF(N$40="dx",$K15,$J15),0))</f>
        <v/>
      </c>
      <c r="O53" s="552">
        <f>IF(O$41=$B15,IF(O$40="dx",-$K15,-$J15),IF(O$41=$C15,IF(O$40="dx",$K15,$J15),0))</f>
        <v/>
      </c>
      <c r="P53" s="552">
        <f>IF(P$41=$B15,IF(P$40="dx",-$K15,-$J15),IF(P$41=$C15,IF(P$40="dx",$K15,$J15),0))</f>
        <v/>
      </c>
      <c r="Q53" s="619">
        <f>IF(Q$41=$B15,IF(Q$40="dx",-$K15,-$J15),IF(Q$41=$C15,IF(Q$40="dx",$K15,$J15),0))</f>
        <v/>
      </c>
      <c r="R53" s="620" t="n"/>
      <c r="S53" s="72">
        <f>M15</f>
        <v/>
      </c>
      <c r="T53" s="542" t="n"/>
    </row>
    <row r="54">
      <c r="A54" s="612" t="n"/>
      <c r="B54" s="618">
        <f>IF(B$41=$B16,IF(B$40="dx",-$K16,-$J16),IF(B$41=$C16,IF(B$40="dx",$K16,$J16),0))</f>
        <v/>
      </c>
      <c r="C54" s="552">
        <f>IF(C$41=$B16,IF(C$40="dx",-$K16,-$J16),IF(C$41=$C16,IF(C$40="dx",$K16,$J16),0))</f>
        <v/>
      </c>
      <c r="D54" s="552">
        <f>IF(D$41=$B16,IF(D$40="dx",-$K16,-$J16),IF(D$41=$C16,IF(D$40="dx",$K16,$J16),0))</f>
        <v/>
      </c>
      <c r="E54" s="552">
        <f>IF(E$41=$B16,IF(E$40="dx",-$K16,-$J16),IF(E$41=$C16,IF(E$40="dx",$K16,$J16),0))</f>
        <v/>
      </c>
      <c r="F54" s="552">
        <f>IF(F$41=$B16,IF(F$40="dx",-$K16,-$J16),IF(F$41=$C16,IF(F$40="dx",$K16,$J16),0))</f>
        <v/>
      </c>
      <c r="G54" s="552">
        <f>IF(G$41=$B16,IF(G$40="dx",-$K16,-$J16),IF(G$41=$C16,IF(G$40="dx",$K16,$J16),0))</f>
        <v/>
      </c>
      <c r="H54" s="552">
        <f>IF(H$41=$B16,IF(H$40="dx",-$K16,-$J16),IF(H$41=$C16,IF(H$40="dx",$K16,$J16),0))</f>
        <v/>
      </c>
      <c r="I54" s="552">
        <f>IF(I$41=$B16,IF(I$40="dx",-$K16,-$J16),IF(I$41=$C16,IF(I$40="dx",$K16,$J16),0))</f>
        <v/>
      </c>
      <c r="J54" s="552">
        <f>IF(J$41=$B16,IF(J$40="dx",-$K16,-$J16),IF(J$41=$C16,IF(J$40="dx",$K16,$J16),0))</f>
        <v/>
      </c>
      <c r="K54" s="552">
        <f>IF(K$41=$B16,IF(K$40="dx",-$K16,-$J16),IF(K$41=$C16,IF(K$40="dx",$K16,$J16),0))</f>
        <v/>
      </c>
      <c r="L54" s="552">
        <f>IF(L$41=$B16,IF(L$40="dx",-$K16,-$J16),IF(L$41=$C16,IF(L$40="dx",$K16,$J16),0))</f>
        <v/>
      </c>
      <c r="M54" s="552">
        <f>IF(M$41=$B16,IF(M$40="dx",-$K16,-$J16),IF(M$41=$C16,IF(M$40="dx",$K16,$J16),0))</f>
        <v/>
      </c>
      <c r="N54" s="552">
        <f>IF(N$41=$B16,IF(N$40="dx",-$K16,-$J16),IF(N$41=$C16,IF(N$40="dx",$K16,$J16),0))</f>
        <v/>
      </c>
      <c r="O54" s="552">
        <f>IF(O$41=$B16,IF(O$40="dx",-$K16,-$J16),IF(O$41=$C16,IF(O$40="dx",$K16,$J16),0))</f>
        <v/>
      </c>
      <c r="P54" s="552">
        <f>IF(P$41=$B16,IF(P$40="dx",-$K16,-$J16),IF(P$41=$C16,IF(P$40="dx",$K16,$J16),0))</f>
        <v/>
      </c>
      <c r="Q54" s="619">
        <f>IF(Q$41=$B16,IF(Q$40="dx",-$K16,-$J16),IF(Q$41=$C16,IF(Q$40="dx",$K16,$J16),0))</f>
        <v/>
      </c>
      <c r="R54" s="620" t="n"/>
      <c r="S54" s="72">
        <f>M16</f>
        <v/>
      </c>
      <c r="T54" s="542" t="n"/>
    </row>
    <row r="55">
      <c r="A55" s="612" t="n"/>
      <c r="B55" s="618">
        <f>IF(B$41=$B17,IF(B$40="dx",-$K17,-$J17),IF(B$41=$C17,IF(B$40="dx",$K17,$J17),0))</f>
        <v/>
      </c>
      <c r="C55" s="552">
        <f>IF(C$41=$B17,IF(C$40="dx",-$K17,-$J17),IF(C$41=$C17,IF(C$40="dx",$K17,$J17),0))</f>
        <v/>
      </c>
      <c r="D55" s="552">
        <f>IF(D$41=$B17,IF(D$40="dx",-$K17,-$J17),IF(D$41=$C17,IF(D$40="dx",$K17,$J17),0))</f>
        <v/>
      </c>
      <c r="E55" s="552">
        <f>IF(E$41=$B17,IF(E$40="dx",-$K17,-$J17),IF(E$41=$C17,IF(E$40="dx",$K17,$J17),0))</f>
        <v/>
      </c>
      <c r="F55" s="552">
        <f>IF(F$41=$B17,IF(F$40="dx",-$K17,-$J17),IF(F$41=$C17,IF(F$40="dx",$K17,$J17),0))</f>
        <v/>
      </c>
      <c r="G55" s="552">
        <f>IF(G$41=$B17,IF(G$40="dx",-$K17,-$J17),IF(G$41=$C17,IF(G$40="dx",$K17,$J17),0))</f>
        <v/>
      </c>
      <c r="H55" s="552">
        <f>IF(H$41=$B17,IF(H$40="dx",-$K17,-$J17),IF(H$41=$C17,IF(H$40="dx",$K17,$J17),0))</f>
        <v/>
      </c>
      <c r="I55" s="552">
        <f>IF(I$41=$B17,IF(I$40="dx",-$K17,-$J17),IF(I$41=$C17,IF(I$40="dx",$K17,$J17),0))</f>
        <v/>
      </c>
      <c r="J55" s="552">
        <f>IF(J$41=$B17,IF(J$40="dx",-$K17,-$J17),IF(J$41=$C17,IF(J$40="dx",$K17,$J17),0))</f>
        <v/>
      </c>
      <c r="K55" s="552">
        <f>IF(K$41=$B17,IF(K$40="dx",-$K17,-$J17),IF(K$41=$C17,IF(K$40="dx",$K17,$J17),0))</f>
        <v/>
      </c>
      <c r="L55" s="552">
        <f>IF(L$41=$B17,IF(L$40="dx",-$K17,-$J17),IF(L$41=$C17,IF(L$40="dx",$K17,$J17),0))</f>
        <v/>
      </c>
      <c r="M55" s="552">
        <f>IF(M$41=$B17,IF(M$40="dx",-$K17,-$J17),IF(M$41=$C17,IF(M$40="dx",$K17,$J17),0))</f>
        <v/>
      </c>
      <c r="N55" s="552">
        <f>IF(N$41=$B17,IF(N$40="dx",-$K17,-$J17),IF(N$41=$C17,IF(N$40="dx",$K17,$J17),0))</f>
        <v/>
      </c>
      <c r="O55" s="552">
        <f>IF(O$41=$B17,IF(O$40="dx",-$K17,-$J17),IF(O$41=$C17,IF(O$40="dx",$K17,$J17),0))</f>
        <v/>
      </c>
      <c r="P55" s="552">
        <f>IF(P$41=$B17,IF(P$40="dx",-$K17,-$J17),IF(P$41=$C17,IF(P$40="dx",$K17,$J17),0))</f>
        <v/>
      </c>
      <c r="Q55" s="619">
        <f>IF(Q$41=$B17,IF(Q$40="dx",-$K17,-$J17),IF(Q$41=$C17,IF(Q$40="dx",$K17,$J17),0))</f>
        <v/>
      </c>
      <c r="R55" s="620" t="n"/>
      <c r="S55" s="72">
        <f>M17</f>
        <v/>
      </c>
      <c r="T55" s="542" t="n"/>
    </row>
    <row r="56">
      <c r="A56" s="612" t="n"/>
      <c r="B56" s="618">
        <f>IF(B$41=$B18,IF(B$40="dx",-$K18,-$J18),IF(B$41=$C18,IF(B$40="dx",$K18,$J18),0))</f>
        <v/>
      </c>
      <c r="C56" s="552">
        <f>IF(C$41=$B18,IF(C$40="dx",-$K18,-$J18),IF(C$41=$C18,IF(C$40="dx",$K18,$J18),0))</f>
        <v/>
      </c>
      <c r="D56" s="552">
        <f>IF(D$41=$B18,IF(D$40="dx",-$K18,-$J18),IF(D$41=$C18,IF(D$40="dx",$K18,$J18),0))</f>
        <v/>
      </c>
      <c r="E56" s="552">
        <f>IF(E$41=$B18,IF(E$40="dx",-$K18,-$J18),IF(E$41=$C18,IF(E$40="dx",$K18,$J18),0))</f>
        <v/>
      </c>
      <c r="F56" s="552">
        <f>IF(F$41=$B18,IF(F$40="dx",-$K18,-$J18),IF(F$41=$C18,IF(F$40="dx",$K18,$J18),0))</f>
        <v/>
      </c>
      <c r="G56" s="552">
        <f>IF(G$41=$B18,IF(G$40="dx",-$K18,-$J18),IF(G$41=$C18,IF(G$40="dx",$K18,$J18),0))</f>
        <v/>
      </c>
      <c r="H56" s="552">
        <f>IF(H$41=$B18,IF(H$40="dx",-$K18,-$J18),IF(H$41=$C18,IF(H$40="dx",$K18,$J18),0))</f>
        <v/>
      </c>
      <c r="I56" s="552">
        <f>IF(I$41=$B18,IF(I$40="dx",-$K18,-$J18),IF(I$41=$C18,IF(I$40="dx",$K18,$J18),0))</f>
        <v/>
      </c>
      <c r="J56" s="552">
        <f>IF(J$41=$B18,IF(J$40="dx",-$K18,-$J18),IF(J$41=$C18,IF(J$40="dx",$K18,$J18),0))</f>
        <v/>
      </c>
      <c r="K56" s="552">
        <f>IF(K$41=$B18,IF(K$40="dx",-$K18,-$J18),IF(K$41=$C18,IF(K$40="dx",$K18,$J18),0))</f>
        <v/>
      </c>
      <c r="L56" s="552">
        <f>IF(L$41=$B18,IF(L$40="dx",-$K18,-$J18),IF(L$41=$C18,IF(L$40="dx",$K18,$J18),0))</f>
        <v/>
      </c>
      <c r="M56" s="552">
        <f>IF(M$41=$B18,IF(M$40="dx",-$K18,-$J18),IF(M$41=$C18,IF(M$40="dx",$K18,$J18),0))</f>
        <v/>
      </c>
      <c r="N56" s="552">
        <f>IF(N$41=$B18,IF(N$40="dx",-$K18,-$J18),IF(N$41=$C18,IF(N$40="dx",$K18,$J18),0))</f>
        <v/>
      </c>
      <c r="O56" s="552">
        <f>IF(O$41=$B18,IF(O$40="dx",-$K18,-$J18),IF(O$41=$C18,IF(O$40="dx",$K18,$J18),0))</f>
        <v/>
      </c>
      <c r="P56" s="552">
        <f>IF(P$41=$B18,IF(P$40="dx",-$K18,-$J18),IF(P$41=$C18,IF(P$40="dx",$K18,$J18),0))</f>
        <v/>
      </c>
      <c r="Q56" s="619">
        <f>IF(Q$41=$B18,IF(Q$40="dx",-$K18,-$J18),IF(Q$41=$C18,IF(Q$40="dx",$K18,$J18),0))</f>
        <v/>
      </c>
      <c r="R56" s="620" t="n"/>
      <c r="S56" s="72">
        <f>M18</f>
        <v/>
      </c>
      <c r="T56" s="542" t="n"/>
    </row>
    <row r="57">
      <c r="A57" s="612" t="n"/>
      <c r="B57" s="618">
        <f>IF(B$41=$B19,IF(B$40="dx",-$K19,-$J19),IF(B$41=$C19,IF(B$40="dx",$K19,$J19),0))</f>
        <v/>
      </c>
      <c r="C57" s="552">
        <f>IF(C$41=$B19,IF(C$40="dx",-$K19,-$J19),IF(C$41=$C19,IF(C$40="dx",$K19,$J19),0))</f>
        <v/>
      </c>
      <c r="D57" s="552">
        <f>IF(D$41=$B19,IF(D$40="dx",-$K19,-$J19),IF(D$41=$C19,IF(D$40="dx",$K19,$J19),0))</f>
        <v/>
      </c>
      <c r="E57" s="552">
        <f>IF(E$41=$B19,IF(E$40="dx",-$K19,-$J19),IF(E$41=$C19,IF(E$40="dx",$K19,$J19),0))</f>
        <v/>
      </c>
      <c r="F57" s="552">
        <f>IF(F$41=$B19,IF(F$40="dx",-$K19,-$J19),IF(F$41=$C19,IF(F$40="dx",$K19,$J19),0))</f>
        <v/>
      </c>
      <c r="G57" s="552">
        <f>IF(G$41=$B19,IF(G$40="dx",-$K19,-$J19),IF(G$41=$C19,IF(G$40="dx",$K19,$J19),0))</f>
        <v/>
      </c>
      <c r="H57" s="552">
        <f>IF(H$41=$B19,IF(H$40="dx",-$K19,-$J19),IF(H$41=$C19,IF(H$40="dx",$K19,$J19),0))</f>
        <v/>
      </c>
      <c r="I57" s="552">
        <f>IF(I$41=$B19,IF(I$40="dx",-$K19,-$J19),IF(I$41=$C19,IF(I$40="dx",$K19,$J19),0))</f>
        <v/>
      </c>
      <c r="J57" s="552">
        <f>IF(J$41=$B19,IF(J$40="dx",-$K19,-$J19),IF(J$41=$C19,IF(J$40="dx",$K19,$J19),0))</f>
        <v/>
      </c>
      <c r="K57" s="552">
        <f>IF(K$41=$B19,IF(K$40="dx",-$K19,-$J19),IF(K$41=$C19,IF(K$40="dx",$K19,$J19),0))</f>
        <v/>
      </c>
      <c r="L57" s="552">
        <f>IF(L$41=$B19,IF(L$40="dx",-$K19,-$J19),IF(L$41=$C19,IF(L$40="dx",$K19,$J19),0))</f>
        <v/>
      </c>
      <c r="M57" s="552">
        <f>IF(M$41=$B19,IF(M$40="dx",-$K19,-$J19),IF(M$41=$C19,IF(M$40="dx",$K19,$J19),0))</f>
        <v/>
      </c>
      <c r="N57" s="552">
        <f>IF(N$41=$B19,IF(N$40="dx",-$K19,-$J19),IF(N$41=$C19,IF(N$40="dx",$K19,$J19),0))</f>
        <v/>
      </c>
      <c r="O57" s="552">
        <f>IF(O$41=$B19,IF(O$40="dx",-$K19,-$J19),IF(O$41=$C19,IF(O$40="dx",$K19,$J19),0))</f>
        <v/>
      </c>
      <c r="P57" s="552">
        <f>IF(P$41=$B19,IF(P$40="dx",-$K19,-$J19),IF(P$41=$C19,IF(P$40="dx",$K19,$J19),0))</f>
        <v/>
      </c>
      <c r="Q57" s="619">
        <f>IF(Q$41=$B19,IF(Q$40="dx",-$K19,-$J19),IF(Q$41=$C19,IF(Q$40="dx",$K19,$J19),0))</f>
        <v/>
      </c>
      <c r="R57" s="620" t="n"/>
      <c r="S57" s="72">
        <f>M19</f>
        <v/>
      </c>
      <c r="T57" s="542" t="n"/>
    </row>
    <row r="58">
      <c r="A58" s="612" t="n"/>
      <c r="B58" s="618">
        <f>IF(B$41=$B20,IF(B$40="dx",-$K20,-$J20),IF(B$41=$C20,IF(B$40="dx",$K20,$J20),0))</f>
        <v/>
      </c>
      <c r="C58" s="552">
        <f>IF(C$41=$B20,IF(C$40="dx",-$K20,-$J20),IF(C$41=$C20,IF(C$40="dx",$K20,$J20),0))</f>
        <v/>
      </c>
      <c r="D58" s="552">
        <f>IF(D$41=$B20,IF(D$40="dx",-$K20,-$J20),IF(D$41=$C20,IF(D$40="dx",$K20,$J20),0))</f>
        <v/>
      </c>
      <c r="E58" s="552">
        <f>IF(E$41=$B20,IF(E$40="dx",-$K20,-$J20),IF(E$41=$C20,IF(E$40="dx",$K20,$J20),0))</f>
        <v/>
      </c>
      <c r="F58" s="552">
        <f>IF(F$41=$B20,IF(F$40="dx",-$K20,-$J20),IF(F$41=$C20,IF(F$40="dx",$K20,$J20),0))</f>
        <v/>
      </c>
      <c r="G58" s="552">
        <f>IF(G$41=$B20,IF(G$40="dx",-$K20,-$J20),IF(G$41=$C20,IF(G$40="dx",$K20,$J20),0))</f>
        <v/>
      </c>
      <c r="H58" s="552">
        <f>IF(H$41=$B20,IF(H$40="dx",-$K20,-$J20),IF(H$41=$C20,IF(H$40="dx",$K20,$J20),0))</f>
        <v/>
      </c>
      <c r="I58" s="552">
        <f>IF(I$41=$B20,IF(I$40="dx",-$K20,-$J20),IF(I$41=$C20,IF(I$40="dx",$K20,$J20),0))</f>
        <v/>
      </c>
      <c r="J58" s="552">
        <f>IF(J$41=$B20,IF(J$40="dx",-$K20,-$J20),IF(J$41=$C20,IF(J$40="dx",$K20,$J20),0))</f>
        <v/>
      </c>
      <c r="K58" s="552">
        <f>IF(K$41=$B20,IF(K$40="dx",-$K20,-$J20),IF(K$41=$C20,IF(K$40="dx",$K20,$J20),0))</f>
        <v/>
      </c>
      <c r="L58" s="552">
        <f>IF(L$41=$B20,IF(L$40="dx",-$K20,-$J20),IF(L$41=$C20,IF(L$40="dx",$K20,$J20),0))</f>
        <v/>
      </c>
      <c r="M58" s="552">
        <f>IF(M$41=$B20,IF(M$40="dx",-$K20,-$J20),IF(M$41=$C20,IF(M$40="dx",$K20,$J20),0))</f>
        <v/>
      </c>
      <c r="N58" s="552">
        <f>IF(N$41=$B20,IF(N$40="dx",-$K20,-$J20),IF(N$41=$C20,IF(N$40="dx",$K20,$J20),0))</f>
        <v/>
      </c>
      <c r="O58" s="552">
        <f>IF(O$41=$B20,IF(O$40="dx",-$K20,-$J20),IF(O$41=$C20,IF(O$40="dx",$K20,$J20),0))</f>
        <v/>
      </c>
      <c r="P58" s="552">
        <f>IF(P$41=$B20,IF(P$40="dx",-$K20,-$J20),IF(P$41=$C20,IF(P$40="dx",$K20,$J20),0))</f>
        <v/>
      </c>
      <c r="Q58" s="619">
        <f>IF(Q$41=$B20,IF(Q$40="dx",-$K20,-$J20),IF(Q$41=$C20,IF(Q$40="dx",$K20,$J20),0))</f>
        <v/>
      </c>
      <c r="R58" s="620" t="n"/>
      <c r="S58" s="72">
        <f>M20</f>
        <v/>
      </c>
      <c r="T58" s="542" t="n"/>
    </row>
    <row r="59">
      <c r="A59" s="612" t="n"/>
      <c r="B59" s="618">
        <f>IF(B$41=$B21,IF(B$40="dx",-$K21,-$J21),IF(B$41=$C21,IF(B$40="dx",$K21,$J21),0))</f>
        <v/>
      </c>
      <c r="C59" s="552">
        <f>IF(C$41=$B21,IF(C$40="dx",-$K21,-$J21),IF(C$41=$C21,IF(C$40="dx",$K21,$J21),0))</f>
        <v/>
      </c>
      <c r="D59" s="552">
        <f>IF(D$41=$B21,IF(D$40="dx",-$K21,-$J21),IF(D$41=$C21,IF(D$40="dx",$K21,$J21),0))</f>
        <v/>
      </c>
      <c r="E59" s="552">
        <f>IF(E$41=$B21,IF(E$40="dx",-$K21,-$J21),IF(E$41=$C21,IF(E$40="dx",$K21,$J21),0))</f>
        <v/>
      </c>
      <c r="F59" s="552">
        <f>IF(F$41=$B21,IF(F$40="dx",-$K21,-$J21),IF(F$41=$C21,IF(F$40="dx",$K21,$J21),0))</f>
        <v/>
      </c>
      <c r="G59" s="552">
        <f>IF(G$41=$B21,IF(G$40="dx",-$K21,-$J21),IF(G$41=$C21,IF(G$40="dx",$K21,$J21),0))</f>
        <v/>
      </c>
      <c r="H59" s="552">
        <f>IF(H$41=$B21,IF(H$40="dx",-$K21,-$J21),IF(H$41=$C21,IF(H$40="dx",$K21,$J21),0))</f>
        <v/>
      </c>
      <c r="I59" s="552">
        <f>IF(I$41=$B21,IF(I$40="dx",-$K21,-$J21),IF(I$41=$C21,IF(I$40="dx",$K21,$J21),0))</f>
        <v/>
      </c>
      <c r="J59" s="552">
        <f>IF(J$41=$B21,IF(J$40="dx",-$K21,-$J21),IF(J$41=$C21,IF(J$40="dx",$K21,$J21),0))</f>
        <v/>
      </c>
      <c r="K59" s="552">
        <f>IF(K$41=$B21,IF(K$40="dx",-$K21,-$J21),IF(K$41=$C21,IF(K$40="dx",$K21,$J21),0))</f>
        <v/>
      </c>
      <c r="L59" s="552">
        <f>IF(L$41=$B21,IF(L$40="dx",-$K21,-$J21),IF(L$41=$C21,IF(L$40="dx",$K21,$J21),0))</f>
        <v/>
      </c>
      <c r="M59" s="552">
        <f>IF(M$41=$B21,IF(M$40="dx",-$K21,-$J21),IF(M$41=$C21,IF(M$40="dx",$K21,$J21),0))</f>
        <v/>
      </c>
      <c r="N59" s="552">
        <f>IF(N$41=$B21,IF(N$40="dx",-$K21,-$J21),IF(N$41=$C21,IF(N$40="dx",$K21,$J21),0))</f>
        <v/>
      </c>
      <c r="O59" s="552">
        <f>IF(O$41=$B21,IF(O$40="dx",-$K21,-$J21),IF(O$41=$C21,IF(O$40="dx",$K21,$J21),0))</f>
        <v/>
      </c>
      <c r="P59" s="552">
        <f>IF(P$41=$B21,IF(P$40="dx",-$K21,-$J21),IF(P$41=$C21,IF(P$40="dx",$K21,$J21),0))</f>
        <v/>
      </c>
      <c r="Q59" s="619">
        <f>IF(Q$41=$B21,IF(Q$40="dx",-$K21,-$J21),IF(Q$41=$C21,IF(Q$40="dx",$K21,$J21),0))</f>
        <v/>
      </c>
      <c r="R59" s="620" t="n"/>
      <c r="S59" s="72">
        <f>M21</f>
        <v/>
      </c>
      <c r="T59" s="542" t="n"/>
    </row>
    <row r="60">
      <c r="A60" s="612" t="n"/>
      <c r="B60" s="618">
        <f>IF(B$41=$B22,IF(B$40="dx",-$K22,-$J22),IF(B$41=$C22,IF(B$40="dx",$K22,$J22),0))</f>
        <v/>
      </c>
      <c r="C60" s="552">
        <f>IF(C$41=$B22,IF(C$40="dx",-$K22,-$J22),IF(C$41=$C22,IF(C$40="dx",$K22,$J22),0))</f>
        <v/>
      </c>
      <c r="D60" s="552">
        <f>IF(D$41=$B22,IF(D$40="dx",-$K22,-$J22),IF(D$41=$C22,IF(D$40="dx",$K22,$J22),0))</f>
        <v/>
      </c>
      <c r="E60" s="552">
        <f>IF(E$41=$B22,IF(E$40="dx",-$K22,-$J22),IF(E$41=$C22,IF(E$40="dx",$K22,$J22),0))</f>
        <v/>
      </c>
      <c r="F60" s="552">
        <f>IF(F$41=$B22,IF(F$40="dx",-$K22,-$J22),IF(F$41=$C22,IF(F$40="dx",$K22,$J22),0))</f>
        <v/>
      </c>
      <c r="G60" s="552">
        <f>IF(G$41=$B22,IF(G$40="dx",-$K22,-$J22),IF(G$41=$C22,IF(G$40="dx",$K22,$J22),0))</f>
        <v/>
      </c>
      <c r="H60" s="552">
        <f>IF(H$41=$B22,IF(H$40="dx",-$K22,-$J22),IF(H$41=$C22,IF(H$40="dx",$K22,$J22),0))</f>
        <v/>
      </c>
      <c r="I60" s="552">
        <f>IF(I$41=$B22,IF(I$40="dx",-$K22,-$J22),IF(I$41=$C22,IF(I$40="dx",$K22,$J22),0))</f>
        <v/>
      </c>
      <c r="J60" s="552">
        <f>IF(J$41=$B22,IF(J$40="dx",-$K22,-$J22),IF(J$41=$C22,IF(J$40="dx",$K22,$J22),0))</f>
        <v/>
      </c>
      <c r="K60" s="552">
        <f>IF(K$41=$B22,IF(K$40="dx",-$K22,-$J22),IF(K$41=$C22,IF(K$40="dx",$K22,$J22),0))</f>
        <v/>
      </c>
      <c r="L60" s="552">
        <f>IF(L$41=$B22,IF(L$40="dx",-$K22,-$J22),IF(L$41=$C22,IF(L$40="dx",$K22,$J22),0))</f>
        <v/>
      </c>
      <c r="M60" s="552">
        <f>IF(M$41=$B22,IF(M$40="dx",-$K22,-$J22),IF(M$41=$C22,IF(M$40="dx",$K22,$J22),0))</f>
        <v/>
      </c>
      <c r="N60" s="552">
        <f>IF(N$41=$B22,IF(N$40="dx",-$K22,-$J22),IF(N$41=$C22,IF(N$40="dx",$K22,$J22),0))</f>
        <v/>
      </c>
      <c r="O60" s="552">
        <f>IF(O$41=$B22,IF(O$40="dx",-$K22,-$J22),IF(O$41=$C22,IF(O$40="dx",$K22,$J22),0))</f>
        <v/>
      </c>
      <c r="P60" s="552">
        <f>IF(P$41=$B22,IF(P$40="dx",-$K22,-$J22),IF(P$41=$C22,IF(P$40="dx",$K22,$J22),0))</f>
        <v/>
      </c>
      <c r="Q60" s="619">
        <f>IF(Q$41=$B22,IF(Q$40="dx",-$K22,-$J22),IF(Q$41=$C22,IF(Q$40="dx",$K22,$J22),0))</f>
        <v/>
      </c>
      <c r="R60" s="620" t="n"/>
      <c r="S60" s="72">
        <f>M22</f>
        <v/>
      </c>
      <c r="T60" s="542" t="n"/>
    </row>
    <row r="61">
      <c r="A61" s="612" t="n"/>
      <c r="B61" s="618">
        <f>IF(B$41=$B23,IF(B$40="dx",-$K23,-$J23),IF(B$41=$C23,IF(B$40="dx",$K23,$J23),0))</f>
        <v/>
      </c>
      <c r="C61" s="552">
        <f>IF(C$41=$B23,IF(C$40="dx",-$K23,-$J23),IF(C$41=$C23,IF(C$40="dx",$K23,$J23),0))</f>
        <v/>
      </c>
      <c r="D61" s="552">
        <f>IF(D$41=$B23,IF(D$40="dx",-$K23,-$J23),IF(D$41=$C23,IF(D$40="dx",$K23,$J23),0))</f>
        <v/>
      </c>
      <c r="E61" s="552">
        <f>IF(E$41=$B23,IF(E$40="dx",-$K23,-$J23),IF(E$41=$C23,IF(E$40="dx",$K23,$J23),0))</f>
        <v/>
      </c>
      <c r="F61" s="552">
        <f>IF(F$41=$B23,IF(F$40="dx",-$K23,-$J23),IF(F$41=$C23,IF(F$40="dx",$K23,$J23),0))</f>
        <v/>
      </c>
      <c r="G61" s="552">
        <f>IF(G$41=$B23,IF(G$40="dx",-$K23,-$J23),IF(G$41=$C23,IF(G$40="dx",$K23,$J23),0))</f>
        <v/>
      </c>
      <c r="H61" s="552">
        <f>IF(H$41=$B23,IF(H$40="dx",-$K23,-$J23),IF(H$41=$C23,IF(H$40="dx",$K23,$J23),0))</f>
        <v/>
      </c>
      <c r="I61" s="552">
        <f>IF(I$41=$B23,IF(I$40="dx",-$K23,-$J23),IF(I$41=$C23,IF(I$40="dx",$K23,$J23),0))</f>
        <v/>
      </c>
      <c r="J61" s="552">
        <f>IF(J$41=$B23,IF(J$40="dx",-$K23,-$J23),IF(J$41=$C23,IF(J$40="dx",$K23,$J23),0))</f>
        <v/>
      </c>
      <c r="K61" s="552">
        <f>IF(K$41=$B23,IF(K$40="dx",-$K23,-$J23),IF(K$41=$C23,IF(K$40="dx",$K23,$J23),0))</f>
        <v/>
      </c>
      <c r="L61" s="552">
        <f>IF(L$41=$B23,IF(L$40="dx",-$K23,-$J23),IF(L$41=$C23,IF(L$40="dx",$K23,$J23),0))</f>
        <v/>
      </c>
      <c r="M61" s="552">
        <f>IF(M$41=$B23,IF(M$40="dx",-$K23,-$J23),IF(M$41=$C23,IF(M$40="dx",$K23,$J23),0))</f>
        <v/>
      </c>
      <c r="N61" s="552">
        <f>IF(N$41=$B23,IF(N$40="dx",-$K23,-$J23),IF(N$41=$C23,IF(N$40="dx",$K23,$J23),0))</f>
        <v/>
      </c>
      <c r="O61" s="552">
        <f>IF(O$41=$B23,IF(O$40="dx",-$K23,-$J23),IF(O$41=$C23,IF(O$40="dx",$K23,$J23),0))</f>
        <v/>
      </c>
      <c r="P61" s="552">
        <f>IF(P$41=$B23,IF(P$40="dx",-$K23,-$J23),IF(P$41=$C23,IF(P$40="dx",$K23,$J23),0))</f>
        <v/>
      </c>
      <c r="Q61" s="619">
        <f>IF(Q$41=$B23,IF(Q$40="dx",-$K23,-$J23),IF(Q$41=$C23,IF(Q$40="dx",$K23,$J23),0))</f>
        <v/>
      </c>
      <c r="R61" s="620" t="n"/>
      <c r="S61" s="72">
        <f>M23</f>
        <v/>
      </c>
      <c r="T61" s="542" t="n"/>
    </row>
    <row r="62">
      <c r="A62" s="612" t="n"/>
      <c r="B62" s="621">
        <f>IF(B$41=$C26,IF(B$40="dx",$R26,-$Q26),IF(B$41=$D26,IF(B$40="dx",-$T26,$S26),IF(B$41=$B26,IF(B$40="dx",($T26-$R26),($Q26-$S26)),0)))</f>
        <v/>
      </c>
      <c r="C62" s="622">
        <f>IF(C$41=$C26,IF(C$40="dx",$R26,-$Q26),IF(C$41=$D26,IF(C$40="dx",-$T26,$S26),IF(C$41=$B26,IF(C$40="dx",($T26-$R26),($Q26-$S26)),0)))</f>
        <v/>
      </c>
      <c r="D62" s="622">
        <f>IF(D$41=$C26,IF(D$40="dx",$R26,-$Q26),IF(D$41=$D26,IF(D$40="dx",-$T26,$S26),IF(D$41=$B26,IF(D$40="dx",($T26-$R26),($Q26-$S26)),0)))</f>
        <v/>
      </c>
      <c r="E62" s="622">
        <f>IF(E$41=$C26,IF(E$40="dx",$R26,-$Q26),IF(E$41=$D26,IF(E$40="dx",-$T26,$S26),IF(E$41=$B26,IF(E$40="dx",($T26-$R26),($Q26-$S26)),0)))</f>
        <v/>
      </c>
      <c r="F62" s="622">
        <f>IF(F$41=$C26,IF(F$40="dx",$R26,-$Q26),IF(F$41=$D26,IF(F$40="dx",-$T26,$S26),IF(F$41=$B26,IF(F$40="dx",($T26-$R26),($Q26-$S26)),0)))</f>
        <v/>
      </c>
      <c r="G62" s="622">
        <f>IF(G$41=$C26,IF(G$40="dx",$R26,-$Q26),IF(G$41=$D26,IF(G$40="dx",-$T26,$S26),IF(G$41=$B26,IF(G$40="dx",($T26-$R26),($Q26-$S26)),0)))</f>
        <v/>
      </c>
      <c r="H62" s="622">
        <f>IF(H$41=$C26,IF(H$40="dx",$R26,-$Q26),IF(H$41=$D26,IF(H$40="dx",-$T26,$S26),IF(H$41=$B26,IF(H$40="dx",($T26-$R26),($Q26-$S26)),0)))</f>
        <v/>
      </c>
      <c r="I62" s="622">
        <f>IF(I$41=$C26,IF(I$40="dx",$R26,-$Q26),IF(I$41=$D26,IF(I$40="dx",-$T26,$S26),IF(I$41=$B26,IF(I$40="dx",($T26-$R26),($Q26-$S26)),0)))</f>
        <v/>
      </c>
      <c r="J62" s="622">
        <f>IF(J$41=$C26,IF(J$40="dx",$R26,-$Q26),IF(J$41=$D26,IF(J$40="dx",-$T26,$S26),IF(J$41=$B26,IF(J$40="dx",($T26-$R26),($Q26-$S26)),0)))</f>
        <v/>
      </c>
      <c r="K62" s="622">
        <f>IF(K$41=$C26,IF(K$40="dx",$R26,-$Q26),IF(K$41=$D26,IF(K$40="dx",-$T26,$S26),IF(K$41=$B26,IF(K$40="dx",($T26-$R26),($Q26-$S26)),0)))</f>
        <v/>
      </c>
      <c r="L62" s="622">
        <f>IF(L$41=$C26,IF(L$40="dx",$R26,-$Q26),IF(L$41=$D26,IF(L$40="dx",-$T26,$S26),IF(L$41=$B26,IF(L$40="dx",($T26-$R26),($Q26-$S26)),0)))</f>
        <v/>
      </c>
      <c r="M62" s="622">
        <f>IF(M$41=$C26,IF(M$40="dx",$R26,-$Q26),IF(M$41=$D26,IF(M$40="dx",-$T26,$S26),IF(M$41=$B26,IF(M$40="dx",($T26-$R26),($Q26-$S26)),0)))</f>
        <v/>
      </c>
      <c r="N62" s="622">
        <f>IF(N$41=$C26,IF(N$40="dx",$R26,-$Q26),IF(N$41=$D26,IF(N$40="dx",-$T26,$S26),IF(N$41=$B26,IF(N$40="dx",($T26-$R26),($Q26-$S26)),0)))</f>
        <v/>
      </c>
      <c r="O62" s="622">
        <f>IF(O$41=$C26,IF(O$40="dx",$R26,-$Q26),IF(O$41=$D26,IF(O$40="dx",-$T26,$S26),IF(O$41=$B26,IF(O$40="dx",($T26-$R26),($Q26-$S26)),0)))</f>
        <v/>
      </c>
      <c r="P62" s="622">
        <f>IF(P$41=$C26,IF(P$40="dx",$R26,-$Q26),IF(P$41=$D26,IF(P$40="dx",-$T26,$S26),IF(P$41=$B26,IF(P$40="dx",($T26-$R26),($Q26-$S26)),0)))</f>
        <v/>
      </c>
      <c r="Q62" s="623">
        <f>IF(Q$41=$C26,IF(Q$40="dx",$R26,-$Q26),IF(Q$41=$D26,IF(Q$40="dx",-$T26,$S26),IF(Q$41=$B26,IF(Q$40="dx",($T26-$R26),($Q26-$S26)),0)))</f>
        <v/>
      </c>
      <c r="R62" s="624" t="n"/>
      <c r="S62" s="89">
        <f>P26*10000</f>
        <v/>
      </c>
      <c r="T62" s="589" t="n"/>
    </row>
    <row r="63">
      <c r="A63" s="612" t="n"/>
      <c r="B63" s="618">
        <f>IF(B$41=$C27,IF(B$40="dx",$R27,-$Q27),IF(B$41=$D27,IF(B$40="dx",-$T27,$S27),IF(B$41=$B27,IF(B$40="dx",($T27-$R27),($Q27-$S27)),0)))</f>
        <v/>
      </c>
      <c r="C63" s="552">
        <f>IF(C$41=$C27,IF(C$40="dx",$R27,-$Q27),IF(C$41=$D27,IF(C$40="dx",-$T27,$S27),IF(C$41=$B27,IF(C$40="dx",($T27-$R27),($Q27-$S27)),0)))</f>
        <v/>
      </c>
      <c r="D63" s="552">
        <f>IF(D$41=$C27,IF(D$40="dx",$R27,-$Q27),IF(D$41=$D27,IF(D$40="dx",-$T27,$S27),IF(D$41=$B27,IF(D$40="dx",($T27-$R27),($Q27-$S27)),0)))</f>
        <v/>
      </c>
      <c r="E63" s="552">
        <f>IF(E$41=$C27,IF(E$40="dx",$R27,-$Q27),IF(E$41=$D27,IF(E$40="dx",-$T27,$S27),IF(E$41=$B27,IF(E$40="dx",($T27-$R27),($Q27-$S27)),0)))</f>
        <v/>
      </c>
      <c r="F63" s="1">
        <f>IF(F$41=$C27,IF(F$40="dx",$R27,-$Q27),IF(F$41=$D27,IF(F$40="dx",-$T27,$S27),IF(F$41=$B27,IF(F$40="dx",($T27-$R27),($Q27-$S27)),0)))</f>
        <v/>
      </c>
      <c r="G63" s="1">
        <f>IF(G$41=$C27,IF(G$40="dx",$R27,-$Q27),IF(G$41=$D27,IF(G$40="dx",-$T27,$S27),IF(G$41=$B27,IF(G$40="dx",($T27-$R27),($Q27-$S27)),0)))</f>
        <v/>
      </c>
      <c r="H63" s="1">
        <f>IF(H$41=$C27,IF(H$40="dx",$R27,-$Q27),IF(H$41=$D27,IF(H$40="dx",-$T27,$S27),IF(H$41=$B27,IF(H$40="dx",($T27-$R27),($Q27-$S27)),0)))</f>
        <v/>
      </c>
      <c r="I63" s="1">
        <f>IF(I$41=$C27,IF(I$40="dx",$R27,-$Q27),IF(I$41=$D27,IF(I$40="dx",-$T27,$S27),IF(I$41=$B27,IF(I$40="dx",($T27-$R27),($Q27-$S27)),0)))</f>
        <v/>
      </c>
      <c r="J63" s="1">
        <f>IF(J$41=$C27,IF(J$40="dx",$R27,-$Q27),IF(J$41=$D27,IF(J$40="dx",-$T27,$S27),IF(J$41=$B27,IF(J$40="dx",($T27-$R27),($Q27-$S27)),0)))</f>
        <v/>
      </c>
      <c r="K63" s="1">
        <f>IF(K$41=$C27,IF(K$40="dx",$R27,-$Q27),IF(K$41=$D27,IF(K$40="dx",-$T27,$S27),IF(K$41=$B27,IF(K$40="dx",($T27-$R27),($Q27-$S27)),0)))</f>
        <v/>
      </c>
      <c r="L63" s="1">
        <f>IF(L$41=$C27,IF(L$40="dx",$R27,-$Q27),IF(L$41=$D27,IF(L$40="dx",-$T27,$S27),IF(L$41=$B27,IF(L$40="dx",($T27-$R27),($Q27-$S27)),0)))</f>
        <v/>
      </c>
      <c r="M63" s="1">
        <f>IF(M$41=$C27,IF(M$40="dx",$R27,-$Q27),IF(M$41=$D27,IF(M$40="dx",-$T27,$S27),IF(M$41=$B27,IF(M$40="dx",($T27-$R27),($Q27-$S27)),0)))</f>
        <v/>
      </c>
      <c r="N63" s="1">
        <f>IF(N$41=$C27,IF(N$40="dx",$R27,-$Q27),IF(N$41=$D27,IF(N$40="dx",-$T27,$S27),IF(N$41=$B27,IF(N$40="dx",($T27-$R27),($Q27-$S27)),0)))</f>
        <v/>
      </c>
      <c r="O63" s="1">
        <f>IF(O$41=$C27,IF(O$40="dx",$R27,-$Q27),IF(O$41=$D27,IF(O$40="dx",-$T27,$S27),IF(O$41=$B27,IF(O$40="dx",($T27-$R27),($Q27-$S27)),0)))</f>
        <v/>
      </c>
      <c r="P63" s="552">
        <f>IF(P$41=$C27,IF(P$40="dx",$R27,-$Q27),IF(P$41=$D27,IF(P$40="dx",-$T27,$S27),IF(P$41=$B27,IF(P$40="dx",($T27-$R27),($Q27-$S27)),0)))</f>
        <v/>
      </c>
      <c r="Q63" s="619">
        <f>IF(Q$41=$C27,IF(Q$40="dx",$R27,-$Q27),IF(Q$41=$D27,IF(Q$40="dx",-$T27,$S27),IF(Q$41=$B27,IF(Q$40="dx",($T27-$R27),($Q27-$S27)),0)))</f>
        <v/>
      </c>
      <c r="R63" s="625" t="n"/>
      <c r="S63" s="90">
        <f>P27*10000</f>
        <v/>
      </c>
      <c r="T63" s="626" t="n"/>
    </row>
    <row r="64">
      <c r="A64" s="612" t="n"/>
      <c r="B64" s="627">
        <f>IF(B$41=$C28,IF(B$40="dx",$R28,-$Q28),IF(B$41=$D28,IF(B$40="dx",-$T28,$S28),IF(B$41=$B28,IF(B$40="dx",($T28-$R28),($Q28-$S28)),0)))</f>
        <v/>
      </c>
      <c r="C64" s="1">
        <f>IF(C$41=$C28,IF(C$40="dx",$R28,-$Q28),IF(C$41=$D28,IF(C$40="dx",-$T28,$S28),IF(C$41=$B28,IF(C$40="dx",($T28-$R28),($Q28-$S28)),0)))</f>
        <v/>
      </c>
      <c r="D64" s="552">
        <f>IF(D$41=$C28,IF(D$40="dx",$R28,-$Q28),IF(D$41=$D28,IF(D$40="dx",-$T28,$S28),IF(D$41=$B28,IF(D$40="dx",($T28-$R28),($Q28-$S28)),0)))</f>
        <v/>
      </c>
      <c r="E64" s="552">
        <f>IF(E$41=$C28,IF(E$40="dx",$R28,-$Q28),IF(E$41=$D28,IF(E$40="dx",-$T28,$S28),IF(E$41=$B28,IF(E$40="dx",($T28-$R28),($Q28-$S28)),0)))</f>
        <v/>
      </c>
      <c r="F64" s="552">
        <f>IF(F$41=$C28,IF(F$40="dx",$R28,-$Q28),IF(F$41=$D28,IF(F$40="dx",-$T28,$S28),IF(F$41=$B28,IF(F$40="dx",($T28-$R28),($Q28-$S28)),0)))</f>
        <v/>
      </c>
      <c r="G64" s="552">
        <f>IF(G$41=$C28,IF(G$40="dx",$R28,-$Q28),IF(G$41=$D28,IF(G$40="dx",-$T28,$S28),IF(G$41=$B28,IF(G$40="dx",($T28-$R28),($Q28-$S28)),0)))</f>
        <v/>
      </c>
      <c r="H64" s="1">
        <f>IF(H$41=$C28,IF(H$40="dx",$R28,-$Q28),IF(H$41=$D28,IF(H$40="dx",-$T28,$S28),IF(H$41=$B28,IF(H$40="dx",($T28-$R28),($Q28-$S28)),0)))</f>
        <v/>
      </c>
      <c r="I64" s="1">
        <f>IF(I$41=$C28,IF(I$40="dx",$R28,-$Q28),IF(I$41=$D28,IF(I$40="dx",-$T28,$S28),IF(I$41=$B28,IF(I$40="dx",($T28-$R28),($Q28-$S28)),0)))</f>
        <v/>
      </c>
      <c r="J64" s="1">
        <f>IF(J$41=$C28,IF(J$40="dx",$R28,-$Q28),IF(J$41=$D28,IF(J$40="dx",-$T28,$S28),IF(J$41=$B28,IF(J$40="dx",($T28-$R28),($Q28-$S28)),0)))</f>
        <v/>
      </c>
      <c r="K64" s="1">
        <f>IF(K$41=$C28,IF(K$40="dx",$R28,-$Q28),IF(K$41=$D28,IF(K$40="dx",-$T28,$S28),IF(K$41=$B28,IF(K$40="dx",($T28-$R28),($Q28-$S28)),0)))</f>
        <v/>
      </c>
      <c r="L64" s="1">
        <f>IF(L$41=$C28,IF(L$40="dx",$R28,-$Q28),IF(L$41=$D28,IF(L$40="dx",-$T28,$S28),IF(L$41=$B28,IF(L$40="dx",($T28-$R28),($Q28-$S28)),0)))</f>
        <v/>
      </c>
      <c r="M64" s="1">
        <f>IF(M$41=$C28,IF(M$40="dx",$R28,-$Q28),IF(M$41=$D28,IF(M$40="dx",-$T28,$S28),IF(M$41=$B28,IF(M$40="dx",($T28-$R28),($Q28-$S28)),0)))</f>
        <v/>
      </c>
      <c r="N64" s="1">
        <f>IF(N$41=$C28,IF(N$40="dx",$R28,-$Q28),IF(N$41=$D28,IF(N$40="dx",-$T28,$S28),IF(N$41=$B28,IF(N$40="dx",($T28-$R28),($Q28-$S28)),0)))</f>
        <v/>
      </c>
      <c r="O64" s="1">
        <f>IF(O$41=$C28,IF(O$40="dx",$R28,-$Q28),IF(O$41=$D28,IF(O$40="dx",-$T28,$S28),IF(O$41=$B28,IF(O$40="dx",($T28-$R28),($Q28-$S28)),0)))</f>
        <v/>
      </c>
      <c r="P64" s="552">
        <f>IF(P$41=$C28,IF(P$40="dx",$R28,-$Q28),IF(P$41=$D28,IF(P$40="dx",-$T28,$S28),IF(P$41=$B28,IF(P$40="dx",($T28-$R28),($Q28-$S28)),0)))</f>
        <v/>
      </c>
      <c r="Q64" s="619">
        <f>IF(Q$41=$C28,IF(Q$40="dx",$R28,-$Q28),IF(Q$41=$D28,IF(Q$40="dx",-$T28,$S28),IF(Q$41=$B28,IF(Q$40="dx",($T28-$R28),($Q28-$S28)),0)))</f>
        <v/>
      </c>
      <c r="R64" s="628" t="n"/>
      <c r="S64" s="90">
        <f>P28*10000</f>
        <v/>
      </c>
      <c r="T64" s="629" t="n"/>
    </row>
    <row r="65">
      <c r="B65" s="627">
        <f>IF(B$41=$C29,IF(B$40="dx",$R29,-$Q29),IF(B$41=$D29,IF(B$40="dx",-$T29,$S29),IF(B$41=$B29,IF(B$40="dx",($T29-$R29),($Q29-$S29)),0)))</f>
        <v/>
      </c>
      <c r="C65" s="1">
        <f>IF(C$41=$C29,IF(C$40="dx",$R29,-$Q29),IF(C$41=$D29,IF(C$40="dx",-$T29,$S29),IF(C$41=$B29,IF(C$40="dx",($T29-$R29),($Q29-$S29)),0)))</f>
        <v/>
      </c>
      <c r="D65" s="1">
        <f>IF(D$41=$C29,IF(D$40="dx",$R29,-$Q29),IF(D$41=$D29,IF(D$40="dx",-$T29,$S29),IF(D$41=$B29,IF(D$40="dx",($T29-$R29),($Q29-$S29)),0)))</f>
        <v/>
      </c>
      <c r="E65" s="1">
        <f>IF(E$41=$C29,IF(E$40="dx",$R29,-$Q29),IF(E$41=$D29,IF(E$40="dx",-$T29,$S29),IF(E$41=$B29,IF(E$40="dx",($T29-$R29),($Q29-$S29)),0)))</f>
        <v/>
      </c>
      <c r="F65" s="552">
        <f>IF(F$41=$C29,IF(F$40="dx",$R29,-$Q29),IF(F$41=$D29,IF(F$40="dx",-$T29,$S29),IF(F$41=$B29,IF(F$40="dx",($T29-$R29),($Q29-$S29)),0)))</f>
        <v/>
      </c>
      <c r="G65" s="552">
        <f>IF(G$41=$C29,IF(G$40="dx",$R29,-$Q29),IF(G$41=$D29,IF(G$40="dx",-$T29,$S29),IF(G$41=$B29,IF(G$40="dx",($T29-$R29),($Q29-$S29)),0)))</f>
        <v/>
      </c>
      <c r="H65" s="552">
        <f>IF(H$41=$C29,IF(H$40="dx",$R29,-$Q29),IF(H$41=$D29,IF(H$40="dx",-$T29,$S29),IF(H$41=$B29,IF(H$40="dx",($T29-$R29),($Q29-$S29)),0)))</f>
        <v/>
      </c>
      <c r="I65" s="552">
        <f>IF(I$41=$C29,IF(I$40="dx",$R29,-$Q29),IF(I$41=$D29,IF(I$40="dx",-$T29,$S29),IF(I$41=$B29,IF(I$40="dx",($T29-$R29),($Q29-$S29)),0)))</f>
        <v/>
      </c>
      <c r="J65" s="1">
        <f>IF(J$41=$C29,IF(J$40="dx",$R29,-$Q29),IF(J$41=$D29,IF(J$40="dx",-$T29,$S29),IF(J$41=$B29,IF(J$40="dx",($T29-$R29),($Q29-$S29)),0)))</f>
        <v/>
      </c>
      <c r="K65" s="1">
        <f>IF(K$41=$C29,IF(K$40="dx",$R29,-$Q29),IF(K$41=$D29,IF(K$40="dx",-$T29,$S29),IF(K$41=$B29,IF(K$40="dx",($T29-$R29),($Q29-$S29)),0)))</f>
        <v/>
      </c>
      <c r="L65" s="1">
        <f>IF(L$41=$C29,IF(L$40="dx",$R29,-$Q29),IF(L$41=$D29,IF(L$40="dx",-$T29,$S29),IF(L$41=$B29,IF(L$40="dx",($T29-$R29),($Q29-$S29)),0)))</f>
        <v/>
      </c>
      <c r="M65" s="1">
        <f>IF(M$41=$C29,IF(M$40="dx",$R29,-$Q29),IF(M$41=$D29,IF(M$40="dx",-$T29,$S29),IF(M$41=$B29,IF(M$40="dx",($T29-$R29),($Q29-$S29)),0)))</f>
        <v/>
      </c>
      <c r="N65" s="1">
        <f>IF(N$41=$C29,IF(N$40="dx",$R29,-$Q29),IF(N$41=$D29,IF(N$40="dx",-$T29,$S29),IF(N$41=$B29,IF(N$40="dx",($T29-$R29),($Q29-$S29)),0)))</f>
        <v/>
      </c>
      <c r="O65" s="1">
        <f>IF(O$41=$C29,IF(O$40="dx",$R29,-$Q29),IF(O$41=$D29,IF(O$40="dx",-$T29,$S29),IF(O$41=$B29,IF(O$40="dx",($T29-$R29),($Q29-$S29)),0)))</f>
        <v/>
      </c>
      <c r="P65" s="552">
        <f>IF(P$41=$C29,IF(P$40="dx",$R29,-$Q29),IF(P$41=$D29,IF(P$40="dx",-$T29,$S29),IF(P$41=$B29,IF(P$40="dx",($T29-$R29),($Q29-$S29)),0)))</f>
        <v/>
      </c>
      <c r="Q65" s="619">
        <f>IF(Q$41=$C29,IF(Q$40="dx",$R29,-$Q29),IF(Q$41=$D29,IF(Q$40="dx",-$T29,$S29),IF(Q$41=$B29,IF(Q$40="dx",($T29-$R29),($Q29-$S29)),0)))</f>
        <v/>
      </c>
      <c r="R65" s="628" t="n"/>
      <c r="S65" s="90">
        <f>P29*10000</f>
        <v/>
      </c>
      <c r="T65" s="629" t="n"/>
    </row>
    <row r="66">
      <c r="B66" s="627">
        <f>IF(B$41=$C30,IF(B$40="dx",$R30,-$Q30),IF(B$41=$D30,IF(B$40="dx",-$T30,$S30),IF(B$41=$B30,IF(B$40="dx",($T30-$R30),($Q30-$S30)),0)))</f>
        <v/>
      </c>
      <c r="C66" s="1">
        <f>IF(C$41=$C30,IF(C$40="dx",$R30,-$Q30),IF(C$41=$D30,IF(C$40="dx",-$T30,$S30),IF(C$41=$B30,IF(C$40="dx",($T30-$R30),($Q30-$S30)),0)))</f>
        <v/>
      </c>
      <c r="D66" s="1">
        <f>IF(D$41=$C30,IF(D$40="dx",$R30,-$Q30),IF(D$41=$D30,IF(D$40="dx",-$T30,$S30),IF(D$41=$B30,IF(D$40="dx",($T30-$R30),($Q30-$S30)),0)))</f>
        <v/>
      </c>
      <c r="E66" s="1">
        <f>IF(E$41=$C30,IF(E$40="dx",$R30,-$Q30),IF(E$41=$D30,IF(E$40="dx",-$T30,$S30),IF(E$41=$B30,IF(E$40="dx",($T30-$R30),($Q30-$S30)),0)))</f>
        <v/>
      </c>
      <c r="F66" s="1">
        <f>IF(F$41=$C30,IF(F$40="dx",$R30,-$Q30),IF(F$41=$D30,IF(F$40="dx",-$T30,$S30),IF(F$41=$B30,IF(F$40="dx",($T30-$R30),($Q30-$S30)),0)))</f>
        <v/>
      </c>
      <c r="G66" s="1">
        <f>IF(G$41=$C30,IF(G$40="dx",$R30,-$Q30),IF(G$41=$D30,IF(G$40="dx",-$T30,$S30),IF(G$41=$B30,IF(G$40="dx",($T30-$R30),($Q30-$S30)),0)))</f>
        <v/>
      </c>
      <c r="H66" s="552">
        <f>IF(H$41=$C30,IF(H$40="dx",$R30,-$Q30),IF(H$41=$D30,IF(H$40="dx",-$T30,$S30),IF(H$41=$B30,IF(H$40="dx",($T30-$R30),($Q30-$S30)),0)))</f>
        <v/>
      </c>
      <c r="I66" s="552">
        <f>IF(I$41=$C30,IF(I$40="dx",$R30,-$Q30),IF(I$41=$D30,IF(I$40="dx",-$T30,$S30),IF(I$41=$B30,IF(I$40="dx",($T30-$R30),($Q30-$S30)),0)))</f>
        <v/>
      </c>
      <c r="J66" s="1">
        <f>IF(J$41=$C30,IF(J$40="dx",$R30,-$Q30),IF(J$41=$D30,IF(J$40="dx",-$T30,$S30),IF(J$41=$B30,IF(J$40="dx",($T30-$R30),($Q30-$S30)),0)))</f>
        <v/>
      </c>
      <c r="K66" s="1">
        <f>IF(K$41=$C30,IF(K$40="dx",$R30,-$Q30),IF(K$41=$D30,IF(K$40="dx",-$T30,$S30),IF(K$41=$B30,IF(K$40="dx",($T30-$R30),($Q30-$S30)),0)))</f>
        <v/>
      </c>
      <c r="L66" s="552">
        <f>IF(L$41=$C30,IF(L$40="dx",$R30,-$Q30),IF(L$41=$D30,IF(L$40="dx",-$T30,$S30),IF(L$41=$B30,IF(L$40="dx",($T30-$R30),($Q30-$S30)),0)))</f>
        <v/>
      </c>
      <c r="M66" s="552">
        <f>IF(M$41=$C30,IF(M$40="dx",$R30,-$Q30),IF(M$41=$D30,IF(M$40="dx",-$T30,$S30),IF(M$41=$B30,IF(M$40="dx",($T30-$R30),($Q30-$S30)),0)))</f>
        <v/>
      </c>
      <c r="N66" s="1">
        <f>IF(N$41=$C30,IF(N$40="dx",$R30,-$Q30),IF(N$41=$D30,IF(N$40="dx",-$T30,$S30),IF(N$41=$B30,IF(N$40="dx",($T30-$R30),($Q30-$S30)),0)))</f>
        <v/>
      </c>
      <c r="O66" s="1">
        <f>IF(O$41=$C30,IF(O$40="dx",$R30,-$Q30),IF(O$41=$D30,IF(O$40="dx",-$T30,$S30),IF(O$41=$B30,IF(O$40="dx",($T30-$R30),($Q30-$S30)),0)))</f>
        <v/>
      </c>
      <c r="P66" s="552">
        <f>IF(P$41=$C30,IF(P$40="dx",$R30,-$Q30),IF(P$41=$D30,IF(P$40="dx",-$T30,$S30),IF(P$41=$B30,IF(P$40="dx",($T30-$R30),($Q30-$S30)),0)))</f>
        <v/>
      </c>
      <c r="Q66" s="619">
        <f>IF(Q$41=$C30,IF(Q$40="dx",$R30,-$Q30),IF(Q$41=$D30,IF(Q$40="dx",-$T30,$S30),IF(Q$41=$B30,IF(Q$40="dx",($T30-$R30),($Q30-$S30)),0)))</f>
        <v/>
      </c>
      <c r="R66" s="628" t="n"/>
      <c r="S66" s="90">
        <f>P30*10000</f>
        <v/>
      </c>
      <c r="T66" s="629" t="n"/>
    </row>
    <row r="67">
      <c r="B67" s="627">
        <f>IF(B$41=$C31,IF(B$40="dx",$R31,-$Q31),IF(B$41=$D31,IF(B$40="dx",-$T31,$S31),IF(B$41=$B31,IF(B$40="dx",($T31-$R31),($Q31-$S31)),0)))</f>
        <v/>
      </c>
      <c r="C67" s="1">
        <f>IF(C$41=$C31,IF(C$40="dx",$R31,-$Q31),IF(C$41=$D31,IF(C$40="dx",-$T31,$S31),IF(C$41=$B31,IF(C$40="dx",($T31-$R31),($Q31-$S31)),0)))</f>
        <v/>
      </c>
      <c r="D67" s="1">
        <f>IF(D$41=$C31,IF(D$40="dx",$R31,-$Q31),IF(D$41=$D31,IF(D$40="dx",-$T31,$S31),IF(D$41=$B31,IF(D$40="dx",($T31-$R31),($Q31-$S31)),0)))</f>
        <v/>
      </c>
      <c r="E67" s="1">
        <f>IF(E$41=$C31,IF(E$40="dx",$R31,-$Q31),IF(E$41=$D31,IF(E$40="dx",-$T31,$S31),IF(E$41=$B31,IF(E$40="dx",($T31-$R31),($Q31-$S31)),0)))</f>
        <v/>
      </c>
      <c r="F67" s="1">
        <f>IF(F$41=$C31,IF(F$40="dx",$R31,-$Q31),IF(F$41=$D31,IF(F$40="dx",-$T31,$S31),IF(F$41=$B31,IF(F$40="dx",($T31-$R31),($Q31-$S31)),0)))</f>
        <v/>
      </c>
      <c r="G67" s="1">
        <f>IF(G$41=$C31,IF(G$40="dx",$R31,-$Q31),IF(G$41=$D31,IF(G$40="dx",-$T31,$S31),IF(G$41=$B31,IF(G$40="dx",($T31-$R31),($Q31-$S31)),0)))</f>
        <v/>
      </c>
      <c r="H67" s="1">
        <f>IF(H$41=$C31,IF(H$40="dx",$R31,-$Q31),IF(H$41=$D31,IF(H$40="dx",-$T31,$S31),IF(H$41=$B31,IF(H$40="dx",($T31-$R31),($Q31-$S31)),0)))</f>
        <v/>
      </c>
      <c r="I67" s="1">
        <f>IF(I$41=$C31,IF(I$40="dx",$R31,-$Q31),IF(I$41=$D31,IF(I$40="dx",-$T31,$S31),IF(I$41=$B31,IF(I$40="dx",($T31-$R31),($Q31-$S31)),0)))</f>
        <v/>
      </c>
      <c r="J67" s="1">
        <f>IF(J$41=$C31,IF(J$40="dx",$R31,-$Q31),IF(J$41=$D31,IF(J$40="dx",-$T31,$S31),IF(J$41=$B31,IF(J$40="dx",($T31-$R31),($Q31-$S31)),0)))</f>
        <v/>
      </c>
      <c r="K67" s="1">
        <f>IF(K$41=$C31,IF(K$40="dx",$R31,-$Q31),IF(K$41=$D31,IF(K$40="dx",-$T31,$S31),IF(K$41=$B31,IF(K$40="dx",($T31-$R31),($Q31-$S31)),0)))</f>
        <v/>
      </c>
      <c r="L67" s="552">
        <f>IF(L$41=$C31,IF(L$40="dx",$R31,-$Q31),IF(L$41=$D31,IF(L$40="dx",-$T31,$S31),IF(L$41=$B31,IF(L$40="dx",($T31-$R31),($Q31-$S31)),0)))</f>
        <v/>
      </c>
      <c r="M67" s="552">
        <f>IF(M$41=$C31,IF(M$40="dx",$R31,-$Q31),IF(M$41=$D31,IF(M$40="dx",-$T31,$S31),IF(M$41=$B31,IF(M$40="dx",($T31-$R31),($Q31-$S31)),0)))</f>
        <v/>
      </c>
      <c r="N67" s="552">
        <f>IF(N$41=$C31,IF(N$40="dx",$R31,-$Q31),IF(N$41=$D31,IF(N$40="dx",-$T31,$S31),IF(N$41=$B31,IF(N$40="dx",($T31-$R31),($Q31-$S31)),0)))</f>
        <v/>
      </c>
      <c r="O67" s="552">
        <f>IF(O$41=$C31,IF(O$40="dx",$R31,-$Q31),IF(O$41=$D31,IF(O$40="dx",-$T31,$S31),IF(O$41=$B31,IF(O$40="dx",($T31-$R31),($Q31-$S31)),0)))</f>
        <v/>
      </c>
      <c r="P67" s="552">
        <f>IF(P$41=$C31,IF(P$40="dx",$R31,-$Q31),IF(P$41=$D31,IF(P$40="dx",-$T31,$S31),IF(P$41=$B31,IF(P$40="dx",($T31-$R31),($Q31-$S31)),0)))</f>
        <v/>
      </c>
      <c r="Q67" s="619">
        <f>IF(Q$41=$C31,IF(Q$40="dx",$R31,-$Q31),IF(Q$41=$D31,IF(Q$40="dx",-$T31,$S31),IF(Q$41=$B31,IF(Q$40="dx",($T31-$R31),($Q31-$S31)),0)))</f>
        <v/>
      </c>
      <c r="R67" s="628" t="n"/>
      <c r="S67" s="90">
        <f>P31*10000</f>
        <v/>
      </c>
      <c r="T67" s="629" t="n"/>
    </row>
    <row r="68">
      <c r="B68" s="618">
        <f>IF(B$41=$C32,IF(B$40="dx",$R32,-$Q32),IF(B$41=$D32,IF(B$40="dx",-$T32,$S32),IF(B$41=$B32,IF(B$40="dx",($T32-$R32),($Q32-$S32)),0)))</f>
        <v/>
      </c>
      <c r="C68" s="552">
        <f>IF(C$41=$C32,IF(C$40="dx",$R32,-$Q32),IF(C$41=$D32,IF(C$40="dx",-$T32,$S32),IF(C$41=$B32,IF(C$40="dx",($T32-$R32),($Q32-$S32)),0)))</f>
        <v/>
      </c>
      <c r="D68" s="1">
        <f>IF(D$41=$C32,IF(D$40="dx",$R32,-$Q32),IF(D$41=$D32,IF(D$40="dx",-$T32,$S32),IF(D$41=$B32,IF(D$40="dx",($T32-$R32),($Q32-$S32)),0)))</f>
        <v/>
      </c>
      <c r="E68" s="1">
        <f>IF(E$41=$C32,IF(E$40="dx",$R32,-$Q32),IF(E$41=$D32,IF(E$40="dx",-$T32,$S32),IF(E$41=$B32,IF(E$40="dx",($T32-$R32),($Q32-$S32)),0)))</f>
        <v/>
      </c>
      <c r="F68" s="1">
        <f>IF(F$41=$C32,IF(F$40="dx",$R32,-$Q32),IF(F$41=$D32,IF(F$40="dx",-$T32,$S32),IF(F$41=$B32,IF(F$40="dx",($T32-$R32),($Q32-$S32)),0)))</f>
        <v/>
      </c>
      <c r="G68" s="1">
        <f>IF(G$41=$C32,IF(G$40="dx",$R32,-$Q32),IF(G$41=$D32,IF(G$40="dx",-$T32,$S32),IF(G$41=$B32,IF(G$40="dx",($T32-$R32),($Q32-$S32)),0)))</f>
        <v/>
      </c>
      <c r="H68" s="1">
        <f>IF(H$41=$C32,IF(H$40="dx",$R32,-$Q32),IF(H$41=$D32,IF(H$40="dx",-$T32,$S32),IF(H$41=$B32,IF(H$40="dx",($T32-$R32),($Q32-$S32)),0)))</f>
        <v/>
      </c>
      <c r="I68" s="1">
        <f>IF(I$41=$C32,IF(I$40="dx",$R32,-$Q32),IF(I$41=$D32,IF(I$40="dx",-$T32,$S32),IF(I$41=$B32,IF(I$40="dx",($T32-$R32),($Q32-$S32)),0)))</f>
        <v/>
      </c>
      <c r="J68" s="1">
        <f>IF(J$41=$C32,IF(J$40="dx",$R32,-$Q32),IF(J$41=$D32,IF(J$40="dx",-$T32,$S32),IF(J$41=$B32,IF(J$40="dx",($T32-$R32),($Q32-$S32)),0)))</f>
        <v/>
      </c>
      <c r="K68" s="1">
        <f>IF(K$41=$C32,IF(K$40="dx",$R32,-$Q32),IF(K$41=$D32,IF(K$40="dx",-$T32,$S32),IF(K$41=$B32,IF(K$40="dx",($T32-$R32),($Q32-$S32)),0)))</f>
        <v/>
      </c>
      <c r="L68" s="1">
        <f>IF(L$41=$C32,IF(L$40="dx",$R32,-$Q32),IF(L$41=$D32,IF(L$40="dx",-$T32,$S32),IF(L$41=$B32,IF(L$40="dx",($T32-$R32),($Q32-$S32)),0)))</f>
        <v/>
      </c>
      <c r="M68" s="1">
        <f>IF(M$41=$C32,IF(M$40="dx",$R32,-$Q32),IF(M$41=$D32,IF(M$40="dx",-$T32,$S32),IF(M$41=$B32,IF(M$40="dx",($T32-$R32),($Q32-$S32)),0)))</f>
        <v/>
      </c>
      <c r="N68" s="552">
        <f>IF(N$41=$C32,IF(N$40="dx",$R32,-$Q32),IF(N$41=$D32,IF(N$40="dx",-$T32,$S32),IF(N$41=$B32,IF(N$40="dx",($T32-$R32),($Q32-$S32)),0)))</f>
        <v/>
      </c>
      <c r="O68" s="552">
        <f>IF(O$41=$C32,IF(O$40="dx",$R32,-$Q32),IF(O$41=$D32,IF(O$40="dx",-$T32,$S32),IF(O$41=$B32,IF(O$40="dx",($T32-$R32),($Q32-$S32)),0)))</f>
        <v/>
      </c>
      <c r="P68" s="552">
        <f>IF(P$41=$C32,IF(P$40="dx",$R32,-$Q32),IF(P$41=$D32,IF(P$40="dx",-$T32,$S32),IF(P$41=$B32,IF(P$40="dx",($T32-$R32),($Q32-$S32)),0)))</f>
        <v/>
      </c>
      <c r="Q68" s="619">
        <f>IF(Q$41=$C32,IF(Q$40="dx",$R32,-$Q32),IF(Q$41=$D32,IF(Q$40="dx",-$T32,$S32),IF(Q$41=$B32,IF(Q$40="dx",($T32-$R32),($Q32-$S32)),0)))</f>
        <v/>
      </c>
      <c r="R68" s="628" t="n"/>
      <c r="S68" s="90">
        <f>P32*10000</f>
        <v/>
      </c>
      <c r="T68" s="629" t="n"/>
    </row>
    <row r="69">
      <c r="B69" s="627">
        <f>IF(B$41=$C33,IF(B$40="dx",$R33,-$Q33),IF(B$41=$D33,IF(B$40="dx",-$T33,$S33),IF(B$41=$B33,IF(B$40="dx",($T33-$R33),($Q33-$S33)),0)))</f>
        <v/>
      </c>
      <c r="C69" s="1">
        <f>IF(C$41=$C33,IF(C$40="dx",$R33,-$Q33),IF(C$41=$D33,IF(C$40="dx",-$T33,$S33),IF(C$41=$B33,IF(C$40="dx",($T33-$R33),($Q33-$S33)),0)))</f>
        <v/>
      </c>
      <c r="D69" s="1">
        <f>IF(D$41=$C33,IF(D$40="dx",$R33,-$Q33),IF(D$41=$D33,IF(D$40="dx",-$T33,$S33),IF(D$41=$B33,IF(D$40="dx",($T33-$R33),($Q33-$S33)),0)))</f>
        <v/>
      </c>
      <c r="E69" s="1">
        <f>IF(E$41=$C33,IF(E$40="dx",$R33,-$Q33),IF(E$41=$D33,IF(E$40="dx",-$T33,$S33),IF(E$41=$B33,IF(E$40="dx",($T33-$R33),($Q33-$S33)),0)))</f>
        <v/>
      </c>
      <c r="F69" s="1">
        <f>IF(F$41=$C33,IF(F$40="dx",$R33,-$Q33),IF(F$41=$D33,IF(F$40="dx",-$T33,$S33),IF(F$41=$B33,IF(F$40="dx",($T33-$R33),($Q33-$S33)),0)))</f>
        <v/>
      </c>
      <c r="G69" s="1">
        <f>IF(G$41=$C33,IF(G$40="dx",$R33,-$Q33),IF(G$41=$D33,IF(G$40="dx",-$T33,$S33),IF(G$41=$B33,IF(G$40="dx",($T33-$R33),($Q33-$S33)),0)))</f>
        <v/>
      </c>
      <c r="H69" s="1">
        <f>IF(H$41=$C33,IF(H$40="dx",$R33,-$Q33),IF(H$41=$D33,IF(H$40="dx",-$T33,$S33),IF(H$41=$B33,IF(H$40="dx",($T33-$R33),($Q33-$S33)),0)))</f>
        <v/>
      </c>
      <c r="I69" s="1">
        <f>IF(I$41=$C33,IF(I$40="dx",$R33,-$Q33),IF(I$41=$D33,IF(I$40="dx",-$T33,$S33),IF(I$41=$B33,IF(I$40="dx",($T33-$R33),($Q33-$S33)),0)))</f>
        <v/>
      </c>
      <c r="J69" s="552">
        <f>IF(J$41=$C33,IF(J$40="dx",$R33,-$Q33),IF(J$41=$D33,IF(J$40="dx",-$T33,$S33),IF(J$41=$B33,IF(J$40="dx",($T33-$R33),($Q33-$S33)),0)))</f>
        <v/>
      </c>
      <c r="K69" s="552">
        <f>IF(K$41=$C33,IF(K$40="dx",$R33,-$Q33),IF(K$41=$D33,IF(K$40="dx",-$T33,$S33),IF(K$41=$B33,IF(K$40="dx",($T33-$R33),($Q33-$S33)),0)))</f>
        <v/>
      </c>
      <c r="L69" s="552">
        <f>IF(L$41=$C33,IF(L$40="dx",$R33,-$Q33),IF(L$41=$D33,IF(L$40="dx",-$T33,$S33),IF(L$41=$B33,IF(L$40="dx",($T33-$R33),($Q33-$S33)),0)))</f>
        <v/>
      </c>
      <c r="M69" s="552">
        <f>IF(M$41=$C33,IF(M$40="dx",$R33,-$Q33),IF(M$41=$D33,IF(M$40="dx",-$T33,$S33),IF(M$41=$B33,IF(M$40="dx",($T33-$R33),($Q33-$S33)),0)))</f>
        <v/>
      </c>
      <c r="N69" s="552">
        <f>IF(N$41=$C33,IF(N$40="dx",$R33,-$Q33),IF(N$41=$D33,IF(N$40="dx",-$T33,$S33),IF(N$41=$B33,IF(N$40="dx",($T33-$R33),($Q33-$S33)),0)))</f>
        <v/>
      </c>
      <c r="O69" s="552">
        <f>IF(O$41=$C33,IF(O$40="dx",$R33,-$Q33),IF(O$41=$D33,IF(O$40="dx",-$T33,$S33),IF(O$41=$B33,IF(O$40="dx",($T33-$R33),($Q33-$S33)),0)))</f>
        <v/>
      </c>
      <c r="P69" s="1">
        <f>IF(P$41=$C33,IF(P$40="dx",$R33,-$Q33),IF(P$41=$D33,IF(P$40="dx",-$T33,$S33),IF(P$41=$B33,IF(P$40="dx",($T33-$R33),($Q33-$S33)),0)))</f>
        <v/>
      </c>
      <c r="Q69" s="630">
        <f>IF(Q$41=$C33,IF(Q$40="dx",$R33,-$Q33),IF(Q$41=$D33,IF(Q$40="dx",-$T33,$S33),IF(Q$41=$B33,IF(Q$40="dx",($T33-$R33),($Q33-$S33)),0)))</f>
        <v/>
      </c>
      <c r="R69" s="628" t="n"/>
      <c r="S69" s="90">
        <f>P33*10000</f>
        <v/>
      </c>
      <c r="T69" s="629" t="n"/>
    </row>
    <row r="70">
      <c r="B70" s="627">
        <f>IF(B$41=$C34,IF(B$40="dx",$R34,-$Q34),IF(B$41=$D34,IF(B$40="dx",-$T34,$S34),IF(B$41=$B34,IF(B$40="dx",($T34-$R34),($Q34-$S34)),0)))</f>
        <v/>
      </c>
      <c r="C70" s="1">
        <f>IF(C$41=$C34,IF(C$40="dx",$R34,-$Q34),IF(C$41=$D34,IF(C$40="dx",-$T34,$S34),IF(C$41=$B34,IF(C$40="dx",($T34-$R34),($Q34-$S34)),0)))</f>
        <v/>
      </c>
      <c r="D70" s="1">
        <f>IF(D$41=$C34,IF(D$40="dx",$R34,-$Q34),IF(D$41=$D34,IF(D$40="dx",-$T34,$S34),IF(D$41=$B34,IF(D$40="dx",($T34-$R34),($Q34-$S34)),0)))</f>
        <v/>
      </c>
      <c r="E70" s="1">
        <f>IF(E$41=$C34,IF(E$40="dx",$R34,-$Q34),IF(E$41=$D34,IF(E$40="dx",-$T34,$S34),IF(E$41=$B34,IF(E$40="dx",($T34-$R34),($Q34-$S34)),0)))</f>
        <v/>
      </c>
      <c r="F70" s="1">
        <f>IF(F$41=$C34,IF(F$40="dx",$R34,-$Q34),IF(F$41=$D34,IF(F$40="dx",-$T34,$S34),IF(F$41=$B34,IF(F$40="dx",($T34-$R34),($Q34-$S34)),0)))</f>
        <v/>
      </c>
      <c r="G70" s="1">
        <f>IF(G$41=$C34,IF(G$40="dx",$R34,-$Q34),IF(G$41=$D34,IF(G$40="dx",-$T34,$S34),IF(G$41=$B34,IF(G$40="dx",($T34-$R34),($Q34-$S34)),0)))</f>
        <v/>
      </c>
      <c r="H70" s="1">
        <f>IF(H$41=$C34,IF(H$40="dx",$R34,-$Q34),IF(H$41=$D34,IF(H$40="dx",-$T34,$S34),IF(H$41=$B34,IF(H$40="dx",($T34-$R34),($Q34-$S34)),0)))</f>
        <v/>
      </c>
      <c r="I70" s="1">
        <f>IF(I$41=$C34,IF(I$40="dx",$R34,-$Q34),IF(I$41=$D34,IF(I$40="dx",-$T34,$S34),IF(I$41=$B34,IF(I$40="dx",($T34-$R34),($Q34-$S34)),0)))</f>
        <v/>
      </c>
      <c r="J70" s="552">
        <f>IF(J$41=$C34,IF(J$40="dx",$R34,-$Q34),IF(J$41=$D34,IF(J$40="dx",-$T34,$S34),IF(J$41=$B34,IF(J$40="dx",($T34-$R34),($Q34-$S34)),0)))</f>
        <v/>
      </c>
      <c r="K70" s="552">
        <f>IF(K$41=$C34,IF(K$40="dx",$R34,-$Q34),IF(K$41=$D34,IF(K$40="dx",-$T34,$S34),IF(K$41=$B34,IF(K$40="dx",($T34-$R34),($Q34-$S34)),0)))</f>
        <v/>
      </c>
      <c r="L70" s="552">
        <f>IF(L$41=$C34,IF(L$40="dx",$R34,-$Q34),IF(L$41=$D34,IF(L$40="dx",-$T34,$S34),IF(L$41=$B34,IF(L$40="dx",($T34-$R34),($Q34-$S34)),0)))</f>
        <v/>
      </c>
      <c r="M70" s="552">
        <f>IF(M$41=$C34,IF(M$40="dx",$R34,-$Q34),IF(M$41=$D34,IF(M$40="dx",-$T34,$S34),IF(M$41=$B34,IF(M$40="dx",($T34-$R34),($Q34-$S34)),0)))</f>
        <v/>
      </c>
      <c r="N70" s="1">
        <f>IF(N$41=$C34,IF(N$40="dx",$R34,-$Q34),IF(N$41=$D34,IF(N$40="dx",-$T34,$S34),IF(N$41=$B34,IF(N$40="dx",($T34-$R34),($Q34-$S34)),0)))</f>
        <v/>
      </c>
      <c r="O70" s="1">
        <f>IF(O$41=$C34,IF(O$40="dx",$R34,-$Q34),IF(O$41=$D34,IF(O$40="dx",-$T34,$S34),IF(O$41=$B34,IF(O$40="dx",($T34-$R34),($Q34-$S34)),0)))</f>
        <v/>
      </c>
      <c r="P70" s="552">
        <f>IF(P$41=$C34,IF(P$40="dx",$R34,-$Q34),IF(P$41=$D34,IF(P$40="dx",-$T34,$S34),IF(P$41=$B34,IF(P$40="dx",($T34-$R34),($Q34-$S34)),0)))</f>
        <v/>
      </c>
      <c r="Q70" s="619">
        <f>IF(Q$41=$C34,IF(Q$40="dx",$R34,-$Q34),IF(Q$41=$D34,IF(Q$40="dx",-$T34,$S34),IF(Q$41=$B34,IF(Q$40="dx",($T34-$R34),($Q34-$S34)),0)))</f>
        <v/>
      </c>
      <c r="R70" s="628" t="n"/>
      <c r="S70" s="90">
        <f>P34*10000</f>
        <v/>
      </c>
      <c r="T70" s="629" t="n"/>
    </row>
    <row r="71">
      <c r="B71" s="627">
        <f>IF(B$41=$C35,IF(B$40="dx",$R35,-$Q35),IF(B$41=$D35,IF(B$40="dx",-$T35,$S35),IF(B$41=$B35,IF(B$40="dx",($T35-$R35),($Q35-$S35)),0)))</f>
        <v/>
      </c>
      <c r="C71" s="1">
        <f>IF(C$41=$C35,IF(C$40="dx",$R35,-$Q35),IF(C$41=$D35,IF(C$40="dx",-$T35,$S35),IF(C$41=$B35,IF(C$40="dx",($T35-$R35),($Q35-$S35)),0)))</f>
        <v/>
      </c>
      <c r="D71" s="1">
        <f>IF(D$41=$C35,IF(D$40="dx",$R35,-$Q35),IF(D$41=$D35,IF(D$40="dx",-$T35,$S35),IF(D$41=$B35,IF(D$40="dx",($T35-$R35),($Q35-$S35)),0)))</f>
        <v/>
      </c>
      <c r="E71" s="1">
        <f>IF(E$41=$C35,IF(E$40="dx",$R35,-$Q35),IF(E$41=$D35,IF(E$40="dx",-$T35,$S35),IF(E$41=$B35,IF(E$40="dx",($T35-$R35),($Q35-$S35)),0)))</f>
        <v/>
      </c>
      <c r="F71" s="1">
        <f>IF(F$41=$C35,IF(F$40="dx",$R35,-$Q35),IF(F$41=$D35,IF(F$40="dx",-$T35,$S35),IF(F$41=$B35,IF(F$40="dx",($T35-$R35),($Q35-$S35)),0)))</f>
        <v/>
      </c>
      <c r="G71" s="1">
        <f>IF(G$41=$C35,IF(G$40="dx",$R35,-$Q35),IF(G$41=$D35,IF(G$40="dx",-$T35,$S35),IF(G$41=$B35,IF(G$40="dx",($T35-$R35),($Q35-$S35)),0)))</f>
        <v/>
      </c>
      <c r="H71" s="552">
        <f>IF(H$41=$C35,IF(H$40="dx",$R35,-$Q35),IF(H$41=$D35,IF(H$40="dx",-$T35,$S35),IF(H$41=$B35,IF(H$40="dx",($T35-$R35),($Q35-$S35)),0)))</f>
        <v/>
      </c>
      <c r="I71" s="552">
        <f>IF(I$41=$C35,IF(I$40="dx",$R35,-$Q35),IF(I$41=$D35,IF(I$40="dx",-$T35,$S35),IF(I$41=$B35,IF(I$40="dx",($T35-$R35),($Q35-$S35)),0)))</f>
        <v/>
      </c>
      <c r="J71" s="552">
        <f>IF(J$41=$C35,IF(J$40="dx",$R35,-$Q35),IF(J$41=$D35,IF(J$40="dx",-$T35,$S35),IF(J$41=$B35,IF(J$40="dx",($T35-$R35),($Q35-$S35)),0)))</f>
        <v/>
      </c>
      <c r="K71" s="552">
        <f>IF(K$41=$C35,IF(K$40="dx",$R35,-$Q35),IF(K$41=$D35,IF(K$40="dx",-$T35,$S35),IF(K$41=$B35,IF(K$40="dx",($T35-$R35),($Q35-$S35)),0)))</f>
        <v/>
      </c>
      <c r="L71" s="1">
        <f>IF(L$41=$C35,IF(L$40="dx",$R35,-$Q35),IF(L$41=$D35,IF(L$40="dx",-$T35,$S35),IF(L$41=$B35,IF(L$40="dx",($T35-$R35),($Q35-$S35)),0)))</f>
        <v/>
      </c>
      <c r="M71" s="1">
        <f>IF(M$41=$C35,IF(M$40="dx",$R35,-$Q35),IF(M$41=$D35,IF(M$40="dx",-$T35,$S35),IF(M$41=$B35,IF(M$40="dx",($T35-$R35),($Q35-$S35)),0)))</f>
        <v/>
      </c>
      <c r="N71" s="1">
        <f>IF(N$41=$C35,IF(N$40="dx",$R35,-$Q35),IF(N$41=$D35,IF(N$40="dx",-$T35,$S35),IF(N$41=$B35,IF(N$40="dx",($T35-$R35),($Q35-$S35)),0)))</f>
        <v/>
      </c>
      <c r="O71" s="1">
        <f>IF(O$41=$C35,IF(O$40="dx",$R35,-$Q35),IF(O$41=$D35,IF(O$40="dx",-$T35,$S35),IF(O$41=$B35,IF(O$40="dx",($T35-$R35),($Q35-$S35)),0)))</f>
        <v/>
      </c>
      <c r="P71" s="552">
        <f>IF(P$41=$C35,IF(P$40="dx",$R35,-$Q35),IF(P$41=$D35,IF(P$40="dx",-$T35,$S35),IF(P$41=$B35,IF(P$40="dx",($T35-$R35),($Q35-$S35)),0)))</f>
        <v/>
      </c>
      <c r="Q71" s="619">
        <f>IF(Q$41=$C35,IF(Q$40="dx",$R35,-$Q35),IF(Q$41=$D35,IF(Q$40="dx",-$T35,$S35),IF(Q$41=$B35,IF(Q$40="dx",($T35-$R35),($Q35-$S35)),0)))</f>
        <v/>
      </c>
      <c r="R71" s="628" t="n"/>
      <c r="S71" s="90">
        <f>P35*10000</f>
        <v/>
      </c>
      <c r="T71" s="629" t="n"/>
    </row>
    <row r="72">
      <c r="B72" s="627">
        <f>IF(B$41=$C36,IF(B$40="dx",$R36,-$Q36),IF(B$41=$D36,IF(B$40="dx",-$T36,$S36),IF(B$41=$B36,IF(B$40="dx",($T36-$R36),($Q36-$S36)),0)))</f>
        <v/>
      </c>
      <c r="C72" s="1">
        <f>IF(C$41=$C36,IF(C$40="dx",$R36,-$Q36),IF(C$41=$D36,IF(C$40="dx",-$T36,$S36),IF(C$41=$B36,IF(C$40="dx",($T36-$R36),($Q36-$S36)),0)))</f>
        <v/>
      </c>
      <c r="D72" s="1">
        <f>IF(D$41=$C36,IF(D$40="dx",$R36,-$Q36),IF(D$41=$D36,IF(D$40="dx",-$T36,$S36),IF(D$41=$B36,IF(D$40="dx",($T36-$R36),($Q36-$S36)),0)))</f>
        <v/>
      </c>
      <c r="E72" s="1">
        <f>IF(E$41=$C36,IF(E$40="dx",$R36,-$Q36),IF(E$41=$D36,IF(E$40="dx",-$T36,$S36),IF(E$41=$B36,IF(E$40="dx",($T36-$R36),($Q36-$S36)),0)))</f>
        <v/>
      </c>
      <c r="F72" s="1">
        <f>IF(F$41=$C36,IF(F$40="dx",$R36,-$Q36),IF(F$41=$D36,IF(F$40="dx",-$T36,$S36),IF(F$41=$B36,IF(F$40="dx",($T36-$R36),($Q36-$S36)),0)))</f>
        <v/>
      </c>
      <c r="G72" s="1">
        <f>IF(G$41=$C36,IF(G$40="dx",$R36,-$Q36),IF(G$41=$D36,IF(G$40="dx",-$T36,$S36),IF(G$41=$B36,IF(G$40="dx",($T36-$R36),($Q36-$S36)),0)))</f>
        <v/>
      </c>
      <c r="H72" s="552">
        <f>IF(H$41=$C36,IF(H$40="dx",$R36,-$Q36),IF(H$41=$D36,IF(H$40="dx",-$T36,$S36),IF(H$41=$B36,IF(H$40="dx",($T36-$R36),($Q36-$S36)),0)))</f>
        <v/>
      </c>
      <c r="I72" s="552">
        <f>IF(I$41=$C36,IF(I$40="dx",$R36,-$Q36),IF(I$41=$D36,IF(I$40="dx",-$T36,$S36),IF(I$41=$B36,IF(I$40="dx",($T36-$R36),($Q36-$S36)),0)))</f>
        <v/>
      </c>
      <c r="J72" s="552">
        <f>IF(J$41=$C36,IF(J$40="dx",$R36,-$Q36),IF(J$41=$D36,IF(J$40="dx",-$T36,$S36),IF(J$41=$B36,IF(J$40="dx",($T36-$R36),($Q36-$S36)),0)))</f>
        <v/>
      </c>
      <c r="K72" s="552">
        <f>IF(K$41=$C36,IF(K$40="dx",$R36,-$Q36),IF(K$41=$D36,IF(K$40="dx",-$T36,$S36),IF(K$41=$B36,IF(K$40="dx",($T36-$R36),($Q36-$S36)),0)))</f>
        <v/>
      </c>
      <c r="L72" s="552">
        <f>IF(L$41=$C36,IF(L$40="dx",$R36,-$Q36),IF(L$41=$D36,IF(L$40="dx",-$T36,$S36),IF(L$41=$B36,IF(L$40="dx",($T36-$R36),($Q36-$S36)),0)))</f>
        <v/>
      </c>
      <c r="M72" s="552">
        <f>IF(M$41=$C36,IF(M$40="dx",$R36,-$Q36),IF(M$41=$D36,IF(M$40="dx",-$T36,$S36),IF(M$41=$B36,IF(M$40="dx",($T36-$R36),($Q36-$S36)),0)))</f>
        <v/>
      </c>
      <c r="N72" s="1">
        <f>IF(N$41=$C36,IF(N$40="dx",$R36,-$Q36),IF(N$41=$D36,IF(N$40="dx",-$T36,$S36),IF(N$41=$B36,IF(N$40="dx",($T36-$R36),($Q36-$S36)),0)))</f>
        <v/>
      </c>
      <c r="O72" s="1">
        <f>IF(O$41=$C36,IF(O$40="dx",$R36,-$Q36),IF(O$41=$D36,IF(O$40="dx",-$T36,$S36),IF(O$41=$B36,IF(O$40="dx",($T36-$R36),($Q36-$S36)),0)))</f>
        <v/>
      </c>
      <c r="P72" s="1">
        <f>IF(P$41=$C36,IF(P$40="dx",$R36,-$Q36),IF(P$41=$D36,IF(P$40="dx",-$T36,$S36),IF(P$41=$B36,IF(P$40="dx",($T36-$R36),($Q36-$S36)),0)))</f>
        <v/>
      </c>
      <c r="Q72" s="630">
        <f>IF(Q$41=$C36,IF(Q$40="dx",$R36,-$Q36),IF(Q$41=$D36,IF(Q$40="dx",-$T36,$S36),IF(Q$41=$B36,IF(Q$40="dx",($T36-$R36),($Q36-$S36)),0)))</f>
        <v/>
      </c>
      <c r="R72" s="628" t="n"/>
      <c r="S72" s="90">
        <f>P36*10000</f>
        <v/>
      </c>
      <c r="T72" s="629" t="n"/>
    </row>
    <row r="73">
      <c r="B73" s="627">
        <f>IF(B$41=$C37,IF(B$40="dx",$R37,-$Q37),IF(B$41=$D37,IF(B$40="dx",-$T37,$S37),IF(B$41=$B37,IF(B$40="dx",($T37-$R37),($Q37-$S37)),0)))</f>
        <v/>
      </c>
      <c r="C73" s="14">
        <f>IF(C$41=$C37,IF(C$40="dx",$R37,-$Q37),IF(C$41=$D37,IF(C$40="dx",-$T37,$S37),IF(C$41=$B37,IF(C$40="dx",($T37-$R37),($Q37-$S37)),0)))</f>
        <v/>
      </c>
      <c r="D73" s="14">
        <f>IF(D$41=$C37,IF(D$40="dx",$R37,-$Q37),IF(D$41=$D37,IF(D$40="dx",-$T37,$S37),IF(D$41=$B37,IF(D$40="dx",($T37-$R37),($Q37-$S37)),0)))</f>
        <v/>
      </c>
      <c r="E73" s="14">
        <f>IF(E$41=$C37,IF(E$40="dx",$R37,-$Q37),IF(E$41=$D37,IF(E$40="dx",-$T37,$S37),IF(E$41=$B37,IF(E$40="dx",($T37-$R37),($Q37-$S37)),0)))</f>
        <v/>
      </c>
      <c r="F73" s="14">
        <f>IF(F$41=$C37,IF(F$40="dx",$R37,-$Q37),IF(F$41=$D37,IF(F$40="dx",-$T37,$S37),IF(F$41=$B37,IF(F$40="dx",($T37-$R37),($Q37-$S37)),0)))</f>
        <v/>
      </c>
      <c r="G73" s="14">
        <f>IF(G$41=$C37,IF(G$40="dx",$R37,-$Q37),IF(G$41=$D37,IF(G$40="dx",-$T37,$S37),IF(G$41=$B37,IF(G$40="dx",($T37-$R37),($Q37-$S37)),0)))</f>
        <v/>
      </c>
      <c r="H73" s="552">
        <f>IF(H$41=$C37,IF(H$40="dx",$R37,-$Q37),IF(H$41=$D37,IF(H$40="dx",-$T37,$S37),IF(H$41=$B37,IF(H$40="dx",($T37-$R37),($Q37-$S37)),0)))</f>
        <v/>
      </c>
      <c r="I73" s="552">
        <f>IF(I$41=$C37,IF(I$40="dx",$R37,-$Q37),IF(I$41=$D37,IF(I$40="dx",-$T37,$S37),IF(I$41=$B37,IF(I$40="dx",($T37-$R37),($Q37-$S37)),0)))</f>
        <v/>
      </c>
      <c r="J73" s="14">
        <f>IF(J$41=$C37,IF(J$40="dx",$R37,-$Q37),IF(J$41=$D37,IF(J$40="dx",-$T37,$S37),IF(J$41=$B37,IF(J$40="dx",($T37-$R37),($Q37-$S37)),0)))</f>
        <v/>
      </c>
      <c r="K73" s="14">
        <f>IF(K$41=$C37,IF(K$40="dx",$R37,-$Q37),IF(K$41=$D37,IF(K$40="dx",-$T37,$S37),IF(K$41=$B37,IF(K$40="dx",($T37-$R37),($Q37-$S37)),0)))</f>
        <v/>
      </c>
      <c r="L73" s="552">
        <f>IF(L$41=$C37,IF(L$40="dx",$R37,-$Q37),IF(L$41=$D37,IF(L$40="dx",-$T37,$S37),IF(L$41=$B37,IF(L$40="dx",($T37-$R37),($Q37-$S37)),0)))</f>
        <v/>
      </c>
      <c r="M73" s="552">
        <f>IF(M$41=$C37,IF(M$40="dx",$R37,-$Q37),IF(M$41=$D37,IF(M$40="dx",-$T37,$S37),IF(M$41=$B37,IF(M$40="dx",($T37-$R37),($Q37-$S37)),0)))</f>
        <v/>
      </c>
      <c r="N73" s="14">
        <f>IF(N$41=$C37,IF(N$40="dx",$R37,-$Q37),IF(N$41=$D37,IF(N$40="dx",-$T37,$S37),IF(N$41=$B37,IF(N$40="dx",($T37-$R37),($Q37-$S37)),0)))</f>
        <v/>
      </c>
      <c r="O73" s="14">
        <f>IF(O$41=$C37,IF(O$40="dx",$R37,-$Q37),IF(O$41=$D37,IF(O$40="dx",-$T37,$S37),IF(O$41=$B37,IF(O$40="dx",($T37-$R37),($Q37-$S37)),0)))</f>
        <v/>
      </c>
      <c r="P73" s="552">
        <f>IF(P$41=$C37,IF(P$40="dx",$R37,-$Q37),IF(P$41=$D37,IF(P$40="dx",-$T37,$S37),IF(P$41=$B37,IF(P$40="dx",($T37-$R37),($Q37-$S37)),0)))</f>
        <v/>
      </c>
      <c r="Q73" s="619">
        <f>IF(Q$41=$C37,IF(Q$40="dx",$R37,-$Q37),IF(Q$41=$D37,IF(Q$40="dx",-$T37,$S37),IF(Q$41=$B37,IF(Q$40="dx",($T37-$R37),($Q37-$S37)),0)))</f>
        <v/>
      </c>
      <c r="R73" s="628" t="n"/>
      <c r="S73" s="91">
        <f>P37*10000</f>
        <v/>
      </c>
      <c r="T73" s="629" t="n"/>
    </row>
    <row r="74" ht="15.95" customHeight="1">
      <c r="B74" s="631" t="n"/>
      <c r="C74" s="632" t="n"/>
      <c r="D74" s="632" t="n"/>
      <c r="E74" s="632" t="n"/>
      <c r="F74" s="633" t="n"/>
      <c r="G74" s="633" t="n"/>
      <c r="H74" s="633" t="n"/>
      <c r="I74" s="633" t="n"/>
      <c r="J74" s="632" t="n"/>
      <c r="K74" s="632" t="n"/>
      <c r="L74" s="632" t="n"/>
      <c r="M74" s="632" t="n"/>
      <c r="N74" s="632" t="n"/>
      <c r="O74" s="632" t="n"/>
      <c r="P74" s="633" t="n"/>
      <c r="Q74" s="634" t="n"/>
      <c r="R74" s="635" t="n"/>
      <c r="T74" s="636" t="n"/>
    </row>
    <row r="75">
      <c r="B75" s="263" t="inlineStr">
        <is>
          <t>A</t>
        </is>
      </c>
      <c r="C75" s="506" t="n"/>
      <c r="D75" s="506" t="n"/>
      <c r="E75" s="506" t="n"/>
      <c r="F75" s="506" t="n"/>
      <c r="G75" s="506" t="n"/>
      <c r="H75" s="506" t="n"/>
      <c r="I75" s="506" t="n"/>
      <c r="J75" s="506" t="n"/>
      <c r="K75" s="506" t="n"/>
      <c r="L75" s="506" t="n"/>
      <c r="M75" s="506" t="n"/>
      <c r="N75" s="506" t="n"/>
      <c r="O75" s="506" t="n"/>
      <c r="P75" s="506" t="n"/>
      <c r="Q75" s="637" t="n"/>
      <c r="S75" s="260" t="inlineStr">
        <is>
          <t>L</t>
        </is>
      </c>
    </row>
    <row r="76" ht="15.95" customHeight="1">
      <c r="B76" s="73">
        <f>B42/$L4</f>
        <v/>
      </c>
      <c r="C76" s="74">
        <f>C42/$L4</f>
        <v/>
      </c>
      <c r="D76" s="74">
        <f>D42/$L4</f>
        <v/>
      </c>
      <c r="E76" s="74">
        <f>E42/$L4</f>
        <v/>
      </c>
      <c r="F76" s="74">
        <f>F42/$L4</f>
        <v/>
      </c>
      <c r="G76" s="74">
        <f>G42/$L4</f>
        <v/>
      </c>
      <c r="H76" s="74">
        <f>H42/$L4</f>
        <v/>
      </c>
      <c r="I76" s="74">
        <f>I42/$L4</f>
        <v/>
      </c>
      <c r="J76" s="74">
        <f>J42/$L4</f>
        <v/>
      </c>
      <c r="K76" s="74">
        <f>K42/$L4</f>
        <v/>
      </c>
      <c r="L76" s="74">
        <f>L42/$L4</f>
        <v/>
      </c>
      <c r="M76" s="74">
        <f>M42/$L4</f>
        <v/>
      </c>
      <c r="N76" s="74">
        <f>N42/$L4</f>
        <v/>
      </c>
      <c r="O76" s="74">
        <f>O42/$L4</f>
        <v/>
      </c>
      <c r="P76" s="74">
        <f>P42/$L4</f>
        <v/>
      </c>
      <c r="Q76" s="95">
        <f>Q42/$L4</f>
        <v/>
      </c>
      <c r="S76" s="75">
        <f>S42/$L4</f>
        <v/>
      </c>
    </row>
    <row r="77">
      <c r="B77" s="598">
        <f>B43/$L5</f>
        <v/>
      </c>
      <c r="C77" s="599">
        <f>C43/$L5</f>
        <v/>
      </c>
      <c r="D77" s="599">
        <f>D43/$L5</f>
        <v/>
      </c>
      <c r="E77" s="599">
        <f>E43/$L5</f>
        <v/>
      </c>
      <c r="F77" s="599">
        <f>F43/$L5</f>
        <v/>
      </c>
      <c r="G77" s="599">
        <f>G43/$L5</f>
        <v/>
      </c>
      <c r="H77" s="599">
        <f>H43/$L5</f>
        <v/>
      </c>
      <c r="I77" s="599">
        <f>I43/$L5</f>
        <v/>
      </c>
      <c r="J77" s="599">
        <f>J43/$L5</f>
        <v/>
      </c>
      <c r="K77" s="599">
        <f>K43/$L5</f>
        <v/>
      </c>
      <c r="L77" s="599">
        <f>L43/$L5</f>
        <v/>
      </c>
      <c r="M77" s="599">
        <f>M43/$L5</f>
        <v/>
      </c>
      <c r="N77" s="599">
        <f>N43/$L5</f>
        <v/>
      </c>
      <c r="O77" s="599">
        <f>O43/$L5</f>
        <v/>
      </c>
      <c r="P77" s="599">
        <f>P43/$L5</f>
        <v/>
      </c>
      <c r="Q77" s="600">
        <f>Q43/$L5</f>
        <v/>
      </c>
      <c r="S77" s="78">
        <f>S43/$L5</f>
        <v/>
      </c>
    </row>
    <row r="78">
      <c r="B78" s="729">
        <f>B44/$L6</f>
        <v/>
      </c>
      <c r="C78" s="730">
        <f>C44/$L6</f>
        <v/>
      </c>
      <c r="D78" s="730">
        <f>D44/$L6</f>
        <v/>
      </c>
      <c r="E78" s="730">
        <f>E44/$L6</f>
        <v/>
      </c>
      <c r="F78" s="730">
        <f>F44/$L6</f>
        <v/>
      </c>
      <c r="G78" s="730">
        <f>G44/$L6</f>
        <v/>
      </c>
      <c r="H78" s="730">
        <f>H44/$L6</f>
        <v/>
      </c>
      <c r="I78" s="730">
        <f>I44/$L6</f>
        <v/>
      </c>
      <c r="J78" s="730">
        <f>J44/$L6</f>
        <v/>
      </c>
      <c r="K78" s="730">
        <f>K44/$L6</f>
        <v/>
      </c>
      <c r="L78" s="730">
        <f>L44/$L6</f>
        <v/>
      </c>
      <c r="M78" s="730">
        <f>M44/$L6</f>
        <v/>
      </c>
      <c r="N78" s="730">
        <f>N44/$L6</f>
        <v/>
      </c>
      <c r="O78" s="730">
        <f>O44/$L6</f>
        <v/>
      </c>
      <c r="P78" s="730">
        <f>P44/$L6</f>
        <v/>
      </c>
      <c r="Q78" s="731">
        <f>Q44/$L6</f>
        <v/>
      </c>
      <c r="R78" s="642" t="n"/>
      <c r="S78" s="78">
        <f>S44/$L6</f>
        <v/>
      </c>
      <c r="T78" s="607" t="n"/>
    </row>
    <row r="79">
      <c r="B79" s="732">
        <f>B45/$L7</f>
        <v/>
      </c>
      <c r="C79" s="733">
        <f>C45/$L7</f>
        <v/>
      </c>
      <c r="D79" s="733">
        <f>D45/$L7</f>
        <v/>
      </c>
      <c r="E79" s="733">
        <f>E45/$L7</f>
        <v/>
      </c>
      <c r="F79" s="733">
        <f>F45/$L7</f>
        <v/>
      </c>
      <c r="G79" s="733">
        <f>G45/$L7</f>
        <v/>
      </c>
      <c r="H79" s="610">
        <f>H45/$L7</f>
        <v/>
      </c>
      <c r="I79" s="610">
        <f>I45/$L7</f>
        <v/>
      </c>
      <c r="J79" s="733">
        <f>J45/$L7</f>
        <v/>
      </c>
      <c r="K79" s="733">
        <f>K45/$L7</f>
        <v/>
      </c>
      <c r="L79" s="733">
        <f>L45/$L7</f>
        <v/>
      </c>
      <c r="M79" s="733">
        <f>M45/$L7</f>
        <v/>
      </c>
      <c r="N79" s="733">
        <f>N45/$L7</f>
        <v/>
      </c>
      <c r="O79" s="733">
        <f>O45/$L7</f>
        <v/>
      </c>
      <c r="P79" s="733">
        <f>P45/$L7</f>
        <v/>
      </c>
      <c r="Q79" s="734">
        <f>Q45/$L7</f>
        <v/>
      </c>
      <c r="R79" s="544" t="n"/>
      <c r="S79" s="78">
        <f>S45/$L7</f>
        <v/>
      </c>
      <c r="T79" s="571" t="n"/>
    </row>
    <row r="80">
      <c r="A80" s="612" t="n"/>
      <c r="B80" s="647">
        <f>B46/$L8</f>
        <v/>
      </c>
      <c r="C80" s="648">
        <f>C46/$L8</f>
        <v/>
      </c>
      <c r="D80" s="648">
        <f>D46/$L8</f>
        <v/>
      </c>
      <c r="E80" s="648">
        <f>E46/$L8</f>
        <v/>
      </c>
      <c r="F80" s="648">
        <f>F46/$L8</f>
        <v/>
      </c>
      <c r="G80" s="648">
        <f>G46/$L8</f>
        <v/>
      </c>
      <c r="H80" s="648">
        <f>H46/$L8</f>
        <v/>
      </c>
      <c r="I80" s="648">
        <f>I46/$L8</f>
        <v/>
      </c>
      <c r="J80" s="648">
        <f>J46/$L8</f>
        <v/>
      </c>
      <c r="K80" s="648">
        <f>K46/$L8</f>
        <v/>
      </c>
      <c r="L80" s="648">
        <f>L46/$L8</f>
        <v/>
      </c>
      <c r="M80" s="648">
        <f>M46/$L8</f>
        <v/>
      </c>
      <c r="N80" s="648">
        <f>N46/$L8</f>
        <v/>
      </c>
      <c r="O80" s="648">
        <f>O46/$L8</f>
        <v/>
      </c>
      <c r="P80" s="648">
        <f>P46/$L8</f>
        <v/>
      </c>
      <c r="Q80" s="735">
        <f>Q46/$L8</f>
        <v/>
      </c>
      <c r="R80" s="555" t="n"/>
      <c r="S80" s="78">
        <f>S46/$L8</f>
        <v/>
      </c>
      <c r="T80" s="617" t="n"/>
    </row>
    <row r="81">
      <c r="A81" s="612" t="n"/>
      <c r="B81" s="650">
        <f>B47/$L9</f>
        <v/>
      </c>
      <c r="C81" s="487">
        <f>C47/$L9</f>
        <v/>
      </c>
      <c r="D81" s="487">
        <f>D47/$L9</f>
        <v/>
      </c>
      <c r="E81" s="487">
        <f>E47/$L9</f>
        <v/>
      </c>
      <c r="F81" s="487">
        <f>F47/$L9</f>
        <v/>
      </c>
      <c r="G81" s="487">
        <f>G47/$L9</f>
        <v/>
      </c>
      <c r="H81" s="487">
        <f>H47/$L9</f>
        <v/>
      </c>
      <c r="I81" s="487">
        <f>I47/$L9</f>
        <v/>
      </c>
      <c r="J81" s="487">
        <f>J47/$L9</f>
        <v/>
      </c>
      <c r="K81" s="487">
        <f>K47/$L9</f>
        <v/>
      </c>
      <c r="L81" s="487">
        <f>L47/$L9</f>
        <v/>
      </c>
      <c r="M81" s="487">
        <f>M47/$L9</f>
        <v/>
      </c>
      <c r="N81" s="487">
        <f>N47/$L9</f>
        <v/>
      </c>
      <c r="O81" s="487">
        <f>O47/$L9</f>
        <v/>
      </c>
      <c r="P81" s="487">
        <f>P47/$L9</f>
        <v/>
      </c>
      <c r="Q81" s="736">
        <f>Q47/$L9</f>
        <v/>
      </c>
      <c r="R81" s="544" t="n"/>
      <c r="S81" s="78">
        <f>S47/$L9</f>
        <v/>
      </c>
      <c r="T81" s="542" t="n"/>
    </row>
    <row r="82">
      <c r="A82" s="612" t="n"/>
      <c r="B82" s="650">
        <f>B48/$L10</f>
        <v/>
      </c>
      <c r="C82" s="487">
        <f>C48/$L10</f>
        <v/>
      </c>
      <c r="D82" s="487">
        <f>D48/$L10</f>
        <v/>
      </c>
      <c r="E82" s="487">
        <f>E48/$L10</f>
        <v/>
      </c>
      <c r="F82" s="487">
        <f>F48/$L10</f>
        <v/>
      </c>
      <c r="G82" s="487">
        <f>G48/$L10</f>
        <v/>
      </c>
      <c r="H82" s="487">
        <f>H48/$L10</f>
        <v/>
      </c>
      <c r="I82" s="487">
        <f>I48/$L10</f>
        <v/>
      </c>
      <c r="J82" s="487">
        <f>J48/$L10</f>
        <v/>
      </c>
      <c r="K82" s="487">
        <f>K48/$L10</f>
        <v/>
      </c>
      <c r="L82" s="487">
        <f>L48/$L10</f>
        <v/>
      </c>
      <c r="M82" s="487">
        <f>M48/$L10</f>
        <v/>
      </c>
      <c r="N82" s="487">
        <f>N48/$L10</f>
        <v/>
      </c>
      <c r="O82" s="487">
        <f>O48/$L10</f>
        <v/>
      </c>
      <c r="P82" s="487">
        <f>P48/$L10</f>
        <v/>
      </c>
      <c r="Q82" s="736">
        <f>Q48/$L10</f>
        <v/>
      </c>
      <c r="R82" s="544" t="n"/>
      <c r="S82" s="78">
        <f>S48/$L10</f>
        <v/>
      </c>
      <c r="T82" s="542" t="n"/>
    </row>
    <row r="83">
      <c r="A83" s="612" t="n"/>
      <c r="B83" s="650">
        <f>B49/$L11</f>
        <v/>
      </c>
      <c r="C83" s="487">
        <f>C49/$L11</f>
        <v/>
      </c>
      <c r="D83" s="487">
        <f>D49/$L11</f>
        <v/>
      </c>
      <c r="E83" s="487">
        <f>E49/$L11</f>
        <v/>
      </c>
      <c r="F83" s="487">
        <f>F49/$L11</f>
        <v/>
      </c>
      <c r="G83" s="487">
        <f>G49/$L11</f>
        <v/>
      </c>
      <c r="H83" s="487">
        <f>H49/$L11</f>
        <v/>
      </c>
      <c r="I83" s="487">
        <f>I49/$L11</f>
        <v/>
      </c>
      <c r="J83" s="487">
        <f>J49/$L11</f>
        <v/>
      </c>
      <c r="K83" s="487">
        <f>K49/$L11</f>
        <v/>
      </c>
      <c r="L83" s="487">
        <f>L49/$L11</f>
        <v/>
      </c>
      <c r="M83" s="487">
        <f>M49/$L11</f>
        <v/>
      </c>
      <c r="N83" s="487">
        <f>N49/$L11</f>
        <v/>
      </c>
      <c r="O83" s="487">
        <f>O49/$L11</f>
        <v/>
      </c>
      <c r="P83" s="487">
        <f>P49/$L11</f>
        <v/>
      </c>
      <c r="Q83" s="736">
        <f>Q49/$L11</f>
        <v/>
      </c>
      <c r="R83" s="544" t="n"/>
      <c r="S83" s="78">
        <f>S49/$L11</f>
        <v/>
      </c>
      <c r="T83" s="542" t="n"/>
    </row>
    <row r="84">
      <c r="A84" s="612" t="n"/>
      <c r="B84" s="650">
        <f>B50/$L12</f>
        <v/>
      </c>
      <c r="C84" s="487">
        <f>C50/$L12</f>
        <v/>
      </c>
      <c r="D84" s="487">
        <f>D50/$L12</f>
        <v/>
      </c>
      <c r="E84" s="487">
        <f>E50/$L12</f>
        <v/>
      </c>
      <c r="F84" s="487">
        <f>F50/$L12</f>
        <v/>
      </c>
      <c r="G84" s="487">
        <f>G50/$L12</f>
        <v/>
      </c>
      <c r="H84" s="487">
        <f>H50/$L12</f>
        <v/>
      </c>
      <c r="I84" s="487">
        <f>I50/$L12</f>
        <v/>
      </c>
      <c r="J84" s="487">
        <f>J50/$L12</f>
        <v/>
      </c>
      <c r="K84" s="487">
        <f>K50/$L12</f>
        <v/>
      </c>
      <c r="L84" s="487">
        <f>L50/$L12</f>
        <v/>
      </c>
      <c r="M84" s="487">
        <f>M50/$L12</f>
        <v/>
      </c>
      <c r="N84" s="487">
        <f>N50/$L12</f>
        <v/>
      </c>
      <c r="O84" s="487">
        <f>O50/$L12</f>
        <v/>
      </c>
      <c r="P84" s="487">
        <f>P50/$L12</f>
        <v/>
      </c>
      <c r="Q84" s="736">
        <f>Q50/$L12</f>
        <v/>
      </c>
      <c r="R84" s="544" t="n"/>
      <c r="S84" s="78">
        <f>S50/$L12</f>
        <v/>
      </c>
      <c r="T84" s="542" t="n"/>
    </row>
    <row r="85">
      <c r="A85" s="612" t="n"/>
      <c r="B85" s="650">
        <f>B51/$L13</f>
        <v/>
      </c>
      <c r="C85" s="487">
        <f>C51/$L13</f>
        <v/>
      </c>
      <c r="D85" s="487">
        <f>D51/$L13</f>
        <v/>
      </c>
      <c r="E85" s="487">
        <f>E51/$L13</f>
        <v/>
      </c>
      <c r="F85" s="487">
        <f>F51/$L13</f>
        <v/>
      </c>
      <c r="G85" s="487">
        <f>G51/$L13</f>
        <v/>
      </c>
      <c r="H85" s="487">
        <f>H51/$L13</f>
        <v/>
      </c>
      <c r="I85" s="487">
        <f>I51/$L13</f>
        <v/>
      </c>
      <c r="J85" s="487">
        <f>J51/$L13</f>
        <v/>
      </c>
      <c r="K85" s="487">
        <f>K51/$L13</f>
        <v/>
      </c>
      <c r="L85" s="487">
        <f>L51/$L13</f>
        <v/>
      </c>
      <c r="M85" s="487">
        <f>M51/$L13</f>
        <v/>
      </c>
      <c r="N85" s="487">
        <f>N51/$L13</f>
        <v/>
      </c>
      <c r="O85" s="487">
        <f>O51/$L13</f>
        <v/>
      </c>
      <c r="P85" s="487">
        <f>P51/$L13</f>
        <v/>
      </c>
      <c r="Q85" s="736">
        <f>Q51/$L13</f>
        <v/>
      </c>
      <c r="R85" s="544" t="n"/>
      <c r="S85" s="78">
        <f>S51/$L13</f>
        <v/>
      </c>
      <c r="T85" s="542" t="n"/>
    </row>
    <row r="86">
      <c r="A86" s="612" t="n"/>
      <c r="B86" s="650">
        <f>B52/$L14</f>
        <v/>
      </c>
      <c r="C86" s="487">
        <f>C52/$L14</f>
        <v/>
      </c>
      <c r="D86" s="487">
        <f>D52/$L14</f>
        <v/>
      </c>
      <c r="E86" s="487">
        <f>E52/$L14</f>
        <v/>
      </c>
      <c r="F86" s="487">
        <f>F52/$L14</f>
        <v/>
      </c>
      <c r="G86" s="487">
        <f>G52/$L14</f>
        <v/>
      </c>
      <c r="H86" s="487">
        <f>H52/$L14</f>
        <v/>
      </c>
      <c r="I86" s="487">
        <f>I52/$L14</f>
        <v/>
      </c>
      <c r="J86" s="487">
        <f>J52/$L14</f>
        <v/>
      </c>
      <c r="K86" s="487">
        <f>K52/$L14</f>
        <v/>
      </c>
      <c r="L86" s="487">
        <f>L52/$L14</f>
        <v/>
      </c>
      <c r="M86" s="487">
        <f>M52/$L14</f>
        <v/>
      </c>
      <c r="N86" s="487">
        <f>N52/$L14</f>
        <v/>
      </c>
      <c r="O86" s="487">
        <f>O52/$L14</f>
        <v/>
      </c>
      <c r="P86" s="487">
        <f>P52/$L14</f>
        <v/>
      </c>
      <c r="Q86" s="736">
        <f>Q52/$L14</f>
        <v/>
      </c>
      <c r="R86" s="544" t="n"/>
      <c r="S86" s="78">
        <f>S52/$L14</f>
        <v/>
      </c>
      <c r="T86" s="542" t="n"/>
    </row>
    <row r="87">
      <c r="A87" s="612" t="n"/>
      <c r="B87" s="650">
        <f>B53/$L15</f>
        <v/>
      </c>
      <c r="C87" s="487">
        <f>C53/$L15</f>
        <v/>
      </c>
      <c r="D87" s="487">
        <f>D53/$L15</f>
        <v/>
      </c>
      <c r="E87" s="487">
        <f>E53/$L15</f>
        <v/>
      </c>
      <c r="F87" s="487">
        <f>F53/$L15</f>
        <v/>
      </c>
      <c r="G87" s="487">
        <f>G53/$L15</f>
        <v/>
      </c>
      <c r="H87" s="487">
        <f>H53/$L15</f>
        <v/>
      </c>
      <c r="I87" s="487">
        <f>I53/$L15</f>
        <v/>
      </c>
      <c r="J87" s="487">
        <f>J53/$L15</f>
        <v/>
      </c>
      <c r="K87" s="487">
        <f>K53/$L15</f>
        <v/>
      </c>
      <c r="L87" s="487">
        <f>L53/$L15</f>
        <v/>
      </c>
      <c r="M87" s="487">
        <f>M53/$L15</f>
        <v/>
      </c>
      <c r="N87" s="487">
        <f>N53/$L15</f>
        <v/>
      </c>
      <c r="O87" s="487">
        <f>O53/$L15</f>
        <v/>
      </c>
      <c r="P87" s="487">
        <f>P53/$L15</f>
        <v/>
      </c>
      <c r="Q87" s="736">
        <f>Q53/$L15</f>
        <v/>
      </c>
      <c r="R87" s="544" t="n"/>
      <c r="S87" s="78">
        <f>S53/$L15</f>
        <v/>
      </c>
      <c r="T87" s="542" t="n"/>
    </row>
    <row r="88">
      <c r="A88" s="612" t="n"/>
      <c r="B88" s="650">
        <f>B54/$L16</f>
        <v/>
      </c>
      <c r="C88" s="487">
        <f>C54/$L16</f>
        <v/>
      </c>
      <c r="D88" s="487">
        <f>D54/$L16</f>
        <v/>
      </c>
      <c r="E88" s="487">
        <f>E54/$L16</f>
        <v/>
      </c>
      <c r="F88" s="487">
        <f>F54/$L16</f>
        <v/>
      </c>
      <c r="G88" s="487">
        <f>G54/$L16</f>
        <v/>
      </c>
      <c r="H88" s="487">
        <f>H54/$L16</f>
        <v/>
      </c>
      <c r="I88" s="487">
        <f>I54/$L16</f>
        <v/>
      </c>
      <c r="J88" s="487">
        <f>J54/$L16</f>
        <v/>
      </c>
      <c r="K88" s="487">
        <f>K54/$L16</f>
        <v/>
      </c>
      <c r="L88" s="487">
        <f>L54/$L16</f>
        <v/>
      </c>
      <c r="M88" s="487">
        <f>M54/$L16</f>
        <v/>
      </c>
      <c r="N88" s="487">
        <f>N54/$L16</f>
        <v/>
      </c>
      <c r="O88" s="487">
        <f>O54/$L16</f>
        <v/>
      </c>
      <c r="P88" s="487">
        <f>P54/$L16</f>
        <v/>
      </c>
      <c r="Q88" s="736">
        <f>Q54/$L16</f>
        <v/>
      </c>
      <c r="R88" s="544" t="n"/>
      <c r="S88" s="78">
        <f>S54/$L16</f>
        <v/>
      </c>
      <c r="T88" s="542" t="n"/>
    </row>
    <row r="89">
      <c r="A89" s="612" t="n"/>
      <c r="B89" s="650">
        <f>B55/$L17</f>
        <v/>
      </c>
      <c r="C89" s="487">
        <f>C55/$L17</f>
        <v/>
      </c>
      <c r="D89" s="487">
        <f>D55/$L17</f>
        <v/>
      </c>
      <c r="E89" s="487">
        <f>E55/$L17</f>
        <v/>
      </c>
      <c r="F89" s="487">
        <f>F55/$L17</f>
        <v/>
      </c>
      <c r="G89" s="487">
        <f>G55/$L17</f>
        <v/>
      </c>
      <c r="H89" s="487">
        <f>H55/$L17</f>
        <v/>
      </c>
      <c r="I89" s="487">
        <f>I55/$L17</f>
        <v/>
      </c>
      <c r="J89" s="487">
        <f>J55/$L17</f>
        <v/>
      </c>
      <c r="K89" s="487">
        <f>K55/$L17</f>
        <v/>
      </c>
      <c r="L89" s="487">
        <f>L55/$L17</f>
        <v/>
      </c>
      <c r="M89" s="487">
        <f>M55/$L17</f>
        <v/>
      </c>
      <c r="N89" s="487">
        <f>N55/$L17</f>
        <v/>
      </c>
      <c r="O89" s="487">
        <f>O55/$L17</f>
        <v/>
      </c>
      <c r="P89" s="487">
        <f>P55/$L17</f>
        <v/>
      </c>
      <c r="Q89" s="736">
        <f>Q55/$L17</f>
        <v/>
      </c>
      <c r="R89" s="544" t="n"/>
      <c r="S89" s="78">
        <f>S55/$L17</f>
        <v/>
      </c>
      <c r="T89" s="542" t="n"/>
    </row>
    <row r="90">
      <c r="A90" s="612" t="n"/>
      <c r="B90" s="650">
        <f>B56/$L18</f>
        <v/>
      </c>
      <c r="C90" s="487">
        <f>C56/$L18</f>
        <v/>
      </c>
      <c r="D90" s="487">
        <f>D56/$L18</f>
        <v/>
      </c>
      <c r="E90" s="487">
        <f>E56/$L18</f>
        <v/>
      </c>
      <c r="F90" s="487">
        <f>F56/$L18</f>
        <v/>
      </c>
      <c r="G90" s="487">
        <f>G56/$L18</f>
        <v/>
      </c>
      <c r="H90" s="487">
        <f>H56/$L18</f>
        <v/>
      </c>
      <c r="I90" s="487">
        <f>I56/$L18</f>
        <v/>
      </c>
      <c r="J90" s="487">
        <f>J56/$L18</f>
        <v/>
      </c>
      <c r="K90" s="487">
        <f>K56/$L18</f>
        <v/>
      </c>
      <c r="L90" s="487">
        <f>L56/$L18</f>
        <v/>
      </c>
      <c r="M90" s="487">
        <f>M56/$L18</f>
        <v/>
      </c>
      <c r="N90" s="487">
        <f>N56/$L18</f>
        <v/>
      </c>
      <c r="O90" s="487">
        <f>O56/$L18</f>
        <v/>
      </c>
      <c r="P90" s="487">
        <f>P56/$L18</f>
        <v/>
      </c>
      <c r="Q90" s="736">
        <f>Q56/$L18</f>
        <v/>
      </c>
      <c r="R90" s="544" t="n"/>
      <c r="S90" s="78">
        <f>S56/$L18</f>
        <v/>
      </c>
      <c r="T90" s="542" t="n"/>
    </row>
    <row r="91">
      <c r="A91" s="612" t="n"/>
      <c r="B91" s="650">
        <f>B57/$L19</f>
        <v/>
      </c>
      <c r="C91" s="487">
        <f>C57/$L19</f>
        <v/>
      </c>
      <c r="D91" s="487">
        <f>D57/$L19</f>
        <v/>
      </c>
      <c r="E91" s="487">
        <f>E57/$L19</f>
        <v/>
      </c>
      <c r="F91" s="487">
        <f>F57/$L19</f>
        <v/>
      </c>
      <c r="G91" s="487">
        <f>G57/$L19</f>
        <v/>
      </c>
      <c r="H91" s="487">
        <f>H57/$L19</f>
        <v/>
      </c>
      <c r="I91" s="487">
        <f>I57/$L19</f>
        <v/>
      </c>
      <c r="J91" s="487">
        <f>J57/$L19</f>
        <v/>
      </c>
      <c r="K91" s="487">
        <f>K57/$L19</f>
        <v/>
      </c>
      <c r="L91" s="487">
        <f>L57/$L19</f>
        <v/>
      </c>
      <c r="M91" s="487">
        <f>M57/$L19</f>
        <v/>
      </c>
      <c r="N91" s="487">
        <f>N57/$L19</f>
        <v/>
      </c>
      <c r="O91" s="487">
        <f>O57/$L19</f>
        <v/>
      </c>
      <c r="P91" s="487">
        <f>P57/$L19</f>
        <v/>
      </c>
      <c r="Q91" s="736">
        <f>Q57/$L19</f>
        <v/>
      </c>
      <c r="R91" s="544" t="n"/>
      <c r="S91" s="78">
        <f>S57/$L19</f>
        <v/>
      </c>
      <c r="T91" s="542" t="n"/>
      <c r="U91" s="21" t="inlineStr">
        <is>
          <t>AT</t>
        </is>
      </c>
      <c r="V91" s="596" t="n"/>
      <c r="W91" s="596" t="n"/>
      <c r="X91" s="596" t="n"/>
      <c r="Y91" s="596" t="n"/>
      <c r="Z91" s="596" t="n"/>
      <c r="AA91" s="596" t="n"/>
      <c r="AB91" s="596" t="n"/>
      <c r="AC91" s="596" t="n"/>
      <c r="AD91" s="596" t="n"/>
      <c r="AE91" s="596" t="n"/>
      <c r="AF91" s="596" t="n"/>
      <c r="AG91" s="596" t="n"/>
      <c r="AH91" s="596" t="n"/>
      <c r="AI91" s="596" t="n"/>
      <c r="AJ91" s="596" t="n"/>
      <c r="AK91" s="596" t="n"/>
      <c r="AL91" s="596" t="n"/>
      <c r="AM91" s="596" t="n"/>
      <c r="AN91" s="596" t="n"/>
      <c r="AO91" s="596" t="n"/>
      <c r="AP91" s="596" t="n"/>
      <c r="AQ91" s="596" t="n"/>
      <c r="AR91" s="596" t="n"/>
      <c r="AS91" s="596" t="n"/>
      <c r="AT91" s="596" t="n"/>
      <c r="AU91" s="596" t="n"/>
      <c r="AV91" s="596" t="n"/>
      <c r="AW91" s="596" t="n"/>
      <c r="AX91" s="596" t="n"/>
      <c r="AY91" s="596" t="n"/>
      <c r="AZ91" s="597" t="n"/>
    </row>
    <row r="92">
      <c r="A92" s="612" t="n"/>
      <c r="B92" s="650">
        <f>B58/$L20</f>
        <v/>
      </c>
      <c r="C92" s="487">
        <f>C58/$L20</f>
        <v/>
      </c>
      <c r="D92" s="487">
        <f>D58/$L20</f>
        <v/>
      </c>
      <c r="E92" s="487">
        <f>E58/$L20</f>
        <v/>
      </c>
      <c r="F92" s="487">
        <f>F58/$L20</f>
        <v/>
      </c>
      <c r="G92" s="487">
        <f>G58/$L20</f>
        <v/>
      </c>
      <c r="H92" s="487">
        <f>H58/$L20</f>
        <v/>
      </c>
      <c r="I92" s="487">
        <f>I58/$L20</f>
        <v/>
      </c>
      <c r="J92" s="487">
        <f>J58/$L20</f>
        <v/>
      </c>
      <c r="K92" s="487">
        <f>K58/$L20</f>
        <v/>
      </c>
      <c r="L92" s="487">
        <f>L58/$L20</f>
        <v/>
      </c>
      <c r="M92" s="487">
        <f>M58/$L20</f>
        <v/>
      </c>
      <c r="N92" s="487">
        <f>N58/$L20</f>
        <v/>
      </c>
      <c r="O92" s="487">
        <f>O58/$L20</f>
        <v/>
      </c>
      <c r="P92" s="487">
        <f>P58/$L20</f>
        <v/>
      </c>
      <c r="Q92" s="736">
        <f>Q58/$L20</f>
        <v/>
      </c>
      <c r="R92" s="544" t="n"/>
      <c r="S92" s="78">
        <f>S58/$L20</f>
        <v/>
      </c>
      <c r="T92" s="542" t="n"/>
      <c r="U92" s="8">
        <f t="array" ref="U92:AZ107">TRANSPOSE(B76:Q107)</f>
        <v/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521.7399017024632</v>
      </c>
      <c r="AA92" s="9" t="n">
        <v>0</v>
      </c>
      <c r="AB92" s="9" t="n">
        <v>0</v>
      </c>
      <c r="AC92" s="9" t="n">
        <v>0</v>
      </c>
      <c r="AD92" s="9" t="n">
        <v>-697.2748402348614</v>
      </c>
      <c r="AE92" s="9" t="n">
        <v>-370.4568635792803</v>
      </c>
      <c r="AF92" s="9" t="n">
        <v>173.6449210300658</v>
      </c>
      <c r="AG92" s="9" t="n">
        <v>0</v>
      </c>
      <c r="AH92" s="9" t="n">
        <v>0</v>
      </c>
      <c r="AI92" s="9" t="n">
        <v>0</v>
      </c>
      <c r="AJ92" s="9" t="n">
        <v>0</v>
      </c>
      <c r="AK92" s="9" t="n">
        <v>0</v>
      </c>
      <c r="AL92" s="9" t="n">
        <v>0</v>
      </c>
      <c r="AM92" s="9" t="n">
        <v>0</v>
      </c>
      <c r="AN92" s="9" t="n">
        <v>0</v>
      </c>
      <c r="AO92" s="65" t="n">
        <v>-1134.435402523739</v>
      </c>
      <c r="AP92" s="65" t="n">
        <v>0</v>
      </c>
      <c r="AQ92" s="65" t="n">
        <v>0</v>
      </c>
      <c r="AR92" s="65" t="n">
        <v>0</v>
      </c>
      <c r="AS92" s="65" t="n">
        <v>0</v>
      </c>
      <c r="AT92" s="65" t="n">
        <v>1134.435402523739</v>
      </c>
      <c r="AU92" s="65" t="n">
        <v>0</v>
      </c>
      <c r="AV92" s="65" t="n">
        <v>0</v>
      </c>
      <c r="AW92" s="65" t="n">
        <v>0</v>
      </c>
      <c r="AX92" s="65" t="n">
        <v>0</v>
      </c>
      <c r="AY92" s="65" t="n">
        <v>0</v>
      </c>
      <c r="AZ92" s="66" t="n">
        <v>0</v>
      </c>
    </row>
    <row r="93">
      <c r="A93" s="612" t="n"/>
      <c r="B93" s="650">
        <f>B59/$L21</f>
        <v/>
      </c>
      <c r="C93" s="487">
        <f>C59/$L21</f>
        <v/>
      </c>
      <c r="D93" s="487">
        <f>D59/$L21</f>
        <v/>
      </c>
      <c r="E93" s="487">
        <f>E59/$L21</f>
        <v/>
      </c>
      <c r="F93" s="487">
        <f>F59/$L21</f>
        <v/>
      </c>
      <c r="G93" s="487">
        <f>G59/$L21</f>
        <v/>
      </c>
      <c r="H93" s="487">
        <f>H59/$L21</f>
        <v/>
      </c>
      <c r="I93" s="487">
        <f>I59/$L21</f>
        <v/>
      </c>
      <c r="J93" s="487">
        <f>J59/$L21</f>
        <v/>
      </c>
      <c r="K93" s="487">
        <f>K59/$L21</f>
        <v/>
      </c>
      <c r="L93" s="487">
        <f>L59/$L21</f>
        <v/>
      </c>
      <c r="M93" s="487">
        <f>M59/$L21</f>
        <v/>
      </c>
      <c r="N93" s="487">
        <f>N59/$L21</f>
        <v/>
      </c>
      <c r="O93" s="487">
        <f>O59/$L21</f>
        <v/>
      </c>
      <c r="P93" s="487">
        <f>P59/$L21</f>
        <v/>
      </c>
      <c r="Q93" s="736">
        <f>Q59/$L21</f>
        <v/>
      </c>
      <c r="R93" s="544" t="n"/>
      <c r="S93" s="78">
        <f>S59/$L21</f>
        <v/>
      </c>
      <c r="T93" s="542" t="n"/>
      <c r="U93" s="11" t="n">
        <v>-766.9328803882496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-695.6532022699513</v>
      </c>
      <c r="AA93" s="1" t="n">
        <v>0</v>
      </c>
      <c r="AB93" s="1" t="n">
        <v>0</v>
      </c>
      <c r="AC93" s="1" t="n">
        <v>0</v>
      </c>
      <c r="AD93" s="1" t="n">
        <v>-370.8908724653518</v>
      </c>
      <c r="AE93" s="1" t="n">
        <v>-771.3622364938443</v>
      </c>
      <c r="AF93" s="1" t="n">
        <v>-766.9317345494579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25" t="n">
        <v>544.8275288436375</v>
      </c>
      <c r="AP93" s="25" t="n">
        <v>0</v>
      </c>
      <c r="AQ93" s="25" t="n">
        <v>0</v>
      </c>
      <c r="AR93" s="25" t="n">
        <v>0</v>
      </c>
      <c r="AS93" s="25" t="n">
        <v>0</v>
      </c>
      <c r="AT93" s="25" t="n">
        <v>-544.8275288436375</v>
      </c>
      <c r="AU93" s="25" t="n">
        <v>0</v>
      </c>
      <c r="AV93" s="25" t="n">
        <v>0</v>
      </c>
      <c r="AW93" s="25" t="n">
        <v>0</v>
      </c>
      <c r="AX93" s="25" t="n">
        <v>0</v>
      </c>
      <c r="AY93" s="25" t="n">
        <v>0</v>
      </c>
      <c r="AZ93" s="45" t="n">
        <v>0</v>
      </c>
    </row>
    <row r="94">
      <c r="A94" s="612" t="n"/>
      <c r="B94" s="650">
        <f>B60/$L22</f>
        <v/>
      </c>
      <c r="C94" s="487">
        <f>C60/$L22</f>
        <v/>
      </c>
      <c r="D94" s="487">
        <f>D60/$L22</f>
        <v/>
      </c>
      <c r="E94" s="487">
        <f>E60/$L22</f>
        <v/>
      </c>
      <c r="F94" s="487">
        <f>F60/$L22</f>
        <v/>
      </c>
      <c r="G94" s="487">
        <f>G60/$L22</f>
        <v/>
      </c>
      <c r="H94" s="487">
        <f>H60/$L22</f>
        <v/>
      </c>
      <c r="I94" s="487">
        <f>I60/$L22</f>
        <v/>
      </c>
      <c r="J94" s="487">
        <f>J60/$L22</f>
        <v/>
      </c>
      <c r="K94" s="487">
        <f>K60/$L22</f>
        <v/>
      </c>
      <c r="L94" s="487">
        <f>L60/$L22</f>
        <v/>
      </c>
      <c r="M94" s="487">
        <f>M60/$L22</f>
        <v/>
      </c>
      <c r="N94" s="487">
        <f>N60/$L22</f>
        <v/>
      </c>
      <c r="O94" s="487">
        <f>O60/$L22</f>
        <v/>
      </c>
      <c r="P94" s="487">
        <f>P60/$L22</f>
        <v/>
      </c>
      <c r="Q94" s="736">
        <f>Q60/$L22</f>
        <v/>
      </c>
      <c r="R94" s="544" t="n"/>
      <c r="S94" s="78">
        <f>S60/$L22</f>
        <v/>
      </c>
      <c r="T94" s="542" t="n"/>
      <c r="U94" s="1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697.2748402348614</v>
      </c>
      <c r="AE94" s="1" t="n">
        <v>0</v>
      </c>
      <c r="AF94" s="1" t="n">
        <v>0</v>
      </c>
      <c r="AG94" s="1" t="n">
        <v>454.0415400210424</v>
      </c>
      <c r="AH94" s="1" t="n">
        <v>847.2464825029242</v>
      </c>
      <c r="AI94" s="1" t="n">
        <v>172.5145547980446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25" t="n">
        <v>212.4190097989928</v>
      </c>
      <c r="AP94" s="25" t="n">
        <v>-212.4190097989928</v>
      </c>
      <c r="AQ94" s="25" t="n">
        <v>0</v>
      </c>
      <c r="AR94" s="25" t="n">
        <v>0</v>
      </c>
      <c r="AS94" s="25" t="n">
        <v>0</v>
      </c>
      <c r="AT94" s="25" t="n">
        <v>0</v>
      </c>
      <c r="AU94" s="25" t="n">
        <v>0</v>
      </c>
      <c r="AV94" s="25" t="n">
        <v>0</v>
      </c>
      <c r="AW94" s="25" t="n">
        <v>0</v>
      </c>
      <c r="AX94" s="25" t="n">
        <v>0</v>
      </c>
      <c r="AY94" s="25" t="n">
        <v>0</v>
      </c>
      <c r="AZ94" s="45" t="n">
        <v>0</v>
      </c>
    </row>
    <row r="95">
      <c r="A95" s="612" t="n"/>
      <c r="B95" s="650">
        <f>B61/$L23</f>
        <v/>
      </c>
      <c r="C95" s="487">
        <f>C61/$L23</f>
        <v/>
      </c>
      <c r="D95" s="487">
        <f>D61/$L23</f>
        <v/>
      </c>
      <c r="E95" s="487">
        <f>E61/$L23</f>
        <v/>
      </c>
      <c r="F95" s="487">
        <f>F61/$L23</f>
        <v/>
      </c>
      <c r="G95" s="487">
        <f>G61/$L23</f>
        <v/>
      </c>
      <c r="H95" s="487">
        <f>H61/$L23</f>
        <v/>
      </c>
      <c r="I95" s="487">
        <f>I61/$L23</f>
        <v/>
      </c>
      <c r="J95" s="487">
        <f>J61/$L23</f>
        <v/>
      </c>
      <c r="K95" s="487">
        <f>K61/$L23</f>
        <v/>
      </c>
      <c r="L95" s="487">
        <f>L61/$L23</f>
        <v/>
      </c>
      <c r="M95" s="487">
        <f>M61/$L23</f>
        <v/>
      </c>
      <c r="N95" s="487">
        <f>N61/$L23</f>
        <v/>
      </c>
      <c r="O95" s="487">
        <f>O61/$L23</f>
        <v/>
      </c>
      <c r="P95" s="487">
        <f>P61/$L23</f>
        <v/>
      </c>
      <c r="Q95" s="736">
        <f>Q61/$L23</f>
        <v/>
      </c>
      <c r="R95" s="544" t="n"/>
      <c r="S95" s="81">
        <f>S61/$L23</f>
        <v/>
      </c>
      <c r="T95" s="542" t="n"/>
      <c r="U95" s="1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370.8908724653518</v>
      </c>
      <c r="AE95" s="1" t="n">
        <v>0</v>
      </c>
      <c r="AF95" s="1" t="n">
        <v>0</v>
      </c>
      <c r="AG95" s="1" t="n">
        <v>-618.0009850286414</v>
      </c>
      <c r="AH95" s="1" t="n">
        <v>-141.2077470838209</v>
      </c>
      <c r="AI95" s="1" t="n">
        <v>-819.4441352907121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25" t="n">
        <v>1274.514058793957</v>
      </c>
      <c r="AP95" s="25" t="n">
        <v>-1274.514058793957</v>
      </c>
      <c r="AQ95" s="25" t="n">
        <v>0</v>
      </c>
      <c r="AR95" s="25" t="n">
        <v>0</v>
      </c>
      <c r="AS95" s="25" t="n">
        <v>0</v>
      </c>
      <c r="AT95" s="25" t="n">
        <v>0</v>
      </c>
      <c r="AU95" s="25" t="n">
        <v>0</v>
      </c>
      <c r="AV95" s="25" t="n">
        <v>0</v>
      </c>
      <c r="AW95" s="25" t="n">
        <v>0</v>
      </c>
      <c r="AX95" s="25" t="n">
        <v>0</v>
      </c>
      <c r="AY95" s="25" t="n">
        <v>0</v>
      </c>
      <c r="AZ95" s="45" t="n">
        <v>0</v>
      </c>
    </row>
    <row r="96">
      <c r="A96" s="612" t="n"/>
      <c r="B96" s="650">
        <f>B62/$O26</f>
        <v/>
      </c>
      <c r="C96" s="487">
        <f>C62/$O26</f>
        <v/>
      </c>
      <c r="D96" s="487">
        <f>D62/$O26</f>
        <v/>
      </c>
      <c r="E96" s="487">
        <f>E62/$O26</f>
        <v/>
      </c>
      <c r="F96" s="487">
        <f>F62/$O26</f>
        <v/>
      </c>
      <c r="G96" s="487">
        <f>G62/$O26</f>
        <v/>
      </c>
      <c r="H96" s="487">
        <f>H62/$O26</f>
        <v/>
      </c>
      <c r="I96" s="487">
        <f>I62/$O26</f>
        <v/>
      </c>
      <c r="J96" s="487">
        <f>J62/$O26</f>
        <v/>
      </c>
      <c r="K96" s="487">
        <f>K62/$O26</f>
        <v/>
      </c>
      <c r="L96" s="487">
        <f>L62/$O26</f>
        <v/>
      </c>
      <c r="M96" s="487">
        <f>M62/$O26</f>
        <v/>
      </c>
      <c r="N96" s="487">
        <f>N62/$O26</f>
        <v/>
      </c>
      <c r="O96" s="487">
        <f>O62/$O26</f>
        <v/>
      </c>
      <c r="P96" s="487">
        <f>P62/$O26</f>
        <v/>
      </c>
      <c r="Q96" s="736">
        <f>Q62/$O26</f>
        <v/>
      </c>
      <c r="R96" s="544" t="n"/>
      <c r="S96" s="75">
        <f>S62/$O26</f>
        <v/>
      </c>
      <c r="T96" s="542" t="n"/>
      <c r="U96" s="1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-172.5145547980446</v>
      </c>
      <c r="AJ96" s="1" t="n">
        <v>809.0559650606141</v>
      </c>
      <c r="AK96" s="1" t="n">
        <v>778.9093926498092</v>
      </c>
      <c r="AL96" s="1" t="n">
        <v>497.8511607986447</v>
      </c>
      <c r="AM96" s="1" t="n">
        <v>0</v>
      </c>
      <c r="AN96" s="1" t="n">
        <v>0</v>
      </c>
      <c r="AO96" s="25" t="n">
        <v>0</v>
      </c>
      <c r="AP96" s="25" t="n">
        <v>-834.4311460844473</v>
      </c>
      <c r="AQ96" s="25" t="n">
        <v>834.4311460844473</v>
      </c>
      <c r="AR96" s="25" t="n">
        <v>0</v>
      </c>
      <c r="AS96" s="25" t="n">
        <v>0</v>
      </c>
      <c r="AT96" s="25" t="n">
        <v>0</v>
      </c>
      <c r="AU96" s="25" t="n">
        <v>0</v>
      </c>
      <c r="AV96" s="25" t="n">
        <v>0</v>
      </c>
      <c r="AW96" s="25" t="n">
        <v>0</v>
      </c>
      <c r="AX96" s="25" t="n">
        <v>0</v>
      </c>
      <c r="AY96" s="25" t="n">
        <v>0</v>
      </c>
      <c r="AZ96" s="45" t="n">
        <v>515.8613256753882</v>
      </c>
    </row>
    <row r="97">
      <c r="A97" s="612" t="n"/>
      <c r="B97" s="650">
        <f>B63/$O27</f>
        <v/>
      </c>
      <c r="C97" s="487">
        <f>C63/$O27</f>
        <v/>
      </c>
      <c r="D97" s="487">
        <f>D63/$O27</f>
        <v/>
      </c>
      <c r="E97" s="487">
        <f>E63/$O27</f>
        <v/>
      </c>
      <c r="F97" s="487">
        <f>F63/$O27</f>
        <v/>
      </c>
      <c r="G97" s="487">
        <f>G63/$O27</f>
        <v/>
      </c>
      <c r="H97" s="487">
        <f>H63/$O27</f>
        <v/>
      </c>
      <c r="I97" s="487">
        <f>I63/$O27</f>
        <v/>
      </c>
      <c r="J97" s="487">
        <f>J63/$O27</f>
        <v/>
      </c>
      <c r="K97" s="487">
        <f>K63/$O27</f>
        <v/>
      </c>
      <c r="L97" s="487">
        <f>L63/$O27</f>
        <v/>
      </c>
      <c r="M97" s="487">
        <f>M63/$O27</f>
        <v/>
      </c>
      <c r="N97" s="487">
        <f>N63/$O27</f>
        <v/>
      </c>
      <c r="O97" s="487">
        <f>O63/$O27</f>
        <v/>
      </c>
      <c r="P97" s="487">
        <f>P63/$O27</f>
        <v/>
      </c>
      <c r="Q97" s="736">
        <f>Q63/$O27</f>
        <v/>
      </c>
      <c r="R97" s="544" t="n"/>
      <c r="S97" s="84">
        <f>S63/$O27</f>
        <v/>
      </c>
      <c r="T97" s="542" t="n"/>
      <c r="U97" s="1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819.4441352907121</v>
      </c>
      <c r="AJ97" s="1" t="n">
        <v>-317.8434148452415</v>
      </c>
      <c r="AK97" s="1" t="n">
        <v>152.7273318921193</v>
      </c>
      <c r="AL97" s="1" t="n">
        <v>665.1617968047454</v>
      </c>
      <c r="AM97" s="1" t="n">
        <v>0</v>
      </c>
      <c r="AN97" s="1" t="n">
        <v>0</v>
      </c>
      <c r="AO97" s="25" t="n">
        <v>0</v>
      </c>
      <c r="AP97" s="25" t="n">
        <v>624.5435571920401</v>
      </c>
      <c r="AQ97" s="25" t="n">
        <v>-624.5435571920401</v>
      </c>
      <c r="AR97" s="25" t="n">
        <v>0</v>
      </c>
      <c r="AS97" s="25" t="n">
        <v>0</v>
      </c>
      <c r="AT97" s="25" t="n">
        <v>0</v>
      </c>
      <c r="AU97" s="25" t="n">
        <v>0</v>
      </c>
      <c r="AV97" s="25" t="n">
        <v>0</v>
      </c>
      <c r="AW97" s="25" t="n">
        <v>0</v>
      </c>
      <c r="AX97" s="25" t="n">
        <v>0</v>
      </c>
      <c r="AY97" s="25" t="n">
        <v>0</v>
      </c>
      <c r="AZ97" s="45" t="n">
        <v>1313.101556264625</v>
      </c>
    </row>
    <row r="98">
      <c r="A98" s="612" t="n"/>
      <c r="B98" s="650">
        <f>B64/$O28</f>
        <v/>
      </c>
      <c r="C98" s="487">
        <f>C64/$O28</f>
        <v/>
      </c>
      <c r="D98" s="487">
        <f>D64/$O28</f>
        <v/>
      </c>
      <c r="E98" s="487">
        <f>E64/$O28</f>
        <v/>
      </c>
      <c r="F98" s="487">
        <f>F64/$O28</f>
        <v/>
      </c>
      <c r="G98" s="487">
        <f>G64/$O28</f>
        <v/>
      </c>
      <c r="H98" s="487">
        <f>H64/$O28</f>
        <v/>
      </c>
      <c r="I98" s="487">
        <f>I64/$O28</f>
        <v/>
      </c>
      <c r="J98" s="487">
        <f>J64/$O28</f>
        <v/>
      </c>
      <c r="K98" s="487">
        <f>K64/$O28</f>
        <v/>
      </c>
      <c r="L98" s="487">
        <f>L64/$O28</f>
        <v/>
      </c>
      <c r="M98" s="487">
        <f>M64/$O28</f>
        <v/>
      </c>
      <c r="N98" s="487">
        <f>N64/$O28</f>
        <v/>
      </c>
      <c r="O98" s="487">
        <f>O64/$O28</f>
        <v/>
      </c>
      <c r="P98" s="487">
        <f>P64/$O28</f>
        <v/>
      </c>
      <c r="Q98" s="736">
        <f>Q64/$O28</f>
        <v/>
      </c>
      <c r="R98" s="544" t="n"/>
      <c r="S98" s="84">
        <f>S64/$O28</f>
        <v/>
      </c>
      <c r="T98" s="542" t="n"/>
      <c r="U98" s="11" t="n">
        <v>0</v>
      </c>
      <c r="V98" s="1" t="n">
        <v>638.9806755193482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-454.0415400210424</v>
      </c>
      <c r="AH98" s="1" t="n">
        <v>0</v>
      </c>
      <c r="AI98" s="1" t="n">
        <v>0</v>
      </c>
      <c r="AJ98" s="1" t="n">
        <v>-809.0559650606141</v>
      </c>
      <c r="AK98" s="1" t="n">
        <v>0</v>
      </c>
      <c r="AL98" s="1" t="n">
        <v>0</v>
      </c>
      <c r="AM98" s="1" t="n">
        <v>0</v>
      </c>
      <c r="AN98" s="1" t="n">
        <v>777.4872332498792</v>
      </c>
      <c r="AO98" s="25" t="n">
        <v>0</v>
      </c>
      <c r="AP98" s="25" t="n">
        <v>0</v>
      </c>
      <c r="AQ98" s="25" t="n">
        <v>-966.8332384225932</v>
      </c>
      <c r="AR98" s="25" t="n">
        <v>966.8332384225932</v>
      </c>
      <c r="AS98" s="25" t="n">
        <v>0</v>
      </c>
      <c r="AT98" s="25" t="n">
        <v>0</v>
      </c>
      <c r="AU98" s="25" t="n">
        <v>0</v>
      </c>
      <c r="AV98" s="25" t="n">
        <v>0</v>
      </c>
      <c r="AW98" s="25" t="n">
        <v>542.1336261037798</v>
      </c>
      <c r="AX98" s="25" t="n">
        <v>-1460.966287252866</v>
      </c>
      <c r="AY98" s="25" t="n">
        <v>-48.00057727350653</v>
      </c>
      <c r="AZ98" s="45" t="n">
        <v>450.971912747205</v>
      </c>
    </row>
    <row r="99">
      <c r="A99" s="612" t="n"/>
      <c r="B99" s="650">
        <f>B65/$O29</f>
        <v/>
      </c>
      <c r="C99" s="487">
        <f>C65/$O29</f>
        <v/>
      </c>
      <c r="D99" s="487">
        <f>D65/$O29</f>
        <v/>
      </c>
      <c r="E99" s="487">
        <f>E65/$O29</f>
        <v/>
      </c>
      <c r="F99" s="487">
        <f>F65/$O29</f>
        <v/>
      </c>
      <c r="G99" s="487">
        <f>G65/$O29</f>
        <v/>
      </c>
      <c r="H99" s="487">
        <f>H65/$O29</f>
        <v/>
      </c>
      <c r="I99" s="487">
        <f>I65/$O29</f>
        <v/>
      </c>
      <c r="J99" s="487">
        <f>J65/$O29</f>
        <v/>
      </c>
      <c r="K99" s="487">
        <f>K65/$O29</f>
        <v/>
      </c>
      <c r="L99" s="487">
        <f>L65/$O29</f>
        <v/>
      </c>
      <c r="M99" s="487">
        <f>M65/$O29</f>
        <v/>
      </c>
      <c r="N99" s="487">
        <f>N65/$O29</f>
        <v/>
      </c>
      <c r="O99" s="487">
        <f>O65/$O29</f>
        <v/>
      </c>
      <c r="P99" s="487">
        <f>P65/$O29</f>
        <v/>
      </c>
      <c r="Q99" s="736">
        <f>Q65/$O29</f>
        <v/>
      </c>
      <c r="R99" s="544" t="n"/>
      <c r="S99" s="84">
        <f>S65/$O29</f>
        <v/>
      </c>
      <c r="T99" s="542" t="n"/>
      <c r="U99" s="11" t="n">
        <v>0</v>
      </c>
      <c r="V99" s="1" t="n">
        <v>583.4171385176658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618.0009850286414</v>
      </c>
      <c r="AH99" s="1" t="n">
        <v>0</v>
      </c>
      <c r="AI99" s="1" t="n">
        <v>0</v>
      </c>
      <c r="AJ99" s="1" t="n">
        <v>317.8434148452415</v>
      </c>
      <c r="AK99" s="1" t="n">
        <v>0</v>
      </c>
      <c r="AL99" s="1" t="n">
        <v>0</v>
      </c>
      <c r="AM99" s="1" t="n">
        <v>0</v>
      </c>
      <c r="AN99" s="1" t="n">
        <v>-362.8273755166108</v>
      </c>
      <c r="AO99" s="25" t="n">
        <v>0</v>
      </c>
      <c r="AP99" s="25" t="n">
        <v>0</v>
      </c>
      <c r="AQ99" s="25" t="n">
        <v>-79.8302673926912</v>
      </c>
      <c r="AR99" s="25" t="n">
        <v>79.8302673926912</v>
      </c>
      <c r="AS99" s="25" t="n">
        <v>0</v>
      </c>
      <c r="AT99" s="25" t="n">
        <v>0</v>
      </c>
      <c r="AU99" s="25" t="n">
        <v>0</v>
      </c>
      <c r="AV99" s="25" t="n">
        <v>0</v>
      </c>
      <c r="AW99" s="25" t="n">
        <v>1161.714913079528</v>
      </c>
      <c r="AX99" s="25" t="n">
        <v>-155.3743794400522</v>
      </c>
      <c r="AY99" s="25" t="n">
        <v>-1086.170801032167</v>
      </c>
      <c r="AZ99" s="45" t="n">
        <v>-1233.271288871933</v>
      </c>
    </row>
    <row r="100">
      <c r="A100" s="612" t="n"/>
      <c r="B100" s="647">
        <f>B66/$O30</f>
        <v/>
      </c>
      <c r="C100" s="648">
        <f>C66/$O30</f>
        <v/>
      </c>
      <c r="D100" s="648">
        <f>D66/$O30</f>
        <v/>
      </c>
      <c r="E100" s="648">
        <f>E66/$O30</f>
        <v/>
      </c>
      <c r="F100" s="648">
        <f>F66/$O30</f>
        <v/>
      </c>
      <c r="G100" s="648">
        <f>G66/$O30</f>
        <v/>
      </c>
      <c r="H100" s="648">
        <f>H66/$O30</f>
        <v/>
      </c>
      <c r="I100" s="648">
        <f>I66/$O30</f>
        <v/>
      </c>
      <c r="J100" s="648">
        <f>J66/$O30</f>
        <v/>
      </c>
      <c r="K100" s="648">
        <f>K66/$O30</f>
        <v/>
      </c>
      <c r="L100" s="648">
        <f>L66/$O30</f>
        <v/>
      </c>
      <c r="M100" s="648">
        <f>M66/$O30</f>
        <v/>
      </c>
      <c r="N100" s="648">
        <f>N66/$O30</f>
        <v/>
      </c>
      <c r="O100" s="648">
        <f>O66/$O30</f>
        <v/>
      </c>
      <c r="P100" s="648">
        <f>P66/$O30</f>
        <v/>
      </c>
      <c r="Q100" s="735">
        <f>Q66/$O30</f>
        <v/>
      </c>
      <c r="R100" s="555" t="n"/>
      <c r="S100" s="84">
        <f>S66/$O30</f>
        <v/>
      </c>
      <c r="T100" s="542" t="n"/>
      <c r="U100" s="11" t="n">
        <v>0</v>
      </c>
      <c r="V100" s="1" t="n">
        <v>0</v>
      </c>
      <c r="W100" s="1" t="n">
        <v>-166.416470038025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-11.83530621393589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-377.87887706155</v>
      </c>
      <c r="AN100" s="1" t="n">
        <v>-777.4872332498792</v>
      </c>
      <c r="AO100" s="25" t="n">
        <v>0</v>
      </c>
      <c r="AP100" s="25" t="n">
        <v>0</v>
      </c>
      <c r="AQ100" s="25" t="n">
        <v>0</v>
      </c>
      <c r="AR100" s="25" t="n">
        <v>0</v>
      </c>
      <c r="AS100" s="25" t="n">
        <v>0</v>
      </c>
      <c r="AT100" s="25" t="n">
        <v>0</v>
      </c>
      <c r="AU100" s="25" t="n">
        <v>-502.9865441086901</v>
      </c>
      <c r="AV100" s="25" t="n">
        <v>616.2122718356139</v>
      </c>
      <c r="AW100" s="25" t="n">
        <v>7.62438112211089</v>
      </c>
      <c r="AX100" s="25" t="n">
        <v>542.1336261037798</v>
      </c>
      <c r="AY100" s="25" t="n">
        <v>0</v>
      </c>
      <c r="AZ100" s="45" t="n">
        <v>0</v>
      </c>
    </row>
    <row r="101">
      <c r="B101" s="650">
        <f>B67/$O31</f>
        <v/>
      </c>
      <c r="C101" s="487">
        <f>C67/$O31</f>
        <v/>
      </c>
      <c r="D101" s="487">
        <f>D67/$O31</f>
        <v/>
      </c>
      <c r="E101" s="487">
        <f>E67/$O31</f>
        <v/>
      </c>
      <c r="F101" s="487">
        <f>F67/$O31</f>
        <v/>
      </c>
      <c r="G101" s="487">
        <f>G67/$O31</f>
        <v/>
      </c>
      <c r="H101" s="487">
        <f>H67/$O31</f>
        <v/>
      </c>
      <c r="I101" s="487">
        <f>I67/$O31</f>
        <v/>
      </c>
      <c r="J101" s="487">
        <f>J67/$O31</f>
        <v/>
      </c>
      <c r="K101" s="487">
        <f>K67/$O31</f>
        <v/>
      </c>
      <c r="L101" s="487">
        <f>L67/$O31</f>
        <v/>
      </c>
      <c r="M101" s="487">
        <f>M67/$O31</f>
        <v/>
      </c>
      <c r="N101" s="487">
        <f>N67/$O31</f>
        <v/>
      </c>
      <c r="O101" s="487">
        <f>O67/$O31</f>
        <v/>
      </c>
      <c r="P101" s="487">
        <f>P67/$O31</f>
        <v/>
      </c>
      <c r="Q101" s="736">
        <f>Q67/$O31</f>
        <v/>
      </c>
      <c r="R101" s="544" t="n"/>
      <c r="S101" s="84">
        <f>S67/$O31</f>
        <v/>
      </c>
      <c r="T101" s="542" t="n"/>
      <c r="U101" s="11" t="n">
        <v>0</v>
      </c>
      <c r="V101" s="1" t="n">
        <v>0</v>
      </c>
      <c r="W101" s="1" t="n">
        <v>832.0823501901244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757.459597691902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647.7923606769436</v>
      </c>
      <c r="AN101" s="1" t="n">
        <v>362.8273755166108</v>
      </c>
      <c r="AO101" s="25" t="n">
        <v>0</v>
      </c>
      <c r="AP101" s="25" t="n">
        <v>0</v>
      </c>
      <c r="AQ101" s="25" t="n">
        <v>0</v>
      </c>
      <c r="AR101" s="25" t="n">
        <v>0</v>
      </c>
      <c r="AS101" s="25" t="n">
        <v>0</v>
      </c>
      <c r="AT101" s="25" t="n">
        <v>0</v>
      </c>
      <c r="AU101" s="25" t="n">
        <v>-222.8349349536632</v>
      </c>
      <c r="AV101" s="25" t="n">
        <v>-87.49811506946871</v>
      </c>
      <c r="AW101" s="25" t="n">
        <v>-841.0227421977584</v>
      </c>
      <c r="AX101" s="25" t="n">
        <v>1161.714913079528</v>
      </c>
      <c r="AY101" s="25" t="n">
        <v>0</v>
      </c>
      <c r="AZ101" s="45" t="n">
        <v>0</v>
      </c>
    </row>
    <row r="102">
      <c r="B102" s="650">
        <f>B68/$O32</f>
        <v/>
      </c>
      <c r="C102" s="487">
        <f>C68/$O32</f>
        <v/>
      </c>
      <c r="D102" s="487">
        <f>D68/$O32</f>
        <v/>
      </c>
      <c r="E102" s="487">
        <f>E68/$O32</f>
        <v/>
      </c>
      <c r="F102" s="487">
        <f>F68/$O32</f>
        <v/>
      </c>
      <c r="G102" s="487">
        <f>G68/$O32</f>
        <v/>
      </c>
      <c r="H102" s="487">
        <f>H68/$O32</f>
        <v/>
      </c>
      <c r="I102" s="487">
        <f>I68/$O32</f>
        <v/>
      </c>
      <c r="J102" s="487">
        <f>J68/$O32</f>
        <v/>
      </c>
      <c r="K102" s="487">
        <f>K68/$O32</f>
        <v/>
      </c>
      <c r="L102" s="487">
        <f>L68/$O32</f>
        <v/>
      </c>
      <c r="M102" s="487">
        <f>M68/$O32</f>
        <v/>
      </c>
      <c r="N102" s="487">
        <f>N68/$O32</f>
        <v/>
      </c>
      <c r="O102" s="487">
        <f>O68/$O32</f>
        <v/>
      </c>
      <c r="P102" s="487">
        <f>P68/$O32</f>
        <v/>
      </c>
      <c r="Q102" s="736">
        <f>Q68/$O32</f>
        <v/>
      </c>
      <c r="R102" s="544" t="n"/>
      <c r="S102" s="84">
        <f>S68/$O32</f>
        <v/>
      </c>
      <c r="T102" s="542" t="n"/>
      <c r="U102" s="11" t="n">
        <v>-173.6451804652637</v>
      </c>
      <c r="V102" s="1" t="n">
        <v>-638.9806755193482</v>
      </c>
      <c r="W102" s="1" t="n">
        <v>166.416470038025</v>
      </c>
      <c r="X102" s="1" t="n">
        <v>176.4746958190431</v>
      </c>
      <c r="Y102" s="1" t="n">
        <v>-648.8429228061034</v>
      </c>
      <c r="Z102" s="1" t="n">
        <v>0</v>
      </c>
      <c r="AA102" s="1" t="n">
        <v>0</v>
      </c>
      <c r="AB102" s="1" t="n">
        <v>176.4744652483416</v>
      </c>
      <c r="AC102" s="1" t="n">
        <v>0</v>
      </c>
      <c r="AD102" s="1" t="n">
        <v>0</v>
      </c>
      <c r="AE102" s="1" t="n">
        <v>0</v>
      </c>
      <c r="AF102" s="1" t="n">
        <v>-173.6449210300658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-778.9093926498092</v>
      </c>
      <c r="AL102" s="1" t="n">
        <v>0</v>
      </c>
      <c r="AM102" s="1" t="n">
        <v>0</v>
      </c>
      <c r="AN102" s="1" t="n">
        <v>0</v>
      </c>
      <c r="AO102" s="25" t="n">
        <v>0</v>
      </c>
      <c r="AP102" s="25" t="n">
        <v>0</v>
      </c>
      <c r="AQ102" s="25" t="n">
        <v>0</v>
      </c>
      <c r="AR102" s="25" t="n">
        <v>-787.292164921495</v>
      </c>
      <c r="AS102" s="25" t="n">
        <v>787.292164921495</v>
      </c>
      <c r="AT102" s="25" t="n">
        <v>0</v>
      </c>
      <c r="AU102" s="25" t="n">
        <v>1165.970279061504</v>
      </c>
      <c r="AV102" s="25" t="n">
        <v>-1165.970279061504</v>
      </c>
      <c r="AW102" s="25" t="n">
        <v>0</v>
      </c>
      <c r="AX102" s="25" t="n">
        <v>918.8326611490867</v>
      </c>
      <c r="AY102" s="25" t="n">
        <v>-918.8326611490867</v>
      </c>
      <c r="AZ102" s="45" t="n">
        <v>0</v>
      </c>
    </row>
    <row r="103">
      <c r="B103" s="650">
        <f>B69/$O33</f>
        <v/>
      </c>
      <c r="C103" s="487">
        <f>C69/$O33</f>
        <v/>
      </c>
      <c r="D103" s="487">
        <f>D69/$O33</f>
        <v/>
      </c>
      <c r="E103" s="487">
        <f>E69/$O33</f>
        <v/>
      </c>
      <c r="F103" s="487">
        <f>F69/$O33</f>
        <v/>
      </c>
      <c r="G103" s="487">
        <f>G69/$O33</f>
        <v/>
      </c>
      <c r="H103" s="487">
        <f>H69/$O33</f>
        <v/>
      </c>
      <c r="I103" s="487">
        <f>I69/$O33</f>
        <v/>
      </c>
      <c r="J103" s="487">
        <f>J69/$O33</f>
        <v/>
      </c>
      <c r="K103" s="487">
        <f>K69/$O33</f>
        <v/>
      </c>
      <c r="L103" s="487">
        <f>L69/$O33</f>
        <v/>
      </c>
      <c r="M103" s="487">
        <f>M69/$O33</f>
        <v/>
      </c>
      <c r="N103" s="487">
        <f>N69/$O33</f>
        <v/>
      </c>
      <c r="O103" s="487">
        <f>O69/$O33</f>
        <v/>
      </c>
      <c r="P103" s="487">
        <f>P69/$O33</f>
        <v/>
      </c>
      <c r="Q103" s="736">
        <f>Q69/$O33</f>
        <v/>
      </c>
      <c r="R103" s="544" t="n"/>
      <c r="S103" s="84">
        <f>S69/$O33</f>
        <v/>
      </c>
      <c r="T103" s="542" t="n"/>
      <c r="U103" s="11" t="n">
        <v>766.9328803882496</v>
      </c>
      <c r="V103" s="1" t="n">
        <v>-583.4171385176658</v>
      </c>
      <c r="W103" s="1" t="n">
        <v>-832.0823501901244</v>
      </c>
      <c r="X103" s="1" t="n">
        <v>852.9610297920442</v>
      </c>
      <c r="Y103" s="1" t="n">
        <v>551.272558474359</v>
      </c>
      <c r="Z103" s="1" t="n">
        <v>0</v>
      </c>
      <c r="AA103" s="1" t="n">
        <v>0</v>
      </c>
      <c r="AB103" s="1" t="n">
        <v>852.9599153669842</v>
      </c>
      <c r="AC103" s="1" t="n">
        <v>0</v>
      </c>
      <c r="AD103" s="1" t="n">
        <v>0</v>
      </c>
      <c r="AE103" s="1" t="n">
        <v>0</v>
      </c>
      <c r="AF103" s="1" t="n">
        <v>766.9317345494579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-152.7273318921193</v>
      </c>
      <c r="AL103" s="1" t="n">
        <v>0</v>
      </c>
      <c r="AM103" s="1" t="n">
        <v>0</v>
      </c>
      <c r="AN103" s="1" t="n">
        <v>0</v>
      </c>
      <c r="AO103" s="25" t="n">
        <v>0</v>
      </c>
      <c r="AP103" s="25" t="n">
        <v>0</v>
      </c>
      <c r="AQ103" s="25" t="n">
        <v>0</v>
      </c>
      <c r="AR103" s="25" t="n">
        <v>-926.6359109252995</v>
      </c>
      <c r="AS103" s="25" t="n">
        <v>926.6359109252995</v>
      </c>
      <c r="AT103" s="25" t="n">
        <v>0</v>
      </c>
      <c r="AU103" s="25" t="n">
        <v>233.1940558123009</v>
      </c>
      <c r="AV103" s="25" t="n">
        <v>-233.1940558123009</v>
      </c>
      <c r="AW103" s="25" t="n">
        <v>0</v>
      </c>
      <c r="AX103" s="25" t="n">
        <v>-1006.340533639476</v>
      </c>
      <c r="AY103" s="25" t="n">
        <v>1006.340533639476</v>
      </c>
      <c r="AZ103" s="45" t="n">
        <v>0</v>
      </c>
    </row>
    <row r="104">
      <c r="B104" s="650">
        <f>B70/$O34</f>
        <v/>
      </c>
      <c r="C104" s="487">
        <f>C70/$O34</f>
        <v/>
      </c>
      <c r="D104" s="487">
        <f>D70/$O34</f>
        <v/>
      </c>
      <c r="E104" s="487">
        <f>E70/$O34</f>
        <v/>
      </c>
      <c r="F104" s="487">
        <f>F70/$O34</f>
        <v/>
      </c>
      <c r="G104" s="487">
        <f>G70/$O34</f>
        <v/>
      </c>
      <c r="H104" s="487">
        <f>H70/$O34</f>
        <v/>
      </c>
      <c r="I104" s="487">
        <f>I70/$O34</f>
        <v/>
      </c>
      <c r="J104" s="487">
        <f>J70/$O34</f>
        <v/>
      </c>
      <c r="K104" s="487">
        <f>K70/$O34</f>
        <v/>
      </c>
      <c r="L104" s="487">
        <f>L70/$O34</f>
        <v/>
      </c>
      <c r="M104" s="487">
        <f>M70/$O34</f>
        <v/>
      </c>
      <c r="N104" s="487">
        <f>N70/$O34</f>
        <v/>
      </c>
      <c r="O104" s="487">
        <f>O70/$O34</f>
        <v/>
      </c>
      <c r="P104" s="487">
        <f>P70/$O34</f>
        <v/>
      </c>
      <c r="Q104" s="736">
        <f>Q70/$O34</f>
        <v/>
      </c>
      <c r="R104" s="544" t="n"/>
      <c r="S104" s="84">
        <f>S70/$O34</f>
        <v/>
      </c>
      <c r="T104" s="542" t="n"/>
      <c r="U104" s="11" t="n">
        <v>0</v>
      </c>
      <c r="V104" s="1" t="n">
        <v>0</v>
      </c>
      <c r="W104" s="1" t="n">
        <v>0</v>
      </c>
      <c r="X104" s="1" t="n">
        <v>-176.4746958190431</v>
      </c>
      <c r="Y104" s="1" t="n">
        <v>0</v>
      </c>
      <c r="Z104" s="1" t="n">
        <v>-521.7399017024632</v>
      </c>
      <c r="AA104" s="1" t="n">
        <v>-841.4880518702035</v>
      </c>
      <c r="AB104" s="1" t="n">
        <v>-176.4744652483416</v>
      </c>
      <c r="AC104" s="1" t="n">
        <v>11.83530621393589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25" t="n">
        <v>0</v>
      </c>
      <c r="AP104" s="25" t="n">
        <v>0</v>
      </c>
      <c r="AQ104" s="25" t="n">
        <v>0</v>
      </c>
      <c r="AR104" s="25" t="n">
        <v>0</v>
      </c>
      <c r="AS104" s="25" t="n">
        <v>246.0990434260211</v>
      </c>
      <c r="AT104" s="25" t="n">
        <v>-246.0990434260211</v>
      </c>
      <c r="AU104" s="25" t="n">
        <v>-662.9837349528144</v>
      </c>
      <c r="AV104" s="25" t="n">
        <v>0</v>
      </c>
      <c r="AW104" s="25" t="n">
        <v>0</v>
      </c>
      <c r="AX104" s="25" t="n">
        <v>0</v>
      </c>
      <c r="AY104" s="25" t="n">
        <v>0</v>
      </c>
      <c r="AZ104" s="45" t="n">
        <v>0</v>
      </c>
    </row>
    <row r="105">
      <c r="B105" s="650">
        <f>B71/$O35</f>
        <v/>
      </c>
      <c r="C105" s="487">
        <f>C71/$O35</f>
        <v/>
      </c>
      <c r="D105" s="487">
        <f>D71/$O35</f>
        <v/>
      </c>
      <c r="E105" s="487">
        <f>E71/$O35</f>
        <v/>
      </c>
      <c r="F105" s="487">
        <f>F71/$O35</f>
        <v/>
      </c>
      <c r="G105" s="487">
        <f>G71/$O35</f>
        <v/>
      </c>
      <c r="H105" s="487">
        <f>H71/$O35</f>
        <v/>
      </c>
      <c r="I105" s="487">
        <f>I71/$O35</f>
        <v/>
      </c>
      <c r="J105" s="487">
        <f>J71/$O35</f>
        <v/>
      </c>
      <c r="K105" s="487">
        <f>K71/$O35</f>
        <v/>
      </c>
      <c r="L105" s="487">
        <f>L71/$O35</f>
        <v/>
      </c>
      <c r="M105" s="487">
        <f>M71/$O35</f>
        <v/>
      </c>
      <c r="N105" s="487">
        <f>N71/$O35</f>
        <v/>
      </c>
      <c r="O105" s="487">
        <f>O71/$O35</f>
        <v/>
      </c>
      <c r="P105" s="487">
        <f>P71/$O35</f>
        <v/>
      </c>
      <c r="Q105" s="736">
        <f>Q71/$O35</f>
        <v/>
      </c>
      <c r="R105" s="544" t="n"/>
      <c r="S105" s="84">
        <f>S71/$O35</f>
        <v/>
      </c>
      <c r="T105" s="542" t="n"/>
      <c r="U105" s="11" t="n">
        <v>0</v>
      </c>
      <c r="V105" s="1" t="n">
        <v>0</v>
      </c>
      <c r="W105" s="1" t="n">
        <v>0</v>
      </c>
      <c r="X105" s="1" t="n">
        <v>-852.9610297920442</v>
      </c>
      <c r="Y105" s="1" t="n">
        <v>0</v>
      </c>
      <c r="Z105" s="1" t="n">
        <v>695.6532022699513</v>
      </c>
      <c r="AA105" s="1" t="n">
        <v>-165.2001083426166</v>
      </c>
      <c r="AB105" s="1" t="n">
        <v>-852.9599153669842</v>
      </c>
      <c r="AC105" s="1" t="n">
        <v>-757.459597691902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25" t="n">
        <v>0</v>
      </c>
      <c r="AP105" s="25" t="n">
        <v>0</v>
      </c>
      <c r="AQ105" s="25" t="n">
        <v>0</v>
      </c>
      <c r="AR105" s="25" t="n">
        <v>0</v>
      </c>
      <c r="AS105" s="25" t="n">
        <v>-1253.567002451295</v>
      </c>
      <c r="AT105" s="25" t="n">
        <v>1253.567002451295</v>
      </c>
      <c r="AU105" s="25" t="n">
        <v>-10.35912085863773</v>
      </c>
      <c r="AV105" s="25" t="n">
        <v>0</v>
      </c>
      <c r="AW105" s="25" t="n">
        <v>0</v>
      </c>
      <c r="AX105" s="25" t="n">
        <v>0</v>
      </c>
      <c r="AY105" s="25" t="n">
        <v>0</v>
      </c>
      <c r="AZ105" s="45" t="n">
        <v>0</v>
      </c>
    </row>
    <row r="106">
      <c r="B106" s="650">
        <f>B72/$O36</f>
        <v/>
      </c>
      <c r="C106" s="487">
        <f>C72/$O36</f>
        <v/>
      </c>
      <c r="D106" s="487">
        <f>D72/$O36</f>
        <v/>
      </c>
      <c r="E106" s="487">
        <f>E72/$O36</f>
        <v/>
      </c>
      <c r="F106" s="487">
        <f>F72/$O36</f>
        <v/>
      </c>
      <c r="G106" s="487">
        <f>G72/$O36</f>
        <v/>
      </c>
      <c r="H106" s="487">
        <f>H72/$O36</f>
        <v/>
      </c>
      <c r="I106" s="487">
        <f>I72/$O36</f>
        <v/>
      </c>
      <c r="J106" s="487">
        <f>J72/$O36</f>
        <v/>
      </c>
      <c r="K106" s="487">
        <f>K72/$O36</f>
        <v/>
      </c>
      <c r="L106" s="487">
        <f>L72/$O36</f>
        <v/>
      </c>
      <c r="M106" s="487">
        <f>M72/$O36</f>
        <v/>
      </c>
      <c r="N106" s="487">
        <f>N72/$O36</f>
        <v/>
      </c>
      <c r="O106" s="487">
        <f>O72/$O36</f>
        <v/>
      </c>
      <c r="P106" s="487">
        <f>P72/$O36</f>
        <v/>
      </c>
      <c r="Q106" s="736">
        <f>Q72/$O36</f>
        <v/>
      </c>
      <c r="R106" s="544" t="n"/>
      <c r="S106" s="84">
        <f>S72/$O36</f>
        <v/>
      </c>
      <c r="T106" s="542" t="n"/>
      <c r="U106" s="11" t="n">
        <v>0</v>
      </c>
      <c r="V106" s="1" t="n">
        <v>0</v>
      </c>
      <c r="W106" s="1" t="n">
        <v>0</v>
      </c>
      <c r="X106" s="1" t="n">
        <v>0</v>
      </c>
      <c r="Y106" s="1" t="n">
        <v>648.8429228061034</v>
      </c>
      <c r="Z106" s="1" t="n">
        <v>0</v>
      </c>
      <c r="AA106" s="1" t="n">
        <v>841.4880518702035</v>
      </c>
      <c r="AB106" s="1" t="n">
        <v>0</v>
      </c>
      <c r="AC106" s="1" t="n">
        <v>0</v>
      </c>
      <c r="AD106" s="1" t="n">
        <v>0</v>
      </c>
      <c r="AE106" s="1" t="n">
        <v>370.4568635792803</v>
      </c>
      <c r="AF106" s="1" t="n">
        <v>0</v>
      </c>
      <c r="AG106" s="1" t="n">
        <v>0</v>
      </c>
      <c r="AH106" s="1" t="n">
        <v>-847.2464825029242</v>
      </c>
      <c r="AI106" s="1" t="n">
        <v>0</v>
      </c>
      <c r="AJ106" s="1" t="n">
        <v>0</v>
      </c>
      <c r="AK106" s="1" t="n">
        <v>0</v>
      </c>
      <c r="AL106" s="1" t="n">
        <v>-497.8511607986447</v>
      </c>
      <c r="AM106" s="1" t="n">
        <v>377.87887706155</v>
      </c>
      <c r="AN106" s="1" t="n">
        <v>0</v>
      </c>
      <c r="AO106" s="25" t="n">
        <v>922.0163927247457</v>
      </c>
      <c r="AP106" s="25" t="n">
        <v>1046.85015588344</v>
      </c>
      <c r="AQ106" s="25" t="n">
        <v>132.402092338146</v>
      </c>
      <c r="AR106" s="25" t="n">
        <v>-179.5410735010983</v>
      </c>
      <c r="AS106" s="25" t="n">
        <v>-1033.391208347516</v>
      </c>
      <c r="AT106" s="25" t="n">
        <v>-888.3363590977174</v>
      </c>
      <c r="AU106" s="25" t="n">
        <v>0</v>
      </c>
      <c r="AV106" s="25" t="n">
        <v>549.7580072258907</v>
      </c>
      <c r="AW106" s="25" t="n">
        <v>-549.7580072258907</v>
      </c>
      <c r="AX106" s="25" t="n">
        <v>0</v>
      </c>
      <c r="AY106" s="25" t="n">
        <v>966.8332384225932</v>
      </c>
      <c r="AZ106" s="45" t="n">
        <v>-966.8332384225932</v>
      </c>
    </row>
    <row r="107">
      <c r="B107" s="650">
        <f>B73/$O37</f>
        <v/>
      </c>
      <c r="C107" s="487">
        <f>C73/$O37</f>
        <v/>
      </c>
      <c r="D107" s="487">
        <f>D73/$O37</f>
        <v/>
      </c>
      <c r="E107" s="487">
        <f>E73/$O37</f>
        <v/>
      </c>
      <c r="F107" s="487">
        <f>F73/$O37</f>
        <v/>
      </c>
      <c r="G107" s="487">
        <f>G73/$O37</f>
        <v/>
      </c>
      <c r="H107" s="487">
        <f>H73/$O37</f>
        <v/>
      </c>
      <c r="I107" s="487">
        <f>I73/$O37</f>
        <v/>
      </c>
      <c r="J107" s="487">
        <f>J73/$O37</f>
        <v/>
      </c>
      <c r="K107" s="487">
        <f>K73/$O37</f>
        <v/>
      </c>
      <c r="L107" s="487">
        <f>L73/$O37</f>
        <v/>
      </c>
      <c r="M107" s="487">
        <f>M73/$O37</f>
        <v/>
      </c>
      <c r="N107" s="487">
        <f>N73/$O37</f>
        <v/>
      </c>
      <c r="O107" s="487">
        <f>O73/$O37</f>
        <v/>
      </c>
      <c r="P107" s="487">
        <f>P73/$O37</f>
        <v/>
      </c>
      <c r="Q107" s="736">
        <f>Q73/$O37</f>
        <v/>
      </c>
      <c r="R107" s="544" t="n"/>
      <c r="S107" s="85">
        <f>S73/$O37</f>
        <v/>
      </c>
      <c r="T107" s="542" t="n"/>
      <c r="U107" s="13" t="n">
        <v>0</v>
      </c>
      <c r="V107" s="14" t="n">
        <v>0</v>
      </c>
      <c r="W107" s="14" t="n">
        <v>0</v>
      </c>
      <c r="X107" s="14" t="n">
        <v>0</v>
      </c>
      <c r="Y107" s="14" t="n">
        <v>-551.272558474359</v>
      </c>
      <c r="Z107" s="14" t="n">
        <v>0</v>
      </c>
      <c r="AA107" s="14" t="n">
        <v>165.2001083426166</v>
      </c>
      <c r="AB107" s="14" t="n">
        <v>0</v>
      </c>
      <c r="AC107" s="14" t="n">
        <v>0</v>
      </c>
      <c r="AD107" s="14" t="n">
        <v>0</v>
      </c>
      <c r="AE107" s="14" t="n">
        <v>771.3622364938443</v>
      </c>
      <c r="AF107" s="14" t="n">
        <v>0</v>
      </c>
      <c r="AG107" s="14" t="n">
        <v>0</v>
      </c>
      <c r="AH107" s="14" t="n">
        <v>141.2077470838209</v>
      </c>
      <c r="AI107" s="14" t="n">
        <v>0</v>
      </c>
      <c r="AJ107" s="14" t="n">
        <v>0</v>
      </c>
      <c r="AK107" s="14" t="n">
        <v>0</v>
      </c>
      <c r="AL107" s="14" t="n">
        <v>-665.1617968047454</v>
      </c>
      <c r="AM107" s="14" t="n">
        <v>-647.7923606769436</v>
      </c>
      <c r="AN107" s="14" t="n">
        <v>0</v>
      </c>
      <c r="AO107" s="32" t="n">
        <v>-1819.341587637594</v>
      </c>
      <c r="AP107" s="32" t="n">
        <v>649.9705016019165</v>
      </c>
      <c r="AQ107" s="32" t="n">
        <v>704.3738245847313</v>
      </c>
      <c r="AR107" s="32" t="n">
        <v>846.8056435326084</v>
      </c>
      <c r="AS107" s="32" t="n">
        <v>326.9310915259956</v>
      </c>
      <c r="AT107" s="32" t="n">
        <v>-708.7394736076576</v>
      </c>
      <c r="AU107" s="32" t="n">
        <v>0</v>
      </c>
      <c r="AV107" s="32" t="n">
        <v>320.6921708817696</v>
      </c>
      <c r="AW107" s="32" t="n">
        <v>-320.6921708817696</v>
      </c>
      <c r="AX107" s="32" t="n">
        <v>0</v>
      </c>
      <c r="AY107" s="32" t="n">
        <v>79.8302673926912</v>
      </c>
      <c r="AZ107" s="49" t="n">
        <v>-79.8302673926912</v>
      </c>
    </row>
    <row r="108">
      <c r="B108" s="650" t="n"/>
      <c r="C108" s="487" t="n"/>
      <c r="D108" s="487" t="n"/>
      <c r="E108" s="487" t="n"/>
      <c r="F108" s="487" t="n"/>
      <c r="G108" s="487" t="n"/>
      <c r="H108" s="487" t="n"/>
      <c r="I108" s="487" t="n"/>
      <c r="J108" s="487" t="n"/>
      <c r="K108" s="487" t="n"/>
      <c r="L108" s="487" t="n"/>
      <c r="M108" s="487" t="n"/>
      <c r="N108" s="487" t="n"/>
      <c r="O108" s="487" t="n"/>
      <c r="P108" s="487" t="n"/>
      <c r="Q108" s="736" t="n"/>
      <c r="R108" s="544" t="n"/>
      <c r="T108" s="542" t="n"/>
    </row>
    <row r="109">
      <c r="A109" s="23" t="n"/>
      <c r="B109" s="650" t="inlineStr">
        <is>
          <t>ATA</t>
        </is>
      </c>
      <c r="C109" s="651" t="n"/>
      <c r="D109" s="651" t="n"/>
      <c r="E109" s="651" t="n"/>
      <c r="F109" s="651" t="n"/>
      <c r="G109" s="651" t="n"/>
      <c r="H109" s="651" t="n"/>
      <c r="I109" s="651" t="n"/>
      <c r="J109" s="651" t="n"/>
      <c r="K109" s="651" t="n"/>
      <c r="L109" s="651" t="n"/>
      <c r="M109" s="651" t="n"/>
      <c r="N109" s="651" t="n"/>
      <c r="O109" s="651" t="n"/>
      <c r="P109" s="651" t="n"/>
      <c r="Q109" s="652" t="n"/>
      <c r="R109" s="544" t="inlineStr">
        <is>
          <t>ST</t>
        </is>
      </c>
      <c r="S109" s="596" t="n"/>
      <c r="T109" s="597" t="n"/>
      <c r="V109" s="260" t="inlineStr">
        <is>
          <t>ATL</t>
        </is>
      </c>
    </row>
    <row r="110">
      <c r="A110" s="23" t="n"/>
      <c r="B110" s="650">
        <f t="array" ref="B110:Q125">MMULT(_xlfn.ANCHORARRAY(U92),B76:Q107)</f>
        <v/>
      </c>
      <c r="C110" s="487" t="n">
        <v>-1321071.997594018</v>
      </c>
      <c r="D110" s="487" t="n">
        <v>-727167.8477095658</v>
      </c>
      <c r="E110" s="487" t="n">
        <v>-1704466.743152932</v>
      </c>
      <c r="F110" s="487" t="n">
        <v>0</v>
      </c>
      <c r="G110" s="487" t="n">
        <v>0</v>
      </c>
      <c r="H110" s="487" t="n">
        <v>0</v>
      </c>
      <c r="I110" s="487" t="n">
        <v>0</v>
      </c>
      <c r="J110" s="487" t="n">
        <v>0</v>
      </c>
      <c r="K110" s="487" t="n">
        <v>0</v>
      </c>
      <c r="L110" s="487" t="n">
        <v>-60305.20729835179</v>
      </c>
      <c r="M110" s="487" t="n">
        <v>266347.9989010541</v>
      </c>
      <c r="N110" s="487" t="n">
        <v>-551395.9924182012</v>
      </c>
      <c r="O110" s="487" t="n">
        <v>1785040.820387639</v>
      </c>
      <c r="P110" s="487" t="n">
        <v>-2190966.540496671</v>
      </c>
      <c r="Q110" s="736" t="n">
        <v>974149.9214582572</v>
      </c>
      <c r="R110" s="544">
        <f t="array" ref="R110:T125">TRANSPOSE(B126:Q128)</f>
        <v/>
      </c>
      <c r="S110" s="9" t="n">
        <v>0</v>
      </c>
      <c r="T110" s="542" t="n">
        <v>0</v>
      </c>
      <c r="V110" s="2">
        <f t="array" ref="V110:V125">MMULT(_xlfn.ANCHORARRAY(U92),S76:S107)</f>
        <v/>
      </c>
    </row>
    <row r="111" ht="15.95" customHeight="1">
      <c r="A111" s="23" t="n"/>
      <c r="B111" s="653" t="n">
        <v>-1321071.997594018</v>
      </c>
      <c r="C111" s="654" t="n">
        <v>2986537.51784672</v>
      </c>
      <c r="D111" s="654" t="n">
        <v>-142881.1496546489</v>
      </c>
      <c r="E111" s="654" t="n">
        <v>556830.305851076</v>
      </c>
      <c r="F111" s="654" t="n">
        <v>0</v>
      </c>
      <c r="G111" s="654" t="n">
        <v>0</v>
      </c>
      <c r="H111" s="654" t="n">
        <v>0</v>
      </c>
      <c r="I111" s="654" t="n">
        <v>0</v>
      </c>
      <c r="J111" s="654" t="n">
        <v>0</v>
      </c>
      <c r="K111" s="654" t="n">
        <v>0</v>
      </c>
      <c r="L111" s="654" t="n">
        <v>266347.9989010541</v>
      </c>
      <c r="M111" s="654" t="n">
        <v>-1176370.328479657</v>
      </c>
      <c r="N111" s="654" t="n">
        <v>497031.5670519102</v>
      </c>
      <c r="O111" s="654" t="n">
        <v>-1166911.190013903</v>
      </c>
      <c r="P111" s="654" t="n">
        <v>700573.581295703</v>
      </c>
      <c r="Q111" s="737" t="n">
        <v>-1200086.305204235</v>
      </c>
      <c r="R111" s="568" t="n">
        <v>0</v>
      </c>
      <c r="S111" s="1" t="n">
        <v>0</v>
      </c>
      <c r="T111" s="589" t="n">
        <v>0</v>
      </c>
      <c r="V111" s="3" t="n">
        <v>140.6463967935427</v>
      </c>
      <c r="Y111" s="23" t="n"/>
      <c r="Z111" s="192" t="inlineStr">
        <is>
          <t>Nr</t>
        </is>
      </c>
      <c r="AA111" s="193" t="inlineStr">
        <is>
          <t>X</t>
        </is>
      </c>
      <c r="AB111" s="193" t="inlineStr">
        <is>
          <t>Y</t>
        </is>
      </c>
    </row>
    <row r="112">
      <c r="A112" s="23" t="n"/>
      <c r="B112" s="11" t="n">
        <v>-727167.8477095658</v>
      </c>
      <c r="C112" s="1" t="n">
        <v>-142881.1496546489</v>
      </c>
      <c r="D112" s="1" t="n">
        <v>1530177.468067946</v>
      </c>
      <c r="E112" s="1" t="n">
        <v>258472.9763532605</v>
      </c>
      <c r="F112" s="1" t="n">
        <v>147487.7661795294</v>
      </c>
      <c r="G112" s="1" t="n">
        <v>8701.116186472093</v>
      </c>
      <c r="H112" s="1" t="n">
        <v>-206153.7200646798</v>
      </c>
      <c r="I112" s="1" t="n">
        <v>280598.1189769254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-744343.6664732296</v>
      </c>
      <c r="Q112" s="12" t="n">
        <v>-404891.0618620091</v>
      </c>
      <c r="R112" s="11" t="n">
        <v>0</v>
      </c>
      <c r="S112" s="1" t="n">
        <v>0</v>
      </c>
      <c r="T112" s="12" t="n">
        <v>0</v>
      </c>
      <c r="V112" s="3" t="n">
        <v>1157.468269497698</v>
      </c>
      <c r="Y112" s="187" t="inlineStr">
        <is>
          <t>Baza</t>
        </is>
      </c>
      <c r="Z112" s="8" t="n">
        <v>5</v>
      </c>
      <c r="AA112" s="9" t="n">
        <v>295</v>
      </c>
      <c r="AB112" s="10" t="n">
        <v>490</v>
      </c>
    </row>
    <row r="113">
      <c r="A113" s="23" t="n"/>
      <c r="B113" s="11" t="n">
        <v>-1704466.743152932</v>
      </c>
      <c r="C113" s="1" t="n">
        <v>556830.305851076</v>
      </c>
      <c r="D113" s="1" t="n">
        <v>258472.9763532605</v>
      </c>
      <c r="E113" s="1" t="n">
        <v>4459685.747600202</v>
      </c>
      <c r="F113" s="1" t="n">
        <v>1204860.266961728</v>
      </c>
      <c r="G113" s="1" t="n">
        <v>-1467478.234832786</v>
      </c>
      <c r="H113" s="1" t="n">
        <v>280598.1189769254</v>
      </c>
      <c r="I113" s="1" t="n">
        <v>-381925.217496371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-39464.61913898122</v>
      </c>
      <c r="Q113" s="12" t="n">
        <v>-3167112.601122121</v>
      </c>
      <c r="R113" s="11" t="n">
        <v>0</v>
      </c>
      <c r="S113" s="1" t="n">
        <v>0</v>
      </c>
      <c r="T113" s="12" t="n">
        <v>0</v>
      </c>
      <c r="V113" s="3" t="n">
        <v>-408.6350835469304</v>
      </c>
      <c r="Y113" s="785" t="n"/>
      <c r="Z113" s="194" t="n">
        <v>6</v>
      </c>
      <c r="AA113" s="1" t="n">
        <v>145</v>
      </c>
      <c r="AB113" s="12" t="n">
        <v>560</v>
      </c>
    </row>
    <row r="114" ht="15.95" customHeight="1">
      <c r="A114" s="23" t="n"/>
      <c r="B114" s="657" t="n">
        <v>0</v>
      </c>
      <c r="C114" s="590" t="n">
        <v>0</v>
      </c>
      <c r="D114" s="590" t="n">
        <v>147487.7661795294</v>
      </c>
      <c r="E114" s="590" t="n">
        <v>1204860.266961728</v>
      </c>
      <c r="F114" s="590" t="n">
        <v>3197552.028923159</v>
      </c>
      <c r="G114" s="590" t="n">
        <v>-313305.7077877912</v>
      </c>
      <c r="H114" s="590" t="n">
        <v>-1228688.353057525</v>
      </c>
      <c r="I114" s="590" t="n">
        <v>-445656.7127718034</v>
      </c>
      <c r="J114" s="590" t="n">
        <v>0</v>
      </c>
      <c r="K114" s="590" t="n">
        <v>0</v>
      </c>
      <c r="L114" s="590" t="n">
        <v>-606699.8419580946</v>
      </c>
      <c r="M114" s="590" t="n">
        <v>-118960.7533251165</v>
      </c>
      <c r="N114" s="590" t="n">
        <v>0</v>
      </c>
      <c r="O114" s="590" t="n">
        <v>0</v>
      </c>
      <c r="P114" s="590" t="n">
        <v>-1509651.600087069</v>
      </c>
      <c r="Q114" s="590" t="n">
        <v>-326937.0930770166</v>
      </c>
      <c r="R114" s="11" t="n">
        <v>0</v>
      </c>
      <c r="S114" s="1" t="n">
        <v>0</v>
      </c>
      <c r="T114" s="12" t="n">
        <v>0</v>
      </c>
      <c r="U114" s="658" t="n"/>
      <c r="V114" s="3" t="n">
        <v>-3237.852452809496</v>
      </c>
      <c r="Y114" s="786" t="n"/>
      <c r="Z114" s="195" t="n">
        <v>9</v>
      </c>
      <c r="AA114" s="14" t="n">
        <v>313</v>
      </c>
      <c r="AB114" s="15" t="n">
        <v>272</v>
      </c>
    </row>
    <row r="115">
      <c r="A115" s="23" t="n"/>
      <c r="B115" s="580" t="n">
        <v>0</v>
      </c>
      <c r="C115" s="581" t="n">
        <v>0</v>
      </c>
      <c r="D115" s="581" t="n">
        <v>8701.116186472093</v>
      </c>
      <c r="E115" s="581" t="n">
        <v>-1467478.234832786</v>
      </c>
      <c r="F115" s="581" t="n">
        <v>-313305.7077877912</v>
      </c>
      <c r="G115" s="581" t="n">
        <v>3742623.987782983</v>
      </c>
      <c r="H115" s="581" t="n">
        <v>1453154.501131713</v>
      </c>
      <c r="I115" s="581" t="n">
        <v>-1670577.405905676</v>
      </c>
      <c r="J115" s="581" t="n">
        <v>0</v>
      </c>
      <c r="K115" s="581" t="n">
        <v>0</v>
      </c>
      <c r="L115" s="581" t="n">
        <v>-118960.7533251165</v>
      </c>
      <c r="M115" s="581" t="n">
        <v>-23325.63790688556</v>
      </c>
      <c r="N115" s="581" t="n">
        <v>0</v>
      </c>
      <c r="O115" s="581" t="n">
        <v>0</v>
      </c>
      <c r="P115" s="581" t="n">
        <v>-1029589.156205278</v>
      </c>
      <c r="Q115" s="581" t="n">
        <v>-581242.709137636</v>
      </c>
      <c r="R115" s="580" t="n">
        <v>0</v>
      </c>
      <c r="S115" s="581" t="n">
        <v>0</v>
      </c>
      <c r="T115" s="555" t="n">
        <v>0</v>
      </c>
      <c r="U115" s="659" t="n"/>
      <c r="V115" s="3" t="n">
        <v>22.2519758727949</v>
      </c>
    </row>
    <row r="116">
      <c r="A116" s="23" t="n"/>
      <c r="B116" s="543" t="n">
        <v>0</v>
      </c>
      <c r="C116" s="1" t="n">
        <v>0</v>
      </c>
      <c r="D116" s="1" t="n">
        <v>-206153.7200646798</v>
      </c>
      <c r="E116" s="1" t="n">
        <v>280598.1189769254</v>
      </c>
      <c r="F116" s="1" t="n">
        <v>-1228688.353057525</v>
      </c>
      <c r="G116" s="1" t="n">
        <v>1453154.501131713</v>
      </c>
      <c r="H116" s="1" t="n">
        <v>6377052.080603315</v>
      </c>
      <c r="I116" s="1" t="n">
        <v>60080.06910376681</v>
      </c>
      <c r="J116" s="1" t="n">
        <v>-1392391.915405798</v>
      </c>
      <c r="K116" s="1" t="n">
        <v>-1871079.379933775</v>
      </c>
      <c r="L116" s="1" t="n">
        <v>-2467755.58049569</v>
      </c>
      <c r="M116" s="1" t="n">
        <v>153229.9907167496</v>
      </c>
      <c r="N116" s="1" t="n">
        <v>0</v>
      </c>
      <c r="O116" s="1" t="n">
        <v>0</v>
      </c>
      <c r="P116" s="1" t="n">
        <v>-1082062.511579622</v>
      </c>
      <c r="Q116" s="12" t="n">
        <v>-75983.29999538064</v>
      </c>
      <c r="R116" s="543" t="n">
        <v>1</v>
      </c>
      <c r="S116" s="1" t="n">
        <v>0</v>
      </c>
      <c r="T116" s="544" t="n">
        <v>-490</v>
      </c>
      <c r="U116" s="547" t="n"/>
      <c r="V116" s="3" t="n">
        <v>235.3003984229595</v>
      </c>
    </row>
    <row r="117">
      <c r="A117" s="23" t="n"/>
      <c r="B117" s="543" t="n">
        <v>0</v>
      </c>
      <c r="C117" s="1" t="n">
        <v>0</v>
      </c>
      <c r="D117" s="1" t="n">
        <v>280598.1189769254</v>
      </c>
      <c r="E117" s="1" t="n">
        <v>-381925.217496371</v>
      </c>
      <c r="F117" s="1" t="n">
        <v>-445656.7127718034</v>
      </c>
      <c r="G117" s="1" t="n">
        <v>-1670577.405905676</v>
      </c>
      <c r="H117" s="1" t="n">
        <v>60080.06910376681</v>
      </c>
      <c r="I117" s="1" t="n">
        <v>5042162.477009702</v>
      </c>
      <c r="J117" s="1" t="n">
        <v>206717.3338608228</v>
      </c>
      <c r="K117" s="1" t="n">
        <v>-1289173.099980433</v>
      </c>
      <c r="L117" s="1" t="n">
        <v>419604.1317180932</v>
      </c>
      <c r="M117" s="1" t="n">
        <v>-1351047.317675701</v>
      </c>
      <c r="N117" s="1" t="n">
        <v>0</v>
      </c>
      <c r="O117" s="1" t="n">
        <v>0</v>
      </c>
      <c r="P117" s="1" t="n">
        <v>-521342.9408878051</v>
      </c>
      <c r="Q117" s="12" t="n">
        <v>-349439.4359515198</v>
      </c>
      <c r="R117" s="543" t="n">
        <v>0</v>
      </c>
      <c r="S117" s="1" t="n">
        <v>1</v>
      </c>
      <c r="T117" s="544" t="n">
        <v>295</v>
      </c>
      <c r="U117" s="547" t="n"/>
      <c r="V117" s="3" t="n">
        <v>4651.516614574971</v>
      </c>
      <c r="X117" s="660" t="n"/>
      <c r="Y117" s="661" t="n"/>
      <c r="Z117" s="661" t="n"/>
      <c r="AA117" s="661" t="n"/>
    </row>
    <row r="118">
      <c r="A118" s="23" t="n"/>
      <c r="B118" s="543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-1392391.915405798</v>
      </c>
      <c r="I118" s="1" t="n">
        <v>206717.3338608228</v>
      </c>
      <c r="J118" s="1" t="n">
        <v>1701793.386824084</v>
      </c>
      <c r="K118" s="1" t="n">
        <v>7240.326036168612</v>
      </c>
      <c r="L118" s="1" t="n">
        <v>-834516.9148804627</v>
      </c>
      <c r="M118" s="1" t="n">
        <v>-668089.3462479746</v>
      </c>
      <c r="N118" s="1" t="n">
        <v>333331.8231710103</v>
      </c>
      <c r="O118" s="1" t="n">
        <v>14175.26468405878</v>
      </c>
      <c r="P118" s="1" t="n">
        <v>191783.6202911655</v>
      </c>
      <c r="Q118" s="12" t="n">
        <v>439956.4216669244</v>
      </c>
      <c r="R118" s="543" t="n">
        <v>0</v>
      </c>
      <c r="S118" s="1" t="n">
        <v>0</v>
      </c>
      <c r="T118" s="544" t="n">
        <v>0</v>
      </c>
      <c r="U118" s="547" t="n"/>
      <c r="V118" s="3" t="n">
        <v>-230.0302248978255</v>
      </c>
      <c r="X118" s="538" t="n"/>
      <c r="Y118" s="485" t="inlineStr">
        <is>
          <t>V</t>
        </is>
      </c>
      <c r="Z118" s="662" t="n"/>
      <c r="AA118" s="662" t="n"/>
    </row>
    <row r="119">
      <c r="A119" s="23" t="n"/>
      <c r="B119" s="543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-1871079.379933775</v>
      </c>
      <c r="I119" s="1" t="n">
        <v>-1289173.099980433</v>
      </c>
      <c r="J119" s="1" t="n">
        <v>7240.326036168612</v>
      </c>
      <c r="K119" s="1" t="n">
        <v>3931596.847150904</v>
      </c>
      <c r="L119" s="1" t="n">
        <v>1048095.102933356</v>
      </c>
      <c r="M119" s="1" t="n">
        <v>-1893001.584992845</v>
      </c>
      <c r="N119" s="1" t="n">
        <v>156700.7037369154</v>
      </c>
      <c r="O119" s="1" t="n">
        <v>-571436.6681128663</v>
      </c>
      <c r="P119" s="1" t="n">
        <v>659043.2472273349</v>
      </c>
      <c r="Q119" s="12" t="n">
        <v>-177985.4940647603</v>
      </c>
      <c r="R119" s="543" t="n">
        <v>0</v>
      </c>
      <c r="S119" s="1" t="n">
        <v>0</v>
      </c>
      <c r="T119" s="544" t="n">
        <v>0</v>
      </c>
      <c r="U119" s="547" t="n"/>
      <c r="V119" s="3" t="n">
        <v>-2370.765555557647</v>
      </c>
      <c r="X119" s="547" t="n"/>
      <c r="Y119" s="485">
        <f t="array" ref="Y119:Y150">MMULT(B76:Q107,_xlfn.ANCHORARRAY(V131))+S76:S107</f>
        <v/>
      </c>
      <c r="Z119" s="662" t="n"/>
      <c r="AA119" s="662" t="n"/>
    </row>
    <row r="120">
      <c r="A120" s="23" t="n"/>
      <c r="B120" s="543" t="n">
        <v>-60305.20729835179</v>
      </c>
      <c r="C120" s="1" t="n">
        <v>266347.9989010541</v>
      </c>
      <c r="D120" s="1" t="n">
        <v>0</v>
      </c>
      <c r="E120" s="1" t="n">
        <v>0</v>
      </c>
      <c r="F120" s="1" t="n">
        <v>-606699.8419580946</v>
      </c>
      <c r="G120" s="1" t="n">
        <v>-118960.7533251165</v>
      </c>
      <c r="H120" s="1" t="n">
        <v>-2467755.58049569</v>
      </c>
      <c r="I120" s="1" t="n">
        <v>419604.1317180932</v>
      </c>
      <c r="J120" s="1" t="n">
        <v>-834516.9148804627</v>
      </c>
      <c r="K120" s="1" t="n">
        <v>1048095.102933356</v>
      </c>
      <c r="L120" s="1" t="n">
        <v>7233417.695659904</v>
      </c>
      <c r="M120" s="1" t="n">
        <v>183839.1697038311</v>
      </c>
      <c r="N120" s="1" t="n">
        <v>-641554.0369213023</v>
      </c>
      <c r="O120" s="1" t="n">
        <v>-1300053.589493115</v>
      </c>
      <c r="P120" s="1" t="n">
        <v>-2622586.114106003</v>
      </c>
      <c r="Q120" s="12" t="n">
        <v>-498872.0604381031</v>
      </c>
      <c r="R120" s="543" t="n">
        <v>1</v>
      </c>
      <c r="S120" s="1" t="n">
        <v>0</v>
      </c>
      <c r="T120" s="544" t="n">
        <v>-560</v>
      </c>
      <c r="U120" s="547" t="n"/>
      <c r="V120" s="3" t="n">
        <v>1381.007370095507</v>
      </c>
      <c r="X120" s="571" t="n"/>
      <c r="Y120" s="485" t="n">
        <v>-0.3086669057884603</v>
      </c>
      <c r="Z120" s="662" t="n"/>
      <c r="AA120" s="662" t="n"/>
    </row>
    <row r="121">
      <c r="A121" s="23" t="n"/>
      <c r="B121" s="543" t="n">
        <v>266347.9989010541</v>
      </c>
      <c r="C121" s="1" t="n">
        <v>-1176370.328479657</v>
      </c>
      <c r="D121" s="1" t="n">
        <v>0</v>
      </c>
      <c r="E121" s="1" t="n">
        <v>0</v>
      </c>
      <c r="F121" s="1" t="n">
        <v>-118960.7533251165</v>
      </c>
      <c r="G121" s="1" t="n">
        <v>-23325.63790688556</v>
      </c>
      <c r="H121" s="1" t="n">
        <v>153229.9907167496</v>
      </c>
      <c r="I121" s="1" t="n">
        <v>-1351047.317675701</v>
      </c>
      <c r="J121" s="1" t="n">
        <v>-668089.3462479746</v>
      </c>
      <c r="K121" s="1" t="n">
        <v>-1893001.584992845</v>
      </c>
      <c r="L121" s="1" t="n">
        <v>183839.1697038311</v>
      </c>
      <c r="M121" s="1" t="n">
        <v>7842926.828150898</v>
      </c>
      <c r="N121" s="1" t="n">
        <v>-227611.3380290264</v>
      </c>
      <c r="O121" s="1" t="n">
        <v>-2619099.022196786</v>
      </c>
      <c r="P121" s="1" t="n">
        <v>411244.2782804827</v>
      </c>
      <c r="Q121" s="12" t="n">
        <v>-780082.9368990238</v>
      </c>
      <c r="R121" s="543" t="n">
        <v>0</v>
      </c>
      <c r="S121" s="1" t="n">
        <v>1</v>
      </c>
      <c r="T121" s="544" t="n">
        <v>145</v>
      </c>
      <c r="U121" s="547" t="n"/>
      <c r="V121" s="3" t="n">
        <v>-2156.489188373575</v>
      </c>
      <c r="Y121" s="3" t="n">
        <v>0.08201989658987863</v>
      </c>
    </row>
    <row r="122">
      <c r="A122" s="23" t="n"/>
      <c r="B122" s="543" t="n">
        <v>-551395.9924182012</v>
      </c>
      <c r="C122" s="1" t="n">
        <v>497031.5670519102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333331.8231710103</v>
      </c>
      <c r="K122" s="1" t="n">
        <v>156700.7037369154</v>
      </c>
      <c r="L122" s="1" t="n">
        <v>-641554.0369213023</v>
      </c>
      <c r="M122" s="1" t="n">
        <v>-227611.3380290264</v>
      </c>
      <c r="N122" s="1" t="n">
        <v>1603418.207253485</v>
      </c>
      <c r="O122" s="1" t="n">
        <v>-541984.5508057029</v>
      </c>
      <c r="P122" s="1" t="n">
        <v>-743800.0010849915</v>
      </c>
      <c r="Q122" s="12" t="n">
        <v>115863.6180459037</v>
      </c>
      <c r="R122" s="543" t="n">
        <v>1</v>
      </c>
      <c r="S122" s="1" t="n">
        <v>0</v>
      </c>
      <c r="T122" s="544" t="n">
        <v>-272</v>
      </c>
      <c r="U122" s="547" t="n"/>
      <c r="V122" s="3" t="n">
        <v>104.9401007561032</v>
      </c>
      <c r="Y122" s="3" t="n">
        <v>0.1170785623037152</v>
      </c>
    </row>
    <row r="123">
      <c r="A123" s="23" t="n"/>
      <c r="B123" s="543" t="n">
        <v>1785040.820387639</v>
      </c>
      <c r="C123" s="1" t="n">
        <v>-1166911.190013903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14175.26468405878</v>
      </c>
      <c r="K123" s="1" t="n">
        <v>-571436.6681128663</v>
      </c>
      <c r="L123" s="1" t="n">
        <v>-1300053.589493115</v>
      </c>
      <c r="M123" s="1" t="n">
        <v>-2619099.022196786</v>
      </c>
      <c r="N123" s="1" t="n">
        <v>-541984.5508057029</v>
      </c>
      <c r="O123" s="1" t="n">
        <v>5683020.401981601</v>
      </c>
      <c r="P123" s="1" t="n">
        <v>42822.05522711971</v>
      </c>
      <c r="Q123" s="12" t="n">
        <v>-1325573.521658045</v>
      </c>
      <c r="R123" s="543" t="n">
        <v>0</v>
      </c>
      <c r="S123" s="1" t="n">
        <v>1</v>
      </c>
      <c r="T123" s="544" t="n">
        <v>313</v>
      </c>
      <c r="U123" s="547" t="n"/>
      <c r="V123" s="3" t="n">
        <v>3273.295223438698</v>
      </c>
      <c r="Y123" s="3" t="n">
        <v>-0.3849438927243751</v>
      </c>
    </row>
    <row r="124">
      <c r="A124" s="23" t="n"/>
      <c r="B124" s="543" t="n">
        <v>-2190966.540496671</v>
      </c>
      <c r="C124" s="1" t="n">
        <v>700573.581295703</v>
      </c>
      <c r="D124" s="1" t="n">
        <v>-744343.6664732296</v>
      </c>
      <c r="E124" s="1" t="n">
        <v>-39464.61913898122</v>
      </c>
      <c r="F124" s="1" t="n">
        <v>-1509651.600087069</v>
      </c>
      <c r="G124" s="1" t="n">
        <v>-1029589.156205278</v>
      </c>
      <c r="H124" s="1" t="n">
        <v>-1082062.511579622</v>
      </c>
      <c r="I124" s="1" t="n">
        <v>-521342.9408878051</v>
      </c>
      <c r="J124" s="1" t="n">
        <v>191783.6202911655</v>
      </c>
      <c r="K124" s="1" t="n">
        <v>659043.2472273349</v>
      </c>
      <c r="L124" s="1" t="n">
        <v>-2622586.114106003</v>
      </c>
      <c r="M124" s="1" t="n">
        <v>411244.2782804827</v>
      </c>
      <c r="N124" s="1" t="n">
        <v>-743800.0010849915</v>
      </c>
      <c r="O124" s="1" t="n">
        <v>42822.05522711971</v>
      </c>
      <c r="P124" s="1" t="n">
        <v>8701626.81353642</v>
      </c>
      <c r="Q124" s="12" t="n">
        <v>-223286.4457985761</v>
      </c>
      <c r="R124" s="543" t="n">
        <v>0</v>
      </c>
      <c r="S124" s="1" t="n">
        <v>0</v>
      </c>
      <c r="T124" s="544" t="n">
        <v>0</v>
      </c>
      <c r="U124" s="547" t="n"/>
      <c r="V124" s="3" t="n">
        <v>3321.765136715449</v>
      </c>
      <c r="Y124" s="3" t="n">
        <v>1.473813179381697</v>
      </c>
    </row>
    <row r="125">
      <c r="A125" s="23" t="n"/>
      <c r="B125" s="543" t="n">
        <v>974149.9214582572</v>
      </c>
      <c r="C125" s="14" t="n">
        <v>-1200086.305204235</v>
      </c>
      <c r="D125" s="14" t="n">
        <v>-404891.0618620091</v>
      </c>
      <c r="E125" s="14" t="n">
        <v>-3167112.601122121</v>
      </c>
      <c r="F125" s="14" t="n">
        <v>-326937.0930770166</v>
      </c>
      <c r="G125" s="14" t="n">
        <v>-581242.709137636</v>
      </c>
      <c r="H125" s="14" t="n">
        <v>-75983.29999538064</v>
      </c>
      <c r="I125" s="14" t="n">
        <v>-349439.4359515198</v>
      </c>
      <c r="J125" s="14" t="n">
        <v>439956.4216669244</v>
      </c>
      <c r="K125" s="14" t="n">
        <v>-177985.4940647603</v>
      </c>
      <c r="L125" s="14" t="n">
        <v>-498872.0604381031</v>
      </c>
      <c r="M125" s="14" t="n">
        <v>-780082.9368990238</v>
      </c>
      <c r="N125" s="14" t="n">
        <v>115863.6180459037</v>
      </c>
      <c r="O125" s="14" t="n">
        <v>-1325573.521658045</v>
      </c>
      <c r="P125" s="14" t="n">
        <v>-223286.4457985761</v>
      </c>
      <c r="Q125" s="15" t="n">
        <v>7581523.004037343</v>
      </c>
      <c r="R125" s="543" t="n">
        <v>0</v>
      </c>
      <c r="S125" s="14" t="n">
        <v>0</v>
      </c>
      <c r="T125" s="544" t="n">
        <v>0</v>
      </c>
      <c r="U125" s="547" t="n"/>
      <c r="V125" s="4" t="n">
        <v>-3151.820383201856</v>
      </c>
      <c r="Y125" s="3" t="n">
        <v>0.002068210712393603</v>
      </c>
    </row>
    <row r="126" ht="25.75" customHeight="1">
      <c r="A126" s="21" t="inlineStr">
        <is>
          <t>S</t>
        </is>
      </c>
      <c r="B126" s="543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1</v>
      </c>
      <c r="I126" s="9" t="n">
        <v>0</v>
      </c>
      <c r="J126" s="9" t="n">
        <v>0</v>
      </c>
      <c r="K126" s="9" t="n">
        <v>0</v>
      </c>
      <c r="L126" s="9" t="n">
        <v>1</v>
      </c>
      <c r="M126" s="9" t="n">
        <v>0</v>
      </c>
      <c r="N126" s="9" t="n">
        <v>1</v>
      </c>
      <c r="O126" s="9" t="n">
        <v>0</v>
      </c>
      <c r="P126" s="9" t="n">
        <v>0</v>
      </c>
      <c r="Q126" s="10" t="n">
        <v>0</v>
      </c>
      <c r="R126" s="543" t="n">
        <v>0</v>
      </c>
      <c r="S126" s="23" t="n">
        <v>0</v>
      </c>
      <c r="T126" s="544" t="n">
        <v>0</v>
      </c>
      <c r="U126" s="547" t="n"/>
      <c r="Y126" s="3" t="n">
        <v>-1.189458490942731</v>
      </c>
    </row>
    <row r="127">
      <c r="A127" s="601" t="n"/>
      <c r="B127" s="543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1</v>
      </c>
      <c r="J127" s="1" t="n">
        <v>0</v>
      </c>
      <c r="K127" s="1" t="n">
        <v>0</v>
      </c>
      <c r="L127" s="1" t="n">
        <v>0</v>
      </c>
      <c r="M127" s="1" t="n">
        <v>1</v>
      </c>
      <c r="N127" s="1" t="n">
        <v>0</v>
      </c>
      <c r="O127" s="1" t="n">
        <v>1</v>
      </c>
      <c r="P127" s="1" t="n">
        <v>0</v>
      </c>
      <c r="Q127" s="12" t="n">
        <v>0</v>
      </c>
      <c r="R127" s="543" t="n">
        <v>0</v>
      </c>
      <c r="S127" s="23" t="n">
        <v>0</v>
      </c>
      <c r="T127" s="544" t="n">
        <v>0</v>
      </c>
      <c r="U127" s="547" t="n"/>
      <c r="Y127" s="3" t="n">
        <v>-0.682695650539672</v>
      </c>
    </row>
    <row r="128">
      <c r="A128" s="606" t="n"/>
      <c r="B128" s="543" t="n">
        <v>0</v>
      </c>
      <c r="C128" s="14" t="n">
        <v>0</v>
      </c>
      <c r="D128" s="14" t="n">
        <v>0</v>
      </c>
      <c r="E128" s="14" t="n">
        <v>0</v>
      </c>
      <c r="F128" s="14" t="n">
        <v>0</v>
      </c>
      <c r="G128" s="14" t="n">
        <v>0</v>
      </c>
      <c r="H128" s="14">
        <f>-AB112</f>
        <v/>
      </c>
      <c r="I128" s="14">
        <f>AA112</f>
        <v/>
      </c>
      <c r="J128" s="80" t="n">
        <v>0</v>
      </c>
      <c r="K128" s="80" t="n">
        <v>0</v>
      </c>
      <c r="L128" s="665">
        <f>-AB113</f>
        <v/>
      </c>
      <c r="M128" s="665">
        <f>AA113</f>
        <v/>
      </c>
      <c r="N128" s="665">
        <f>-AB114</f>
        <v/>
      </c>
      <c r="O128" s="665">
        <f>AA114</f>
        <v/>
      </c>
      <c r="P128" s="80" t="n">
        <v>0</v>
      </c>
      <c r="Q128" s="97" t="n">
        <v>0</v>
      </c>
      <c r="R128" s="543" t="n">
        <v>0</v>
      </c>
      <c r="S128" s="23" t="n">
        <v>0</v>
      </c>
      <c r="T128" s="544" t="n">
        <v>0</v>
      </c>
      <c r="U128" s="547" t="n"/>
      <c r="Y128" s="3" t="n">
        <v>-0.1223242669284899</v>
      </c>
    </row>
    <row r="129">
      <c r="B129" s="543" t="n"/>
      <c r="R129" s="543" t="n"/>
      <c r="T129" s="544" t="n"/>
      <c r="U129" s="547" t="n"/>
      <c r="V129" s="23" t="n"/>
      <c r="W129" s="23" t="n"/>
      <c r="X129" s="23" t="n"/>
      <c r="Y129" s="3" t="n">
        <v>-1.122294722680997</v>
      </c>
      <c r="Z129" s="23" t="n"/>
      <c r="AA129" s="21" t="inlineStr">
        <is>
          <t>VTL</t>
        </is>
      </c>
      <c r="AB129" s="87">
        <f t="array" ref="AB129">MMULT(TRANSPOSE(_xlfn.ANCHORARRAY(Y119)),S76:S107)</f>
        <v/>
      </c>
      <c r="AC129" s="23" t="n"/>
      <c r="AD129" s="23" t="n"/>
      <c r="AE129" s="23" t="n"/>
    </row>
    <row r="130">
      <c r="B130" s="543" t="inlineStr">
        <is>
          <t>(ATA)-1</t>
        </is>
      </c>
      <c r="C130" s="596" t="n"/>
      <c r="D130" s="596" t="n"/>
      <c r="E130" s="596" t="n"/>
      <c r="F130" s="596" t="n"/>
      <c r="G130" s="596" t="n"/>
      <c r="H130" s="596" t="n"/>
      <c r="I130" s="596" t="n"/>
      <c r="J130" s="596" t="n"/>
      <c r="K130" s="596" t="n"/>
      <c r="L130" s="596" t="n"/>
      <c r="M130" s="596" t="n"/>
      <c r="N130" s="596" t="n"/>
      <c r="O130" s="596" t="n"/>
      <c r="P130" s="596" t="n"/>
      <c r="Q130" s="597" t="n"/>
      <c r="R130" s="567" t="inlineStr">
        <is>
          <t>ST(-1)</t>
        </is>
      </c>
      <c r="S130" s="596" t="n"/>
      <c r="T130" s="597" t="n"/>
      <c r="U130" s="571" t="n"/>
      <c r="V130" s="260" t="inlineStr">
        <is>
          <t>X</t>
        </is>
      </c>
      <c r="W130" s="260" t="inlineStr">
        <is>
          <t>mx</t>
        </is>
      </c>
      <c r="X130" s="23" t="n"/>
      <c r="Y130" s="3" t="n">
        <v>-0.3844016225836424</v>
      </c>
      <c r="Z130" s="23" t="n"/>
      <c r="AA130" s="21" t="inlineStr">
        <is>
          <t>VTV</t>
        </is>
      </c>
      <c r="AB130" s="88">
        <f t="array" ref="AB130">MMULT(TRANSPOSE(_xlfn.ANCHORARRAY(Y119)),_xlfn.ANCHORARRAY(Y119))</f>
        <v/>
      </c>
      <c r="AC130" s="23" t="n"/>
      <c r="AD130" s="23" t="n"/>
      <c r="AE130" s="23" t="n"/>
    </row>
    <row r="131">
      <c r="B131" s="580">
        <f t="array" ref="B131:T149">MINVERSE(B110:T128)</f>
        <v/>
      </c>
      <c r="C131" s="581" t="n">
        <v>5.919998987631014e-07</v>
      </c>
      <c r="D131" s="581" t="n">
        <v>1.410158036052882e-06</v>
      </c>
      <c r="E131" s="581" t="n">
        <v>1.924446908625518e-06</v>
      </c>
      <c r="F131" s="581" t="n">
        <v>-9.937688854409987e-08</v>
      </c>
      <c r="G131" s="581" t="n">
        <v>1.529889829365302e-06</v>
      </c>
      <c r="H131" s="581" t="n">
        <v>-3.348660213750854e-07</v>
      </c>
      <c r="I131" s="581" t="n">
        <v>5.790938525591609e-07</v>
      </c>
      <c r="J131" s="581" t="n">
        <v>-5.654248896210742e-07</v>
      </c>
      <c r="K131" s="581" t="n">
        <v>-2.68114071530668e-07</v>
      </c>
      <c r="L131" s="581" t="n">
        <v>2.455170733436992e-07</v>
      </c>
      <c r="M131" s="581" t="n">
        <v>-4.840365362667523e-08</v>
      </c>
      <c r="N131" s="581" t="n">
        <v>8.934894803138629e-08</v>
      </c>
      <c r="O131" s="581" t="n">
        <v>-5.306901989324856e-07</v>
      </c>
      <c r="P131" s="581" t="n">
        <v>9.852912957024804e-07</v>
      </c>
      <c r="Q131" s="555" t="n">
        <v>7.717386453736091e-07</v>
      </c>
      <c r="R131" s="581" t="n">
        <v>3.710689270124862</v>
      </c>
      <c r="S131" s="581" t="n">
        <v>-1.923713328596083</v>
      </c>
      <c r="T131" s="555" t="n">
        <v>0.007664196528271245</v>
      </c>
      <c r="U131" s="547" t="n"/>
      <c r="V131" s="92">
        <f t="array" ref="V131:V146">-MMULT(B131:Q146,_xlfn.ANCHORARRAY(V110))</f>
        <v/>
      </c>
      <c r="W131" s="89">
        <f>$AB$131*SQRT(INDEX($B$131:$Q$146,1,1))</f>
        <v/>
      </c>
      <c r="X131" s="23" t="n"/>
      <c r="Y131" s="3" t="n">
        <v>-0.07330129713477529</v>
      </c>
      <c r="Z131" s="23" t="n"/>
      <c r="AA131" s="21" t="inlineStr">
        <is>
          <t>m0'</t>
        </is>
      </c>
      <c r="AB131" s="88">
        <f>SQRT(AB130/(32-16+3))</f>
        <v/>
      </c>
      <c r="AC131" s="23" t="n"/>
      <c r="AD131" s="23" t="n"/>
      <c r="AE131" s="23" t="n"/>
    </row>
    <row r="132">
      <c r="B132" s="543" t="n">
        <v>5.919998987631005e-07</v>
      </c>
      <c r="C132" s="25" t="n">
        <v>5.533137140336728e-07</v>
      </c>
      <c r="D132" s="25" t="n">
        <v>3.987217841830087e-07</v>
      </c>
      <c r="E132" s="25" t="n">
        <v>4.288324543225065e-07</v>
      </c>
      <c r="F132" s="25" t="n">
        <v>-4.374233176025661e-08</v>
      </c>
      <c r="G132" s="25" t="n">
        <v>3.103644600891823e-07</v>
      </c>
      <c r="H132" s="25" t="n">
        <v>-6.95943148883387e-08</v>
      </c>
      <c r="I132" s="25" t="n">
        <v>6.35826440348119e-08</v>
      </c>
      <c r="J132" s="25" t="n">
        <v>-1.274481882819332e-07</v>
      </c>
      <c r="K132" s="25" t="n">
        <v>-5.133761253456623e-08</v>
      </c>
      <c r="L132" s="25" t="n">
        <v>4.217480452210924e-08</v>
      </c>
      <c r="M132" s="25" t="n">
        <v>1.119481756347479e-08</v>
      </c>
      <c r="N132" s="25" t="n">
        <v>2.741951036622939e-08</v>
      </c>
      <c r="O132" s="25" t="n">
        <v>-7.477746159828659e-08</v>
      </c>
      <c r="P132" s="25" t="n">
        <v>1.925600019506811e-07</v>
      </c>
      <c r="Q132" s="544" t="n">
        <v>2.383896462016506e-07</v>
      </c>
      <c r="R132" s="67" t="n">
        <v>0.4249653165499271</v>
      </c>
      <c r="S132" s="25" t="n">
        <v>0.09127668933780006</v>
      </c>
      <c r="T132" s="544" t="n">
        <v>0.0009643690995837977</v>
      </c>
      <c r="U132" s="547" t="n"/>
      <c r="V132" s="93" t="n">
        <v>0.000994172046332988</v>
      </c>
      <c r="W132" s="90">
        <f>$AB$131*SQRT(INDEX($B$131:$Q$146,2,2))</f>
        <v/>
      </c>
      <c r="X132" s="23" t="n"/>
      <c r="Y132" s="3" t="n">
        <v>-0.2247463811154564</v>
      </c>
      <c r="Z132" s="23" t="n"/>
      <c r="AA132" s="23" t="n"/>
      <c r="AB132" s="23" t="n"/>
      <c r="AC132" s="23" t="n"/>
      <c r="AD132" s="23" t="n"/>
      <c r="AE132" s="23" t="n"/>
    </row>
    <row r="133">
      <c r="B133" s="712" t="n">
        <v>1.410158036052881e-06</v>
      </c>
      <c r="C133" s="668" t="n">
        <v>3.987217841830089e-07</v>
      </c>
      <c r="D133" s="668" t="n">
        <v>1.530069133263442e-06</v>
      </c>
      <c r="E133" s="668" t="n">
        <v>1.105660335642309e-06</v>
      </c>
      <c r="F133" s="668" t="n">
        <v>-5.530093645408954e-08</v>
      </c>
      <c r="G133" s="668" t="n">
        <v>8.94482291497126e-07</v>
      </c>
      <c r="H133" s="668" t="n">
        <v>-1.938588178130285e-07</v>
      </c>
      <c r="I133" s="668" t="n">
        <v>3.104223038700797e-07</v>
      </c>
      <c r="J133" s="668" t="n">
        <v>-3.428892960777557e-07</v>
      </c>
      <c r="K133" s="668" t="n">
        <v>-1.678778949266379e-07</v>
      </c>
      <c r="L133" s="668" t="n">
        <v>1.431186985956464e-07</v>
      </c>
      <c r="M133" s="668" t="n">
        <v>-2.705097846409105e-08</v>
      </c>
      <c r="N133" s="668" t="n">
        <v>5.074011921738201e-08</v>
      </c>
      <c r="O133" s="668" t="n">
        <v>-2.833713254059886e-07</v>
      </c>
      <c r="P133" s="668" t="n">
        <v>6.327094579991694e-07</v>
      </c>
      <c r="Q133" s="669" t="n">
        <v>4.94975992417642e-07</v>
      </c>
      <c r="R133" s="667" t="n">
        <v>2.033194599533044</v>
      </c>
      <c r="S133" s="667" t="n">
        <v>-0.9682265759821346</v>
      </c>
      <c r="T133" s="568" t="n">
        <v>0.003857476398335198</v>
      </c>
      <c r="U133" s="571" t="n"/>
      <c r="V133" s="93" t="n">
        <v>0.0005285818860695528</v>
      </c>
      <c r="W133" s="90">
        <f>$AB$131*SQRT(INDEX($B$131:$Q$146,3,3))</f>
        <v/>
      </c>
      <c r="X133" s="23" t="n"/>
      <c r="Y133" s="3" t="n">
        <v>1.016760069398723</v>
      </c>
      <c r="Z133" s="23" t="n"/>
      <c r="AA133" s="260" t="inlineStr">
        <is>
          <t>ATV</t>
        </is>
      </c>
      <c r="AB133" s="23" t="n"/>
      <c r="AC133" s="23" t="n"/>
      <c r="AD133" s="23" t="n"/>
      <c r="AE133" s="23" t="n"/>
    </row>
    <row r="134">
      <c r="B134" s="670" t="n">
        <v>1.924446908625519e-06</v>
      </c>
      <c r="C134" s="670" t="n">
        <v>4.288324543225069e-07</v>
      </c>
      <c r="D134" s="670" t="n">
        <v>1.105660335642309e-06</v>
      </c>
      <c r="E134" s="670" t="n">
        <v>2.08707137082674e-06</v>
      </c>
      <c r="F134" s="670" t="n">
        <v>-2.188292491715386e-07</v>
      </c>
      <c r="G134" s="670" t="n">
        <v>1.526688011918096e-06</v>
      </c>
      <c r="H134" s="670" t="n">
        <v>-3.34162813281955e-07</v>
      </c>
      <c r="I134" s="670" t="n">
        <v>5.155820780184822e-07</v>
      </c>
      <c r="J134" s="670" t="n">
        <v>-5.604835021297517e-07</v>
      </c>
      <c r="K134" s="670" t="n">
        <v>-2.55444758058765e-07</v>
      </c>
      <c r="L134" s="670" t="n">
        <v>2.558772850400486e-07</v>
      </c>
      <c r="M134" s="670" t="n">
        <v>-6.027167976428744e-08</v>
      </c>
      <c r="N134" s="670" t="n">
        <v>7.828552824190657e-08</v>
      </c>
      <c r="O134" s="670" t="n">
        <v>-4.553103982541948e-07</v>
      </c>
      <c r="P134" s="670" t="n">
        <v>8.287587508830439e-07</v>
      </c>
      <c r="Q134" s="670" t="n">
        <v>8.603012461498812e-07</v>
      </c>
      <c r="R134" s="67" t="n">
        <v>3.578655297262546</v>
      </c>
      <c r="S134" s="25" t="n">
        <v>-1.705038405576422</v>
      </c>
      <c r="T134" s="45" t="n">
        <v>0.008121002943863568</v>
      </c>
      <c r="V134" s="93" t="n">
        <v>0.001932244124549619</v>
      </c>
      <c r="W134" s="90">
        <f>$AB$131*SQRT(INDEX($B$131:$Q$146,4,4))</f>
        <v/>
      </c>
      <c r="X134" s="23" t="n"/>
      <c r="Y134" s="3" t="n">
        <v>-0.283452229061854</v>
      </c>
      <c r="Z134" s="23" t="n"/>
      <c r="AA134" s="2">
        <f t="array" ref="AA134:AA149">MMULT(_xlfn.ANCHORARRAY(U92),_xlfn.ANCHORARRAY(Y119))</f>
        <v/>
      </c>
      <c r="AB134" s="23" t="n"/>
      <c r="AC134" s="23" t="n"/>
      <c r="AD134" s="23" t="n"/>
      <c r="AE134" s="23" t="n"/>
    </row>
    <row r="135">
      <c r="B135" s="670" t="n">
        <v>-9.937688854410085e-08</v>
      </c>
      <c r="C135" s="670" t="n">
        <v>-4.374233176025677e-08</v>
      </c>
      <c r="D135" s="670" t="n">
        <v>-5.530093645408986e-08</v>
      </c>
      <c r="E135" s="670" t="n">
        <v>-2.188292491715389e-07</v>
      </c>
      <c r="F135" s="670" t="n">
        <v>4.119535064963045e-07</v>
      </c>
      <c r="G135" s="670" t="n">
        <v>-6.655454052461302e-08</v>
      </c>
      <c r="H135" s="670" t="n">
        <v>4.366778227674358e-08</v>
      </c>
      <c r="I135" s="670" t="n">
        <v>1.286964481370769e-08</v>
      </c>
      <c r="J135" s="670" t="n">
        <v>3.597441381299025e-08</v>
      </c>
      <c r="K135" s="670" t="n">
        <v>1.33911600611789e-08</v>
      </c>
      <c r="L135" s="670" t="n">
        <v>-2.10222825893376e-08</v>
      </c>
      <c r="M135" s="670" t="n">
        <v>-2.200483784075979e-08</v>
      </c>
      <c r="N135" s="670" t="n">
        <v>-2.264549968740616e-08</v>
      </c>
      <c r="O135" s="670" t="n">
        <v>9.135193027052273e-09</v>
      </c>
      <c r="P135" s="670" t="n">
        <v>3.150410559522811e-08</v>
      </c>
      <c r="Q135" s="670" t="n">
        <v>-7.737888007125205e-08</v>
      </c>
      <c r="R135" s="67" t="n">
        <v>-0.5165972997665195</v>
      </c>
      <c r="S135" s="25" t="n">
        <v>0.4841132879910661</v>
      </c>
      <c r="T135" s="45" t="n">
        <v>-0.001928738199167593</v>
      </c>
      <c r="V135" s="93" t="n">
        <v>0.0006199119560725975</v>
      </c>
      <c r="W135" s="90">
        <f>$AB$131*SQRT(INDEX($B$131:$Q$146,5,5))</f>
        <v/>
      </c>
      <c r="X135" s="23" t="n"/>
      <c r="Y135" s="3" t="n">
        <v>0.4501520773251299</v>
      </c>
      <c r="Z135" s="23" t="n"/>
      <c r="AA135" s="3" t="n">
        <v>1.591615728102624e-12</v>
      </c>
      <c r="AB135" s="23" t="n"/>
      <c r="AC135" s="23" t="n"/>
      <c r="AD135" s="23" t="n"/>
      <c r="AE135" s="23" t="n"/>
    </row>
    <row r="136">
      <c r="B136" s="67" t="n">
        <v>1.529889829365302e-06</v>
      </c>
      <c r="C136" s="25" t="n">
        <v>3.103644600891827e-07</v>
      </c>
      <c r="D136" s="25" t="n">
        <v>8.944822914971262e-07</v>
      </c>
      <c r="E136" s="25" t="n">
        <v>1.526688011918095e-06</v>
      </c>
      <c r="F136" s="25" t="n">
        <v>-6.655454052461233e-08</v>
      </c>
      <c r="G136" s="25" t="n">
        <v>1.487676278439104e-06</v>
      </c>
      <c r="H136" s="25" t="n">
        <v>-2.886073121169018e-07</v>
      </c>
      <c r="I136" s="25" t="n">
        <v>4.719860826109046e-07</v>
      </c>
      <c r="J136" s="25" t="n">
        <v>-4.645829901754375e-07</v>
      </c>
      <c r="K136" s="25" t="n">
        <v>-2.298564814478013e-07</v>
      </c>
      <c r="L136" s="25" t="n">
        <v>2.301416845606671e-07</v>
      </c>
      <c r="M136" s="25" t="n">
        <v>-7.059619404156926e-08</v>
      </c>
      <c r="N136" s="25" t="n">
        <v>5.846562755623488e-08</v>
      </c>
      <c r="O136" s="25" t="n">
        <v>-4.013898885693353e-07</v>
      </c>
      <c r="P136" s="25" t="n">
        <v>7.244696386646931e-07</v>
      </c>
      <c r="Q136" s="45" t="n">
        <v>6.478341864299377e-07</v>
      </c>
      <c r="R136" s="67" t="n">
        <v>3.041857002673165</v>
      </c>
      <c r="S136" s="25" t="n">
        <v>-1.399282644739959</v>
      </c>
      <c r="T136" s="45" t="n">
        <v>0.006902852502284034</v>
      </c>
      <c r="V136" s="93" t="n">
        <v>0.00117050733537746</v>
      </c>
      <c r="W136" s="90">
        <f>$AB$131*SQRT(INDEX($B$131:$Q$146,6,6))</f>
        <v/>
      </c>
      <c r="X136" s="23" t="n"/>
      <c r="Y136" s="3" t="n">
        <v>-0.1386604505078626</v>
      </c>
      <c r="Z136" s="23" t="n"/>
      <c r="AA136" s="3" t="n">
        <v>5.400124791776761e-13</v>
      </c>
      <c r="AB136" s="23" t="n"/>
      <c r="AC136" s="23" t="n"/>
      <c r="AD136" s="23" t="n"/>
      <c r="AE136" s="23" t="n"/>
    </row>
    <row r="137">
      <c r="B137" s="67" t="n">
        <v>-3.348660213750866e-07</v>
      </c>
      <c r="C137" s="25" t="n">
        <v>-6.95943148883389e-08</v>
      </c>
      <c r="D137" s="25" t="n">
        <v>-1.938588178130289e-07</v>
      </c>
      <c r="E137" s="25" t="n">
        <v>-3.341628132819553e-07</v>
      </c>
      <c r="F137" s="25" t="n">
        <v>4.366778227674359e-08</v>
      </c>
      <c r="G137" s="25" t="n">
        <v>-2.886073121169028e-07</v>
      </c>
      <c r="H137" s="25" t="n">
        <v>1.51958153131258e-07</v>
      </c>
      <c r="I137" s="25" t="n">
        <v>-7.345367736477602e-08</v>
      </c>
      <c r="J137" s="25" t="n">
        <v>1.413891730329986e-07</v>
      </c>
      <c r="K137" s="25" t="n">
        <v>1.081769385353039e-07</v>
      </c>
      <c r="L137" s="25" t="n">
        <v>-1.080123045022634e-07</v>
      </c>
      <c r="M137" s="25" t="n">
        <v>-4.149806508312547e-09</v>
      </c>
      <c r="N137" s="25" t="n">
        <v>-4.394584862899491e-08</v>
      </c>
      <c r="O137" s="25" t="n">
        <v>7.760348387308879e-08</v>
      </c>
      <c r="P137" s="25" t="n">
        <v>-1.603810279150078e-07</v>
      </c>
      <c r="Q137" s="45" t="n">
        <v>-1.437245216560655e-07</v>
      </c>
      <c r="R137" s="67" t="n">
        <v>-1.25469495482692</v>
      </c>
      <c r="S137" s="25" t="n">
        <v>0.9045274591412037</v>
      </c>
      <c r="T137" s="45" t="n">
        <v>-0.003603695056339456</v>
      </c>
      <c r="V137" s="93" t="n">
        <v>-0.0001041548263206351</v>
      </c>
      <c r="W137" s="90">
        <f>$AB$131*SQRT(INDEX($B$131:$Q$146,7,7))</f>
        <v/>
      </c>
      <c r="X137" s="23" t="n"/>
      <c r="Y137" s="3" t="n">
        <v>-0.5983393409097901</v>
      </c>
      <c r="Z137" s="23" t="n"/>
      <c r="AA137" s="3" t="n">
        <v>4.604316927725449e-12</v>
      </c>
      <c r="AB137" s="23" t="n"/>
      <c r="AC137" s="23" t="n"/>
      <c r="AD137" s="23" t="n"/>
      <c r="AE137" s="23" t="n"/>
    </row>
    <row r="138">
      <c r="B138" s="67" t="n">
        <v>5.790938525591605e-07</v>
      </c>
      <c r="C138" s="25" t="n">
        <v>6.358264403481202e-08</v>
      </c>
      <c r="D138" s="25" t="n">
        <v>3.104223038700796e-07</v>
      </c>
      <c r="E138" s="25" t="n">
        <v>5.155820780184822e-07</v>
      </c>
      <c r="F138" s="25" t="n">
        <v>1.28696448137078e-08</v>
      </c>
      <c r="G138" s="25" t="n">
        <v>4.719860826109048e-07</v>
      </c>
      <c r="H138" s="25" t="n">
        <v>-7.345367736477597e-08</v>
      </c>
      <c r="I138" s="25" t="n">
        <v>2.986019390735392e-07</v>
      </c>
      <c r="J138" s="25" t="n">
        <v>-1.632461183531611e-07</v>
      </c>
      <c r="K138" s="25" t="n">
        <v>-5.996565635144537e-08</v>
      </c>
      <c r="L138" s="25" t="n">
        <v>7.536913271078031e-08</v>
      </c>
      <c r="M138" s="25" t="n">
        <v>-6.588240153873334e-08</v>
      </c>
      <c r="N138" s="25" t="n">
        <v>-1.915455346004302e-09</v>
      </c>
      <c r="O138" s="25" t="n">
        <v>-2.327195375348058e-07</v>
      </c>
      <c r="P138" s="25" t="n">
        <v>2.762710365948617e-07</v>
      </c>
      <c r="Q138" s="45" t="n">
        <v>1.911039306811681e-07</v>
      </c>
      <c r="R138" s="67" t="n">
        <v>1.163062971610328</v>
      </c>
      <c r="S138" s="25" t="n">
        <v>-0.3291374818123374</v>
      </c>
      <c r="T138" s="45" t="n">
        <v>0.002639325956755661</v>
      </c>
      <c r="U138" s="671" t="n"/>
      <c r="V138" s="93" t="n">
        <v>0.0001050709820555386</v>
      </c>
      <c r="W138" s="90">
        <f>$AB$131*SQRT(INDEX($B$131:$Q$146,8,8))</f>
        <v/>
      </c>
      <c r="X138" s="23" t="n"/>
      <c r="Y138" s="538" t="n">
        <v>1.627331602170647</v>
      </c>
      <c r="Z138" s="532" t="n"/>
      <c r="AA138" s="3" t="n">
        <v>5.684341886080801e-14</v>
      </c>
      <c r="AB138" s="23" t="n"/>
      <c r="AC138" s="23" t="n"/>
      <c r="AD138" s="23" t="n"/>
      <c r="AE138" s="23" t="n"/>
    </row>
    <row r="139" ht="17.1" customHeight="1">
      <c r="B139" s="787" t="n">
        <v>-5.654248896210753e-07</v>
      </c>
      <c r="C139" s="590" t="n">
        <v>-1.274481882819336e-07</v>
      </c>
      <c r="D139" s="590" t="n">
        <v>-3.428892960777562e-07</v>
      </c>
      <c r="E139" s="590" t="n">
        <v>-5.604835021297516e-07</v>
      </c>
      <c r="F139" s="590" t="n">
        <v>3.597441381299001e-08</v>
      </c>
      <c r="G139" s="590" t="n">
        <v>-4.645829901754388e-07</v>
      </c>
      <c r="H139" s="590" t="n">
        <v>1.413891730329982e-07</v>
      </c>
      <c r="I139" s="590" t="n">
        <v>-1.632461183531611e-07</v>
      </c>
      <c r="J139" s="590" t="n">
        <v>7.834948082288871e-07</v>
      </c>
      <c r="K139" s="590" t="n">
        <v>1.068339707807998e-07</v>
      </c>
      <c r="L139" s="590" t="n">
        <v>-1.086040398160847e-07</v>
      </c>
      <c r="M139" s="590" t="n">
        <v>2.019972545354494e-08</v>
      </c>
      <c r="N139" s="590" t="n">
        <v>-3.278513321691385e-08</v>
      </c>
      <c r="O139" s="590" t="n">
        <v>1.430463928996164e-07</v>
      </c>
      <c r="P139" s="590" t="n">
        <v>-2.744069665125801e-07</v>
      </c>
      <c r="Q139" s="590" t="n">
        <v>-2.70740837100048e-07</v>
      </c>
      <c r="R139" s="590" t="n">
        <v>-2.194091970358338</v>
      </c>
      <c r="S139" s="590" t="n">
        <v>1.439600040605015</v>
      </c>
      <c r="T139" s="568" t="n">
        <v>-0.005735458329103645</v>
      </c>
      <c r="U139" s="658" t="n"/>
      <c r="V139" s="658" t="n">
        <v>-0.0002859673778382283</v>
      </c>
      <c r="W139" s="90">
        <f>$AB$131*SQRT(INDEX($B$131:$Q$146,9,9))</f>
        <v/>
      </c>
      <c r="X139" s="23" t="n"/>
      <c r="Y139" s="538" t="n">
        <v>0.668938675575049</v>
      </c>
      <c r="Z139" s="538" t="n"/>
      <c r="AA139" s="3" t="n">
        <v>1.70530256582424e-12</v>
      </c>
      <c r="AB139" s="23" t="n"/>
      <c r="AC139" s="23" t="n"/>
      <c r="AD139" s="23" t="n"/>
      <c r="AE139" s="23" t="n"/>
    </row>
    <row r="140">
      <c r="B140" s="677" t="n">
        <v>-2.68114071530669e-07</v>
      </c>
      <c r="C140" s="678" t="n">
        <v>-5.133761253456645e-08</v>
      </c>
      <c r="D140" s="678" t="n">
        <v>-1.678778949266384e-07</v>
      </c>
      <c r="E140" s="678" t="n">
        <v>-2.554447580587654e-07</v>
      </c>
      <c r="F140" s="678" t="n">
        <v>1.339116006117875e-08</v>
      </c>
      <c r="G140" s="678" t="n">
        <v>-2.298564814478019e-07</v>
      </c>
      <c r="H140" s="678" t="n">
        <v>1.081769385353037e-07</v>
      </c>
      <c r="I140" s="678" t="n">
        <v>-5.996565635144554e-08</v>
      </c>
      <c r="J140" s="678" t="n">
        <v>1.068339707808e-07</v>
      </c>
      <c r="K140" s="678" t="n">
        <v>3.494140284342052e-07</v>
      </c>
      <c r="L140" s="678" t="n">
        <v>-9.236634191584946e-08</v>
      </c>
      <c r="M140" s="678" t="n">
        <v>2.439473622258563e-08</v>
      </c>
      <c r="N140" s="678" t="n">
        <v>-1.581059661945445e-08</v>
      </c>
      <c r="O140" s="678" t="n">
        <v>3.557092012886008e-08</v>
      </c>
      <c r="P140" s="678" t="n">
        <v>-1.560098803787176e-07</v>
      </c>
      <c r="Q140" s="678" t="n">
        <v>-1.077740947326091e-07</v>
      </c>
      <c r="R140" s="677" t="n">
        <v>-0.8499306330998534</v>
      </c>
      <c r="S140" s="678" t="n">
        <v>0.8174466213243999</v>
      </c>
      <c r="T140" s="679" t="n">
        <v>-0.001928738199167595</v>
      </c>
      <c r="U140" s="617" t="n"/>
      <c r="V140" s="680" t="n">
        <v>0.0007633404973389169</v>
      </c>
      <c r="W140" s="90">
        <f>$AB$131*SQRT(INDEX($B$131:$Q$146,10,10))</f>
        <v/>
      </c>
      <c r="X140" s="23" t="n"/>
      <c r="Y140" s="681" t="n">
        <v>0.04006305004127864</v>
      </c>
      <c r="Z140" s="682" t="n"/>
      <c r="AA140" s="3" t="n">
        <v>3.609557097661309e-12</v>
      </c>
      <c r="AB140" s="23" t="n"/>
      <c r="AC140" s="23" t="n"/>
      <c r="AD140" s="23" t="n"/>
      <c r="AE140" s="23" t="n"/>
    </row>
    <row r="141" ht="15.95" customHeight="1">
      <c r="B141" s="685" t="n">
        <v>2.455170733436992e-07</v>
      </c>
      <c r="C141" s="686" t="n">
        <v>4.217480452210925e-08</v>
      </c>
      <c r="D141" s="686" t="n">
        <v>1.431186985956466e-07</v>
      </c>
      <c r="E141" s="686" t="n">
        <v>2.558772850400491e-07</v>
      </c>
      <c r="F141" s="686" t="n">
        <v>-2.102228258933767e-08</v>
      </c>
      <c r="G141" s="686" t="n">
        <v>2.301416845606672e-07</v>
      </c>
      <c r="H141" s="686" t="n">
        <v>-1.080123045022636e-07</v>
      </c>
      <c r="I141" s="686" t="n">
        <v>7.536913271078044e-08</v>
      </c>
      <c r="J141" s="686" t="n">
        <v>-1.086040398160849e-07</v>
      </c>
      <c r="K141" s="686" t="n">
        <v>-9.236634191584948e-08</v>
      </c>
      <c r="L141" s="686" t="n">
        <v>9.734575110665717e-08</v>
      </c>
      <c r="M141" s="686" t="n">
        <v>-3.479487098820154e-08</v>
      </c>
      <c r="N141" s="686" t="n">
        <v>1.066655339560628e-08</v>
      </c>
      <c r="O141" s="686" t="n">
        <v>-4.057426172257874e-08</v>
      </c>
      <c r="P141" s="686" t="n">
        <v>1.308604287537106e-07</v>
      </c>
      <c r="Q141" s="686" t="n">
        <v>1.123479206653418e-07</v>
      </c>
      <c r="R141" s="685" t="n">
        <v>0.1544005684702062</v>
      </c>
      <c r="S141" s="686" t="n">
        <v>0.1019185869454879</v>
      </c>
      <c r="T141" s="687" t="n">
        <v>-0.0004060501471931787</v>
      </c>
      <c r="U141" s="542" t="n"/>
      <c r="V141" s="688" t="n">
        <v>-0.0001968067039682561</v>
      </c>
      <c r="W141" s="90">
        <f>$AB$131*SQRT(INDEX($B$131:$Q$146,11,11))</f>
        <v/>
      </c>
      <c r="X141" s="23" t="n"/>
      <c r="Y141" s="682" t="n">
        <v>0.4814723789381958</v>
      </c>
      <c r="Z141" s="538" t="n"/>
      <c r="AA141" s="3" t="n">
        <v>-1.13686837721616e-12</v>
      </c>
      <c r="AB141" s="23" t="n"/>
      <c r="AC141" s="23" t="n"/>
      <c r="AD141" s="23" t="n"/>
      <c r="AE141" s="23" t="n"/>
    </row>
    <row r="142">
      <c r="B142" s="685" t="n">
        <v>-4.8403653626676e-08</v>
      </c>
      <c r="C142" s="686" t="n">
        <v>1.11948175634747e-08</v>
      </c>
      <c r="D142" s="686" t="n">
        <v>-2.70509784640914e-08</v>
      </c>
      <c r="E142" s="686" t="n">
        <v>-6.027167976428765e-08</v>
      </c>
      <c r="F142" s="686" t="n">
        <v>-2.200483784075982e-08</v>
      </c>
      <c r="G142" s="686" t="n">
        <v>-7.059619404156978e-08</v>
      </c>
      <c r="H142" s="686" t="n">
        <v>-4.149806508312617e-09</v>
      </c>
      <c r="I142" s="686" t="n">
        <v>-6.588240153873345e-08</v>
      </c>
      <c r="J142" s="686" t="n">
        <v>2.019972545354507e-08</v>
      </c>
      <c r="K142" s="686" t="n">
        <v>2.439473622258569e-08</v>
      </c>
      <c r="L142" s="686" t="n">
        <v>-3.479487098820152e-08</v>
      </c>
      <c r="M142" s="686" t="n">
        <v>7.209204697090086e-08</v>
      </c>
      <c r="N142" s="686" t="n">
        <v>3.894467749651404e-08</v>
      </c>
      <c r="O142" s="686" t="n">
        <v>-6.209645432167286e-09</v>
      </c>
      <c r="P142" s="686" t="n">
        <v>-4.581915508514541e-08</v>
      </c>
      <c r="Q142" s="686" t="n">
        <v>-2.657217965986306e-08</v>
      </c>
      <c r="R142" s="685" t="n">
        <v>-0.3802321253341449</v>
      </c>
      <c r="S142" s="686" t="n">
        <v>0.5499103305924949</v>
      </c>
      <c r="T142" s="687" t="n">
        <v>-0.0008628565627855038</v>
      </c>
      <c r="U142" s="542" t="n"/>
      <c r="V142" s="688" t="n">
        <v>0.0004612786024033079</v>
      </c>
      <c r="W142" s="90">
        <f>$AB$131*SQRT(INDEX($B$131:$Q$146,12,12))</f>
        <v/>
      </c>
      <c r="X142" s="23" t="n"/>
      <c r="Y142" s="682" t="n">
        <v>-0.02844838891490264</v>
      </c>
      <c r="Z142" s="689" t="n"/>
      <c r="AA142" s="3" t="n">
        <v>9.094947017729282e-13</v>
      </c>
      <c r="AB142" s="23" t="n"/>
      <c r="AC142" s="23" t="n"/>
      <c r="AD142" s="23" t="n"/>
      <c r="AE142" s="23" t="n"/>
    </row>
    <row r="143">
      <c r="B143" s="685" t="n">
        <v>8.9348948031387e-08</v>
      </c>
      <c r="C143" s="686" t="n">
        <v>2.741951036622963e-08</v>
      </c>
      <c r="D143" s="686" t="n">
        <v>5.074011921738242e-08</v>
      </c>
      <c r="E143" s="686" t="n">
        <v>7.828552824190696e-08</v>
      </c>
      <c r="F143" s="686" t="n">
        <v>-2.264549968740579e-08</v>
      </c>
      <c r="G143" s="686" t="n">
        <v>5.84656275562351e-08</v>
      </c>
      <c r="H143" s="686" t="n">
        <v>-4.394584862899464e-08</v>
      </c>
      <c r="I143" s="686" t="n">
        <v>-1.915455346004144e-09</v>
      </c>
      <c r="J143" s="686" t="n">
        <v>-3.278513321691379e-08</v>
      </c>
      <c r="K143" s="686" t="n">
        <v>-1.58105966194544e-08</v>
      </c>
      <c r="L143" s="686" t="n">
        <v>1.066655339560634e-08</v>
      </c>
      <c r="M143" s="686" t="n">
        <v>3.894467749651407e-08</v>
      </c>
      <c r="N143" s="686" t="n">
        <v>3.327929523338845e-08</v>
      </c>
      <c r="O143" s="686" t="n">
        <v>-3.702922215050988e-08</v>
      </c>
      <c r="P143" s="686" t="n">
        <v>2.952059916129714e-08</v>
      </c>
      <c r="Q143" s="686" t="n">
        <v>3.137660099072404e-08</v>
      </c>
      <c r="R143" s="685" t="n">
        <v>2.100294386356715</v>
      </c>
      <c r="S143" s="686" t="n">
        <v>-1.006446046086692</v>
      </c>
      <c r="T143" s="687" t="n">
        <v>0.004009745203532636</v>
      </c>
      <c r="U143" s="542" t="n"/>
      <c r="V143" s="688" t="n">
        <v>0.0003009615302888904</v>
      </c>
      <c r="W143" s="90">
        <f>$AB$131*SQRT(INDEX($B$131:$Q$146,13,13))</f>
        <v/>
      </c>
      <c r="X143" s="23" t="n"/>
      <c r="Y143" s="682" t="n">
        <v>1.399550069383982</v>
      </c>
      <c r="Z143" s="23" t="n"/>
      <c r="AA143" s="3" t="n">
        <v>-4.547473508864641e-13</v>
      </c>
      <c r="AB143" s="23" t="n"/>
      <c r="AC143" s="23" t="n"/>
      <c r="AD143" s="23" t="n"/>
      <c r="AE143" s="23" t="n"/>
    </row>
    <row r="144">
      <c r="B144" s="685" t="n">
        <v>-5.306901989324859e-07</v>
      </c>
      <c r="C144" s="686" t="n">
        <v>-7.477746159828681e-08</v>
      </c>
      <c r="D144" s="686" t="n">
        <v>-2.833713254059888e-07</v>
      </c>
      <c r="E144" s="686" t="n">
        <v>-4.553103982541946e-07</v>
      </c>
      <c r="F144" s="686" t="n">
        <v>9.135193027052003e-09</v>
      </c>
      <c r="G144" s="686" t="n">
        <v>-4.013898885693355e-07</v>
      </c>
      <c r="H144" s="686" t="n">
        <v>7.76034838730884e-08</v>
      </c>
      <c r="I144" s="686" t="n">
        <v>-2.327195375348059e-07</v>
      </c>
      <c r="J144" s="686" t="n">
        <v>1.430463928996161e-07</v>
      </c>
      <c r="K144" s="686" t="n">
        <v>3.557092012885978e-08</v>
      </c>
      <c r="L144" s="686" t="n">
        <v>-4.057426172257875e-08</v>
      </c>
      <c r="M144" s="686" t="n">
        <v>-6.209645432167563e-09</v>
      </c>
      <c r="N144" s="686" t="n">
        <v>-3.702922215050968e-08</v>
      </c>
      <c r="O144" s="686" t="n">
        <v>2.389291829669736e-07</v>
      </c>
      <c r="P144" s="686" t="n">
        <v>-2.304518815097163e-07</v>
      </c>
      <c r="Q144" s="686" t="n">
        <v>-1.645317510213049e-07</v>
      </c>
      <c r="R144" s="685" t="n">
        <v>-0.7828308462761819</v>
      </c>
      <c r="S144" s="686" t="n">
        <v>0.7792271512198428</v>
      </c>
      <c r="T144" s="687" t="n">
        <v>-0.001776469393970157</v>
      </c>
      <c r="U144" s="542" t="n"/>
      <c r="V144" s="688" t="n">
        <v>-0.0005663495844588501</v>
      </c>
      <c r="W144" s="90">
        <f>$AB$131*SQRT(INDEX($B$131:$Q$146,14,14))</f>
        <v/>
      </c>
      <c r="X144" s="23" t="n"/>
      <c r="Y144" s="682" t="n">
        <v>-0.5615757850756337</v>
      </c>
      <c r="Z144" s="23" t="n"/>
      <c r="AA144" s="3" t="n">
        <v>-9.379164112033322e-13</v>
      </c>
      <c r="AB144" s="23" t="n"/>
      <c r="AC144" s="23" t="n"/>
      <c r="AD144" s="23" t="n"/>
      <c r="AE144" s="23" t="n"/>
    </row>
    <row r="145">
      <c r="B145" s="685" t="n">
        <v>9.852912957024806e-07</v>
      </c>
      <c r="C145" s="686" t="n">
        <v>1.925600019506813e-07</v>
      </c>
      <c r="D145" s="686" t="n">
        <v>6.327094579991698e-07</v>
      </c>
      <c r="E145" s="686" t="n">
        <v>8.287587508830441e-07</v>
      </c>
      <c r="F145" s="686" t="n">
        <v>3.150410559522835e-08</v>
      </c>
      <c r="G145" s="686" t="n">
        <v>7.244696386646932e-07</v>
      </c>
      <c r="H145" s="686" t="n">
        <v>-1.603810279150076e-07</v>
      </c>
      <c r="I145" s="686" t="n">
        <v>2.762710365948618e-07</v>
      </c>
      <c r="J145" s="686" t="n">
        <v>-2.744069665125798e-07</v>
      </c>
      <c r="K145" s="686" t="n">
        <v>-1.560098803787174e-07</v>
      </c>
      <c r="L145" s="686" t="n">
        <v>1.308604287537105e-07</v>
      </c>
      <c r="M145" s="686" t="n">
        <v>-4.581915508514526e-08</v>
      </c>
      <c r="N145" s="686" t="n">
        <v>2.952059916129701e-08</v>
      </c>
      <c r="O145" s="686" t="n">
        <v>-2.304518815097164e-07</v>
      </c>
      <c r="P145" s="686" t="n">
        <v>5.651312239827832e-07</v>
      </c>
      <c r="Q145" s="686" t="n">
        <v>3.439610338988827e-07</v>
      </c>
      <c r="R145" s="685" t="n">
        <v>1.670855750685211</v>
      </c>
      <c r="S145" s="686" t="n">
        <v>-0.7618414374175216</v>
      </c>
      <c r="T145" s="687" t="n">
        <v>0.003035224850269011</v>
      </c>
      <c r="U145" s="542" t="n"/>
      <c r="V145" s="688" t="n">
        <v>0.0003557815625680808</v>
      </c>
      <c r="W145" s="90">
        <f>$AB$131*SQRT(INDEX($B$131:$Q$146,15,15))</f>
        <v/>
      </c>
      <c r="X145" s="23" t="n"/>
      <c r="Y145" s="682" t="n">
        <v>-0.1612235415534083</v>
      </c>
      <c r="Z145" s="23" t="n"/>
      <c r="AA145" s="3" t="n">
        <v>-1.833200258261058e-12</v>
      </c>
      <c r="AB145" s="23" t="n"/>
      <c r="AC145" s="23" t="n"/>
      <c r="AD145" s="23" t="n"/>
      <c r="AE145" s="23" t="n"/>
    </row>
    <row r="146">
      <c r="B146" s="685" t="n">
        <v>7.717386453736098e-07</v>
      </c>
      <c r="C146" s="686" t="n">
        <v>2.383896462016508e-07</v>
      </c>
      <c r="D146" s="686" t="n">
        <v>4.949759924176425e-07</v>
      </c>
      <c r="E146" s="686" t="n">
        <v>8.603012461498819e-07</v>
      </c>
      <c r="F146" s="686" t="n">
        <v>-7.737888007125212e-08</v>
      </c>
      <c r="G146" s="686" t="n">
        <v>6.478341864299383e-07</v>
      </c>
      <c r="H146" s="686" t="n">
        <v>-1.437245216560658e-07</v>
      </c>
      <c r="I146" s="686" t="n">
        <v>1.911039306811683e-07</v>
      </c>
      <c r="J146" s="686" t="n">
        <v>-2.707408371000484e-07</v>
      </c>
      <c r="K146" s="686" t="n">
        <v>-1.077740947326092e-07</v>
      </c>
      <c r="L146" s="686" t="n">
        <v>1.123479206653415e-07</v>
      </c>
      <c r="M146" s="686" t="n">
        <v>-2.657217965986308e-08</v>
      </c>
      <c r="N146" s="686" t="n">
        <v>3.137660099072419e-08</v>
      </c>
      <c r="O146" s="686" t="n">
        <v>-1.645317510213052e-07</v>
      </c>
      <c r="P146" s="686" t="n">
        <v>3.439610338988829e-07</v>
      </c>
      <c r="Q146" s="686" t="n">
        <v>5.087116287832136e-07</v>
      </c>
      <c r="R146" s="685" t="n">
        <v>1.404622204175548</v>
      </c>
      <c r="S146" s="686" t="n">
        <v>-0.4667275741887452</v>
      </c>
      <c r="T146" s="687" t="n">
        <v>0.003187493655466448</v>
      </c>
      <c r="U146" s="542" t="n"/>
      <c r="V146" s="688" t="n">
        <v>0.001199728532060713</v>
      </c>
      <c r="W146" s="91">
        <f>$AB$131*SQRT(INDEX($B$131:$Q$146,16,16))</f>
        <v/>
      </c>
      <c r="X146" s="23" t="n"/>
      <c r="Y146" s="682" t="n">
        <v>1.032157294915779</v>
      </c>
      <c r="Z146" s="23" t="n"/>
      <c r="AA146" s="3" t="n">
        <v>-2.174260771425907e-12</v>
      </c>
      <c r="AB146" s="23" t="n"/>
      <c r="AC146" s="23" t="n"/>
      <c r="AD146" s="23" t="n"/>
      <c r="AE146" s="23" t="n"/>
    </row>
    <row r="147">
      <c r="A147" s="21" t="inlineStr">
        <is>
          <t>S(-1)</t>
        </is>
      </c>
      <c r="B147" s="685" t="n">
        <v>3.710689270124861</v>
      </c>
      <c r="C147" s="686" t="n">
        <v>0.4249653165499268</v>
      </c>
      <c r="D147" s="686" t="n">
        <v>2.033194599533044</v>
      </c>
      <c r="E147" s="686" t="n">
        <v>3.578655297262546</v>
      </c>
      <c r="F147" s="686" t="n">
        <v>-0.5165972997665199</v>
      </c>
      <c r="G147" s="686" t="n">
        <v>3.041857002673164</v>
      </c>
      <c r="H147" s="686" t="n">
        <v>-1.254694954826921</v>
      </c>
      <c r="I147" s="686" t="n">
        <v>1.163062971610328</v>
      </c>
      <c r="J147" s="686" t="n">
        <v>-2.194091970358339</v>
      </c>
      <c r="K147" s="686" t="n">
        <v>-0.8499306330998533</v>
      </c>
      <c r="L147" s="686" t="n">
        <v>0.1544005684702054</v>
      </c>
      <c r="M147" s="686" t="n">
        <v>-0.3802321253341451</v>
      </c>
      <c r="N147" s="686" t="n">
        <v>2.100294386356714</v>
      </c>
      <c r="O147" s="686" t="n">
        <v>-0.7828308462761826</v>
      </c>
      <c r="P147" s="686" t="n">
        <v>1.670855750685211</v>
      </c>
      <c r="Q147" s="686" t="n">
        <v>1.404622204175548</v>
      </c>
      <c r="R147" s="685" t="n">
        <v>3.774192834607467e-09</v>
      </c>
      <c r="S147" s="686" t="n">
        <v>-1.880355655180999e-09</v>
      </c>
      <c r="T147" s="687" t="n">
        <v>5.167488739883931e-12</v>
      </c>
      <c r="U147" s="542" t="n"/>
      <c r="V147" s="688" t="n"/>
      <c r="W147" s="23" t="n"/>
      <c r="X147" s="23" t="n"/>
      <c r="Y147" s="682" t="n">
        <v>0.4683455653382202</v>
      </c>
      <c r="Z147" s="23" t="n"/>
      <c r="AA147" s="3" t="n">
        <v>1.137534511030935e-12</v>
      </c>
      <c r="AB147" s="23" t="n"/>
      <c r="AC147" s="23" t="n"/>
      <c r="AD147" s="23" t="n"/>
      <c r="AE147" s="23" t="n"/>
    </row>
    <row r="148">
      <c r="A148" s="601" t="n"/>
      <c r="B148" s="685" t="n">
        <v>-1.923713328596081</v>
      </c>
      <c r="C148" s="686" t="n">
        <v>0.09127668933780023</v>
      </c>
      <c r="D148" s="686" t="n">
        <v>-0.9682265759821341</v>
      </c>
      <c r="E148" s="686" t="n">
        <v>-1.705038405576422</v>
      </c>
      <c r="F148" s="686" t="n">
        <v>0.4841132879910661</v>
      </c>
      <c r="G148" s="686" t="n">
        <v>-1.399282644739959</v>
      </c>
      <c r="H148" s="686" t="n">
        <v>0.9045274591412035</v>
      </c>
      <c r="I148" s="686" t="n">
        <v>-0.3291374818123375</v>
      </c>
      <c r="J148" s="686" t="n">
        <v>1.439600040605014</v>
      </c>
      <c r="K148" s="686" t="n">
        <v>0.8174466213243993</v>
      </c>
      <c r="L148" s="686" t="n">
        <v>0.1019185869454882</v>
      </c>
      <c r="M148" s="686" t="n">
        <v>0.5499103305924945</v>
      </c>
      <c r="N148" s="686" t="n">
        <v>-1.006446046086691</v>
      </c>
      <c r="O148" s="686" t="n">
        <v>0.7792271512198428</v>
      </c>
      <c r="P148" s="686" t="n">
        <v>-0.7618414374175215</v>
      </c>
      <c r="Q148" s="686" t="n">
        <v>-0.4667275741887451</v>
      </c>
      <c r="R148" s="685" t="n">
        <v>-1.561080489911017e-09</v>
      </c>
      <c r="S148" s="686" t="n">
        <v>1.106750990724563e-09</v>
      </c>
      <c r="T148" s="687" t="n">
        <v>-2.101666790491231e-12</v>
      </c>
      <c r="U148" s="542" t="n"/>
      <c r="V148" s="688" t="n"/>
      <c r="W148" s="23" t="n"/>
      <c r="X148" s="23" t="n"/>
      <c r="Y148" s="682" t="n">
        <v>0.5976518924868226</v>
      </c>
      <c r="Z148" s="23" t="n"/>
      <c r="AA148" s="3" t="n">
        <v>-3.410605131648481e-13</v>
      </c>
      <c r="AB148" s="23" t="n"/>
      <c r="AE148" s="23" t="n"/>
    </row>
    <row r="149">
      <c r="A149" s="606" t="n"/>
      <c r="B149" s="685" t="n">
        <v>0.007664196528271243</v>
      </c>
      <c r="C149" s="686" t="n">
        <v>0.0009643690995837974</v>
      </c>
      <c r="D149" s="686" t="n">
        <v>0.003857476398335197</v>
      </c>
      <c r="E149" s="686" t="n">
        <v>0.008121002943863568</v>
      </c>
      <c r="F149" s="686" t="n">
        <v>-0.001928738199167594</v>
      </c>
      <c r="G149" s="686" t="n">
        <v>0.006902852502284033</v>
      </c>
      <c r="H149" s="686" t="n">
        <v>-0.003603695056339457</v>
      </c>
      <c r="I149" s="686" t="n">
        <v>0.002639325956755661</v>
      </c>
      <c r="J149" s="686" t="n">
        <v>-0.005735458329103643</v>
      </c>
      <c r="K149" s="686" t="n">
        <v>-0.001928738199167594</v>
      </c>
      <c r="L149" s="686" t="n">
        <v>-0.0004060501471931801</v>
      </c>
      <c r="M149" s="686" t="n">
        <v>-0.0008628565627855032</v>
      </c>
      <c r="N149" s="686" t="n">
        <v>0.004009745203532634</v>
      </c>
      <c r="O149" s="686" t="n">
        <v>-0.001776469393970157</v>
      </c>
      <c r="P149" s="686" t="n">
        <v>0.00303522485026901</v>
      </c>
      <c r="Q149" s="686" t="n">
        <v>0.003187493655466448</v>
      </c>
      <c r="R149" s="685" t="n">
        <v>6.63242979479931e-12</v>
      </c>
      <c r="S149" s="686" t="n">
        <v>-3.578056159589926e-12</v>
      </c>
      <c r="T149" s="687" t="n">
        <v>8.140902622562061e-15</v>
      </c>
      <c r="U149" s="542" t="n"/>
      <c r="V149" s="688" t="n"/>
      <c r="W149" s="23" t="n"/>
      <c r="X149" s="23" t="n"/>
      <c r="Y149" s="682" t="n">
        <v>0.08356834371649835</v>
      </c>
      <c r="Z149" s="23" t="n"/>
      <c r="AA149" s="4" t="n">
        <v>-5.74118530494161e-12</v>
      </c>
      <c r="AB149" s="23" t="n"/>
      <c r="AE149" s="23" t="n"/>
    </row>
    <row r="150">
      <c r="B150" s="685" t="n"/>
      <c r="C150" s="686" t="n"/>
      <c r="D150" s="686" t="n"/>
      <c r="E150" s="686" t="n"/>
      <c r="F150" s="686" t="n"/>
      <c r="G150" s="686" t="n"/>
      <c r="H150" s="686" t="n"/>
      <c r="I150" s="686" t="n"/>
      <c r="J150" s="686" t="n"/>
      <c r="K150" s="686" t="n"/>
      <c r="L150" s="686" t="n"/>
      <c r="M150" s="686" t="n"/>
      <c r="N150" s="686" t="n"/>
      <c r="O150" s="686" t="n"/>
      <c r="P150" s="686" t="n"/>
      <c r="Q150" s="686" t="n"/>
      <c r="R150" s="685" t="n"/>
      <c r="S150" s="686" t="n"/>
      <c r="T150" s="687" t="n"/>
      <c r="U150" s="542" t="n"/>
      <c r="V150" s="688" t="n"/>
      <c r="W150" s="23" t="n"/>
      <c r="X150" s="23" t="n"/>
      <c r="Y150" s="682" t="n">
        <v>-0.4752953312578851</v>
      </c>
      <c r="Z150" s="23" t="n"/>
      <c r="AB150" s="23" t="n"/>
      <c r="AE150" s="23" t="n"/>
    </row>
    <row r="151">
      <c r="B151" s="685" t="n"/>
      <c r="C151" s="686" t="n"/>
      <c r="D151" s="686" t="n"/>
      <c r="E151" s="686" t="n"/>
      <c r="F151" s="686" t="n"/>
      <c r="G151" s="686" t="n"/>
      <c r="H151" s="686" t="n"/>
      <c r="I151" s="686" t="n"/>
      <c r="J151" s="686" t="n"/>
      <c r="K151" s="686" t="n"/>
      <c r="L151" s="686" t="n"/>
      <c r="M151" s="686" t="n"/>
      <c r="N151" s="686" t="n"/>
      <c r="O151" s="686" t="n"/>
      <c r="P151" s="686" t="n"/>
      <c r="Q151" s="686" t="n"/>
      <c r="R151" s="685" t="n"/>
      <c r="S151" s="686" t="n"/>
      <c r="T151" s="687" t="n"/>
      <c r="U151" s="542" t="n"/>
      <c r="V151" s="688" t="n"/>
      <c r="W151" s="23" t="n"/>
      <c r="X151" s="23" t="n"/>
      <c r="Y151" s="682" t="n"/>
      <c r="Z151" s="23" t="n"/>
      <c r="AA151" s="23" t="n"/>
      <c r="AB151" s="23" t="n"/>
      <c r="AE151" s="23" t="n"/>
    </row>
    <row r="152">
      <c r="B152" s="685" t="n"/>
      <c r="C152" s="686" t="n"/>
      <c r="D152" s="686" t="n"/>
      <c r="E152" s="686" t="n"/>
      <c r="F152" s="686" t="n"/>
      <c r="G152" s="686" t="n"/>
      <c r="H152" s="686" t="n"/>
      <c r="I152" s="686" t="n"/>
      <c r="J152" s="686" t="n"/>
      <c r="K152" s="686" t="n"/>
      <c r="L152" s="686" t="n"/>
      <c r="M152" s="686" t="n"/>
      <c r="N152" s="686" t="n"/>
      <c r="O152" s="686" t="n"/>
      <c r="P152" s="686" t="n"/>
      <c r="Q152" s="686" t="n"/>
      <c r="R152" s="685" t="n"/>
      <c r="S152" s="686" t="n"/>
      <c r="T152" s="687" t="n"/>
      <c r="U152" s="542" t="n"/>
      <c r="V152" s="688" t="n"/>
      <c r="W152" s="23" t="n"/>
      <c r="X152" s="23" t="n"/>
      <c r="Y152" s="682" t="n"/>
      <c r="Z152" s="23" t="n"/>
      <c r="AA152" s="23" t="n"/>
      <c r="AB152" s="23" t="n"/>
      <c r="AC152" s="23" t="n"/>
      <c r="AD152" s="23" t="n"/>
      <c r="AE152" s="23" t="n"/>
    </row>
    <row r="153">
      <c r="B153" s="685" t="n"/>
      <c r="C153" s="686" t="n"/>
      <c r="D153" s="686" t="n"/>
      <c r="E153" s="686" t="n"/>
      <c r="F153" s="686" t="n"/>
      <c r="G153" s="686" t="n"/>
      <c r="H153" s="686" t="n"/>
      <c r="I153" s="686" t="n"/>
      <c r="J153" s="686" t="n"/>
      <c r="K153" s="686" t="n"/>
      <c r="L153" s="686" t="n"/>
      <c r="M153" s="686" t="n"/>
      <c r="N153" s="686" t="n"/>
      <c r="O153" s="686" t="n"/>
      <c r="P153" s="686" t="n"/>
      <c r="Q153" s="686" t="n"/>
      <c r="R153" s="685" t="n"/>
      <c r="S153" s="686" t="n"/>
      <c r="T153" s="687" t="n"/>
      <c r="U153" s="542" t="n"/>
      <c r="V153" s="688" t="n"/>
      <c r="Y153" s="682" t="n"/>
    </row>
    <row r="154">
      <c r="B154" s="685" t="inlineStr">
        <is>
          <t>I</t>
        </is>
      </c>
      <c r="C154" s="506" t="n"/>
      <c r="D154" s="506" t="n"/>
      <c r="E154" s="506" t="n"/>
      <c r="F154" s="506" t="n"/>
      <c r="G154" s="506" t="n"/>
      <c r="H154" s="506" t="n"/>
      <c r="I154" s="506" t="n"/>
      <c r="J154" s="506" t="n"/>
      <c r="K154" s="506" t="n"/>
      <c r="L154" s="506" t="n"/>
      <c r="M154" s="506" t="n"/>
      <c r="N154" s="506" t="n"/>
      <c r="O154" s="506" t="n"/>
      <c r="P154" s="506" t="n"/>
      <c r="Q154" s="506" t="n"/>
      <c r="R154" s="506" t="n"/>
      <c r="S154" s="506" t="n"/>
      <c r="T154" s="506" t="n"/>
      <c r="U154" s="506" t="n"/>
      <c r="V154" s="506" t="n"/>
      <c r="W154" s="506" t="n"/>
      <c r="X154" s="506" t="n"/>
      <c r="Y154" s="506" t="n"/>
      <c r="Z154" s="506" t="n"/>
      <c r="AA154" s="506" t="n"/>
      <c r="AB154" s="506" t="n"/>
      <c r="AC154" s="506" t="n"/>
      <c r="AD154" s="506" t="n"/>
      <c r="AE154" s="506" t="n"/>
      <c r="AF154" s="506" t="n"/>
      <c r="AG154" s="507" t="n"/>
      <c r="AJ154" s="690" t="inlineStr">
        <is>
          <t>(ATA)-1AT</t>
        </is>
      </c>
      <c r="AK154" s="596" t="n"/>
      <c r="AL154" s="596" t="n"/>
      <c r="AM154" s="596" t="n"/>
      <c r="AN154" s="596" t="n"/>
      <c r="AO154" s="596" t="n"/>
      <c r="AP154" s="596" t="n"/>
      <c r="AQ154" s="596" t="n"/>
      <c r="AR154" s="596" t="n"/>
      <c r="AS154" s="596" t="n"/>
      <c r="AT154" s="596" t="n"/>
      <c r="AU154" s="596" t="n"/>
      <c r="AV154" s="596" t="n"/>
      <c r="AW154" s="596" t="n"/>
      <c r="AX154" s="596" t="n"/>
      <c r="AY154" s="596" t="n"/>
      <c r="AZ154" s="596" t="n"/>
      <c r="BA154" s="596" t="n"/>
      <c r="BB154" s="596" t="n"/>
      <c r="BC154" s="596" t="n"/>
      <c r="BD154" s="596" t="n"/>
      <c r="BE154" s="596" t="n"/>
      <c r="BF154" s="596" t="n"/>
      <c r="BG154" s="596" t="n"/>
      <c r="BH154" s="596" t="n"/>
      <c r="BI154" s="596" t="n"/>
      <c r="BJ154" s="596" t="n"/>
      <c r="BK154" s="596" t="n"/>
      <c r="BL154" s="596" t="n"/>
      <c r="BM154" s="596" t="n"/>
      <c r="BN154" s="596" t="n"/>
      <c r="BO154" s="597" t="n"/>
    </row>
    <row r="155">
      <c r="A155" t="n">
        <v>1</v>
      </c>
      <c r="B155" s="685">
        <f t="array" ref="B155:AG186">_xlfn.MUNIT(32)</f>
        <v/>
      </c>
      <c r="C155" s="686" t="n">
        <v>0</v>
      </c>
      <c r="D155" s="686" t="n">
        <v>0</v>
      </c>
      <c r="E155" s="686" t="n">
        <v>0</v>
      </c>
      <c r="F155" s="686" t="n">
        <v>0</v>
      </c>
      <c r="G155" s="686" t="n">
        <v>0</v>
      </c>
      <c r="H155" s="686" t="n">
        <v>0</v>
      </c>
      <c r="I155" s="686" t="n">
        <v>0</v>
      </c>
      <c r="J155" s="686" t="n">
        <v>0</v>
      </c>
      <c r="K155" s="686" t="n">
        <v>0</v>
      </c>
      <c r="L155" s="686" t="n">
        <v>0</v>
      </c>
      <c r="M155" s="686" t="n">
        <v>0</v>
      </c>
      <c r="N155" s="686" t="n">
        <v>0</v>
      </c>
      <c r="O155" s="686" t="n">
        <v>0</v>
      </c>
      <c r="P155" s="686" t="n">
        <v>0</v>
      </c>
      <c r="Q155" s="686" t="n">
        <v>0</v>
      </c>
      <c r="R155" s="685" t="n">
        <v>0</v>
      </c>
      <c r="S155" s="686" t="n">
        <v>0</v>
      </c>
      <c r="T155" s="687" t="n">
        <v>0</v>
      </c>
      <c r="U155" s="589" t="n">
        <v>0</v>
      </c>
      <c r="V155" s="691" t="n">
        <v>0</v>
      </c>
      <c r="W155" s="9" t="n">
        <v>0</v>
      </c>
      <c r="X155" s="9" t="n">
        <v>0</v>
      </c>
      <c r="Y155" s="689" t="n">
        <v>0</v>
      </c>
      <c r="Z155" s="9" t="n">
        <v>0</v>
      </c>
      <c r="AA155" s="9" t="n">
        <v>0</v>
      </c>
      <c r="AB155" s="9" t="n">
        <v>0</v>
      </c>
      <c r="AC155" s="9" t="n">
        <v>0</v>
      </c>
      <c r="AD155" s="9" t="n">
        <v>0</v>
      </c>
      <c r="AE155" s="9" t="n">
        <v>0</v>
      </c>
      <c r="AF155" s="9" t="n">
        <v>0</v>
      </c>
      <c r="AG155" s="10" t="n">
        <v>0</v>
      </c>
      <c r="AH155" s="23" t="n"/>
      <c r="AI155" s="23" t="n">
        <v>1</v>
      </c>
      <c r="AJ155" s="8">
        <f t="array" ref="AJ155:BO186">MMULT(MMULT(B76:Q107,B131:Q146),_xlfn.ANCHORARRAY(U92))</f>
        <v/>
      </c>
      <c r="AK155" s="9" t="n">
        <v>-0.004586656228846214</v>
      </c>
      <c r="AL155" s="9" t="n">
        <v>-0.0251452239613946</v>
      </c>
      <c r="AM155" s="9" t="n">
        <v>0.05571102909154273</v>
      </c>
      <c r="AN155" s="9" t="n">
        <v>0.07259895458687846</v>
      </c>
      <c r="AO155" s="9" t="n">
        <v>0.1286048859272833</v>
      </c>
      <c r="AP155" s="9" t="n">
        <v>-0.05720918967344846</v>
      </c>
      <c r="AQ155" s="9" t="n">
        <v>0.05571095630302743</v>
      </c>
      <c r="AR155" s="9" t="n">
        <v>0.04537559224892716</v>
      </c>
      <c r="AS155" s="9" t="n">
        <v>0.09283597919840489</v>
      </c>
      <c r="AT155" s="9" t="n">
        <v>0.208367203319703</v>
      </c>
      <c r="AU155" s="9" t="n">
        <v>0.2655149284812722</v>
      </c>
      <c r="AV155" s="9" t="n">
        <v>-0.00781610974231229</v>
      </c>
      <c r="AW155" s="9" t="n">
        <v>-0.06153297287199222</v>
      </c>
      <c r="AX155" s="9" t="n">
        <v>-0.003422558325052269</v>
      </c>
      <c r="AY155" s="9" t="n">
        <v>0.01111421728776115</v>
      </c>
      <c r="AZ155" s="9" t="n">
        <v>0.01140149479472643</v>
      </c>
      <c r="BA155" s="9" t="n">
        <v>0.03346618823590718</v>
      </c>
      <c r="BB155" s="9" t="n">
        <v>0.04948655233166153</v>
      </c>
      <c r="BC155" s="9" t="n">
        <v>-0.003678995166684363</v>
      </c>
      <c r="BD155" s="9" t="n">
        <v>-0.04618930495752288</v>
      </c>
      <c r="BE155" s="9" t="n">
        <v>-0.006365571112860208</v>
      </c>
      <c r="BF155" s="9" t="n">
        <v>-0.03246767165860995</v>
      </c>
      <c r="BG155" s="9" t="n">
        <v>-0.07430511825860253</v>
      </c>
      <c r="BH155" s="9" t="n">
        <v>0.06777500925307944</v>
      </c>
      <c r="BI155" s="9" t="n">
        <v>0.0915526567345161</v>
      </c>
      <c r="BJ155" s="9" t="n">
        <v>-0.06626892797580584</v>
      </c>
      <c r="BK155" s="9" t="n">
        <v>-0.0004156640783736752</v>
      </c>
      <c r="BL155" s="9" t="n">
        <v>0.01658685635014129</v>
      </c>
      <c r="BM155" s="9" t="n">
        <v>-0.03875557536124431</v>
      </c>
      <c r="BN155" s="9" t="n">
        <v>0.04715052626417882</v>
      </c>
      <c r="BO155" s="10" t="n">
        <v>-0.02586736130083115</v>
      </c>
      <c r="BP155" s="23" t="n"/>
      <c r="BQ155" s="23" t="n"/>
      <c r="BR155" s="23" t="n"/>
      <c r="BS155" s="23" t="n"/>
      <c r="BT155" s="23" t="n"/>
    </row>
    <row r="156">
      <c r="A156" t="n">
        <v>2</v>
      </c>
      <c r="B156" s="677" t="n">
        <v>0</v>
      </c>
      <c r="C156" s="678" t="n">
        <v>1</v>
      </c>
      <c r="D156" s="678" t="n">
        <v>0</v>
      </c>
      <c r="E156" s="678" t="n">
        <v>0</v>
      </c>
      <c r="F156" s="678" t="n">
        <v>0</v>
      </c>
      <c r="G156" s="678" t="n">
        <v>0</v>
      </c>
      <c r="H156" s="678" t="n">
        <v>0</v>
      </c>
      <c r="I156" s="678" t="n">
        <v>0</v>
      </c>
      <c r="J156" s="678" t="n">
        <v>0</v>
      </c>
      <c r="K156" s="678" t="n">
        <v>0</v>
      </c>
      <c r="L156" s="678" t="n">
        <v>0</v>
      </c>
      <c r="M156" s="678" t="n">
        <v>0</v>
      </c>
      <c r="N156" s="678" t="n">
        <v>0</v>
      </c>
      <c r="O156" s="678" t="n">
        <v>0</v>
      </c>
      <c r="P156" s="678" t="n">
        <v>0</v>
      </c>
      <c r="Q156" s="678" t="n">
        <v>0</v>
      </c>
      <c r="R156" s="677" t="n">
        <v>0</v>
      </c>
      <c r="S156" s="678" t="n">
        <v>0</v>
      </c>
      <c r="T156" s="679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2" t="n">
        <v>0</v>
      </c>
      <c r="AH156" s="23" t="n"/>
      <c r="AI156" s="23" t="n">
        <v>2</v>
      </c>
      <c r="AJ156" s="11" t="n">
        <v>-0.004586656228846193</v>
      </c>
      <c r="AK156" s="1" t="n">
        <v>0.2272081271252842</v>
      </c>
      <c r="AL156" s="1" t="n">
        <v>0.09644525657834678</v>
      </c>
      <c r="AM156" s="1" t="n">
        <v>-0.005098949264373598</v>
      </c>
      <c r="AN156" s="1" t="n">
        <v>0.03122870223129613</v>
      </c>
      <c r="AO156" s="1" t="n">
        <v>0.01718151123345832</v>
      </c>
      <c r="AP156" s="1" t="n">
        <v>0.05425731394011932</v>
      </c>
      <c r="AQ156" s="1" t="n">
        <v>-0.005098942602408237</v>
      </c>
      <c r="AR156" s="1" t="n">
        <v>0.1013640240773068</v>
      </c>
      <c r="AS156" s="1" t="n">
        <v>-0.009611030275552402</v>
      </c>
      <c r="AT156" s="1" t="n">
        <v>0.005695137928985277</v>
      </c>
      <c r="AU156" s="1" t="n">
        <v>-0.004586649376136169</v>
      </c>
      <c r="AV156" s="1" t="n">
        <v>0.03258754239121285</v>
      </c>
      <c r="AW156" s="1" t="n">
        <v>-0.01653066811839082</v>
      </c>
      <c r="AX156" s="1" t="n">
        <v>0.007601043431728167</v>
      </c>
      <c r="AY156" s="1" t="n">
        <v>-0.009675547400277124</v>
      </c>
      <c r="AZ156" s="1" t="n">
        <v>0.1072162623763003</v>
      </c>
      <c r="BA156" s="1" t="n">
        <v>0.04424580522307399</v>
      </c>
      <c r="BB156" s="1" t="n">
        <v>0.05562179797405704</v>
      </c>
      <c r="BC156" s="1" t="n">
        <v>0.04271701676241867</v>
      </c>
      <c r="BD156" s="1" t="n">
        <v>-0.004791714670850572</v>
      </c>
      <c r="BE156" s="1" t="n">
        <v>-0.02644557448560205</v>
      </c>
      <c r="BF156" s="1" t="n">
        <v>-0.095672251022473</v>
      </c>
      <c r="BG156" s="1" t="n">
        <v>0.2087087474256643</v>
      </c>
      <c r="BH156" s="1" t="n">
        <v>-0.06646206398367055</v>
      </c>
      <c r="BI156" s="1" t="n">
        <v>-0.01533714326306813</v>
      </c>
      <c r="BJ156" s="1" t="n">
        <v>-0.09684040367116278</v>
      </c>
      <c r="BK156" s="1" t="n">
        <v>0.1070939128231064</v>
      </c>
      <c r="BL156" s="1" t="n">
        <v>0.1494705080220718</v>
      </c>
      <c r="BM156" s="1" t="n">
        <v>-0.08182785595138431</v>
      </c>
      <c r="BN156" s="1" t="n">
        <v>-0.1346699799852332</v>
      </c>
      <c r="BO156" s="12" t="n">
        <v>-0.07489480674787335</v>
      </c>
      <c r="BP156" s="23" t="n"/>
      <c r="BQ156" s="23" t="n"/>
      <c r="BR156" s="23" t="n"/>
      <c r="BS156" s="23" t="n"/>
      <c r="BT156" s="23" t="n"/>
    </row>
    <row r="157">
      <c r="A157" t="n">
        <v>3</v>
      </c>
      <c r="B157" s="685" t="n">
        <v>0</v>
      </c>
      <c r="C157" s="686" t="n">
        <v>0</v>
      </c>
      <c r="D157" s="686" t="n">
        <v>1</v>
      </c>
      <c r="E157" s="686" t="n">
        <v>0</v>
      </c>
      <c r="F157" s="686" t="n">
        <v>0</v>
      </c>
      <c r="G157" s="686" t="n">
        <v>0</v>
      </c>
      <c r="H157" s="686" t="n">
        <v>0</v>
      </c>
      <c r="I157" s="686" t="n">
        <v>0</v>
      </c>
      <c r="J157" s="686" t="n">
        <v>0</v>
      </c>
      <c r="K157" s="686" t="n">
        <v>0</v>
      </c>
      <c r="L157" s="686" t="n">
        <v>0</v>
      </c>
      <c r="M157" s="686" t="n">
        <v>0</v>
      </c>
      <c r="N157" s="686" t="n">
        <v>0</v>
      </c>
      <c r="O157" s="686" t="n">
        <v>0</v>
      </c>
      <c r="P157" s="686" t="n">
        <v>0</v>
      </c>
      <c r="Q157" s="686" t="n">
        <v>0</v>
      </c>
      <c r="R157" s="685" t="n">
        <v>0</v>
      </c>
      <c r="S157" s="686" t="n">
        <v>0</v>
      </c>
      <c r="T157" s="687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2" t="n">
        <v>0</v>
      </c>
      <c r="AH157" s="23" t="n"/>
      <c r="AI157" s="23" t="n">
        <v>3</v>
      </c>
      <c r="AJ157" s="11" t="n">
        <v>-0.02514522396139458</v>
      </c>
      <c r="AK157" s="1" t="n">
        <v>0.09644525657834675</v>
      </c>
      <c r="AL157" s="1" t="n">
        <v>0.2485273299862456</v>
      </c>
      <c r="AM157" s="1" t="n">
        <v>-0.04088866421618566</v>
      </c>
      <c r="AN157" s="1" t="n">
        <v>-0.03170813279447188</v>
      </c>
      <c r="AO157" s="1" t="n">
        <v>0.01451237683416377</v>
      </c>
      <c r="AP157" s="1" t="n">
        <v>0.01052735735653225</v>
      </c>
      <c r="AQ157" s="1" t="n">
        <v>-0.04088861079363704</v>
      </c>
      <c r="AR157" s="1" t="n">
        <v>0.1770029013297576</v>
      </c>
      <c r="AS157" s="1" t="n">
        <v>0.007046446053629127</v>
      </c>
      <c r="AT157" s="1" t="n">
        <v>0.02416890235081339</v>
      </c>
      <c r="AU157" s="1" t="n">
        <v>-0.02514518639308349</v>
      </c>
      <c r="AV157" s="1" t="n">
        <v>0.003913498334988049</v>
      </c>
      <c r="AW157" s="1" t="n">
        <v>-0.007004161082915611</v>
      </c>
      <c r="AX157" s="1" t="n">
        <v>-0.00180732366106416</v>
      </c>
      <c r="AY157" s="1" t="n">
        <v>-0.006325386809883392</v>
      </c>
      <c r="AZ157" s="1" t="n">
        <v>0.03104727735210993</v>
      </c>
      <c r="BA157" s="1" t="n">
        <v>0.01330415663633989</v>
      </c>
      <c r="BB157" s="1" t="n">
        <v>0.1758855451078053</v>
      </c>
      <c r="BC157" s="1" t="n">
        <v>0.1696800932772772</v>
      </c>
      <c r="BD157" s="1" t="n">
        <v>-0.01562749707860334</v>
      </c>
      <c r="BE157" s="1" t="n">
        <v>-0.01353653600865331</v>
      </c>
      <c r="BF157" s="1" t="n">
        <v>-0.03247850192413679</v>
      </c>
      <c r="BG157" s="1" t="n">
        <v>0.1109114935839731</v>
      </c>
      <c r="BH157" s="1" t="n">
        <v>-0.04688843886181542</v>
      </c>
      <c r="BI157" s="1" t="n">
        <v>-0.002380519710764253</v>
      </c>
      <c r="BJ157" s="1" t="n">
        <v>-0.01637625994308679</v>
      </c>
      <c r="BK157" s="1" t="n">
        <v>-0.05509432112963793</v>
      </c>
      <c r="BL157" s="1" t="n">
        <v>-0.1055787818347155</v>
      </c>
      <c r="BM157" s="1" t="n">
        <v>0.1880398472951751</v>
      </c>
      <c r="BN157" s="1" t="n">
        <v>-0.1113432564738988</v>
      </c>
      <c r="BO157" s="12" t="n">
        <v>-0.01976294139946735</v>
      </c>
      <c r="BP157" s="23" t="n"/>
      <c r="BQ157" s="23" t="n"/>
      <c r="BR157" s="23" t="n"/>
      <c r="BS157" s="23" t="n"/>
      <c r="BT157" s="23" t="n"/>
    </row>
    <row r="158">
      <c r="A158" t="n">
        <v>4</v>
      </c>
      <c r="B158" s="692" t="n">
        <v>0</v>
      </c>
      <c r="C158" s="693" t="n">
        <v>0</v>
      </c>
      <c r="D158" s="693" t="n">
        <v>0</v>
      </c>
      <c r="E158" s="693" t="n">
        <v>1</v>
      </c>
      <c r="F158" s="693" t="n">
        <v>0</v>
      </c>
      <c r="G158" s="693" t="n">
        <v>0</v>
      </c>
      <c r="H158" s="693" t="n">
        <v>0</v>
      </c>
      <c r="I158" s="693" t="n">
        <v>0</v>
      </c>
      <c r="J158" s="693" t="n">
        <v>0</v>
      </c>
      <c r="K158" s="693" t="n">
        <v>0</v>
      </c>
      <c r="L158" s="693" t="n">
        <v>0</v>
      </c>
      <c r="M158" s="693" t="n">
        <v>0</v>
      </c>
      <c r="N158" s="693" t="n">
        <v>0</v>
      </c>
      <c r="O158" s="693" t="n">
        <v>0</v>
      </c>
      <c r="P158" s="693" t="n">
        <v>0</v>
      </c>
      <c r="Q158" s="693" t="n">
        <v>0</v>
      </c>
      <c r="R158" s="692" t="n">
        <v>0</v>
      </c>
      <c r="S158" s="693" t="n">
        <v>0</v>
      </c>
      <c r="T158" s="694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2" t="n">
        <v>0</v>
      </c>
      <c r="AH158" s="23" t="n"/>
      <c r="AI158" s="23" t="n">
        <v>4</v>
      </c>
      <c r="AJ158" s="11" t="n">
        <v>0.05571102909154273</v>
      </c>
      <c r="AK158" s="1" t="n">
        <v>-0.005098949264373598</v>
      </c>
      <c r="AL158" s="1" t="n">
        <v>-0.04088866421618564</v>
      </c>
      <c r="AM158" s="1" t="n">
        <v>0.2175882420250211</v>
      </c>
      <c r="AN158" s="1" t="n">
        <v>0.05755977100452239</v>
      </c>
      <c r="AO158" s="1" t="n">
        <v>-0.001436560908543272</v>
      </c>
      <c r="AP158" s="1" t="n">
        <v>0.1528437741457815</v>
      </c>
      <c r="AQ158" s="1" t="n">
        <v>0.2175879577379538</v>
      </c>
      <c r="AR158" s="1" t="n">
        <v>0.1435181211385837</v>
      </c>
      <c r="AS158" s="1" t="n">
        <v>-0.03380942837835005</v>
      </c>
      <c r="AT158" s="1" t="n">
        <v>-0.05442035435893679</v>
      </c>
      <c r="AU158" s="1" t="n">
        <v>0.05571094585628213</v>
      </c>
      <c r="AV158" s="1" t="n">
        <v>0.01223279021728468</v>
      </c>
      <c r="AW158" s="1" t="n">
        <v>0.01709493745837204</v>
      </c>
      <c r="AX158" s="1" t="n">
        <v>-0.0006975147267583304</v>
      </c>
      <c r="AY158" s="1" t="n">
        <v>-0.005437583779363001</v>
      </c>
      <c r="AZ158" s="1" t="n">
        <v>0.00328670684108141</v>
      </c>
      <c r="BA158" s="1" t="n">
        <v>0.01966480534370847</v>
      </c>
      <c r="BB158" s="1" t="n">
        <v>0.01050748804631617</v>
      </c>
      <c r="BC158" s="1" t="n">
        <v>-0.03607725099688394</v>
      </c>
      <c r="BD158" s="1" t="n">
        <v>-0.01566287115855219</v>
      </c>
      <c r="BE158" s="1" t="n">
        <v>-0.03287872522799251</v>
      </c>
      <c r="BF158" s="1" t="n">
        <v>-0.03499108891714754</v>
      </c>
      <c r="BG158" s="1" t="n">
        <v>-0.05139395023865058</v>
      </c>
      <c r="BH158" s="1" t="n">
        <v>0.2055359767863474</v>
      </c>
      <c r="BI158" s="1" t="n">
        <v>-0.07060934124400461</v>
      </c>
      <c r="BJ158" s="1" t="n">
        <v>0.06254774777559655</v>
      </c>
      <c r="BK158" s="1" t="n">
        <v>0.03180898697656524</v>
      </c>
      <c r="BL158" s="1" t="n">
        <v>0.01697808419975646</v>
      </c>
      <c r="BM158" s="1" t="n">
        <v>-0.0321966203682099</v>
      </c>
      <c r="BN158" s="1" t="n">
        <v>0.05012593539400627</v>
      </c>
      <c r="BO158" s="12" t="n">
        <v>-0.01222924161768134</v>
      </c>
      <c r="BP158" s="23" t="n"/>
      <c r="BQ158" s="23" t="n"/>
      <c r="BR158" s="23" t="n"/>
      <c r="BS158" s="23" t="n"/>
      <c r="BT158" s="23" t="n"/>
    </row>
    <row r="159">
      <c r="A159" t="n">
        <v>5</v>
      </c>
      <c r="B159" s="1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2" t="n">
        <v>0</v>
      </c>
      <c r="AH159" s="23" t="n"/>
      <c r="AI159" s="23" t="n">
        <v>5</v>
      </c>
      <c r="AJ159" s="11" t="n">
        <v>0.07259895458687843</v>
      </c>
      <c r="AK159" s="1" t="n">
        <v>0.03122870223129612</v>
      </c>
      <c r="AL159" s="1" t="n">
        <v>-0.03170813279447191</v>
      </c>
      <c r="AM159" s="1" t="n">
        <v>0.05755977100452235</v>
      </c>
      <c r="AN159" s="1" t="n">
        <v>0.1877972948063713</v>
      </c>
      <c r="AO159" s="1" t="n">
        <v>0.0002436451632057517</v>
      </c>
      <c r="AP159" s="1" t="n">
        <v>0.0245015232575252</v>
      </c>
      <c r="AQ159" s="1" t="n">
        <v>0.05755969580055752</v>
      </c>
      <c r="AR159" s="1" t="n">
        <v>0.05068898779691695</v>
      </c>
      <c r="AS159" s="1" t="n">
        <v>-0.03869211728956242</v>
      </c>
      <c r="AT159" s="1" t="n">
        <v>-0.0758985666609418</v>
      </c>
      <c r="AU159" s="1" t="n">
        <v>0.07259884612015272</v>
      </c>
      <c r="AV159" s="1" t="n">
        <v>0.07097970637445616</v>
      </c>
      <c r="AW159" s="1" t="n">
        <v>-0.03263177808440811</v>
      </c>
      <c r="AX159" s="1" t="n">
        <v>0.04355955306684366</v>
      </c>
      <c r="AY159" s="1" t="n">
        <v>0.03785042139376714</v>
      </c>
      <c r="AZ159" s="1" t="n">
        <v>0.07785093727603092</v>
      </c>
      <c r="BA159" s="1" t="n">
        <v>0.04508624021858276</v>
      </c>
      <c r="BB159" s="1" t="n">
        <v>0.119577829703072</v>
      </c>
      <c r="BC159" s="1" t="n">
        <v>0.007906112256961865</v>
      </c>
      <c r="BD159" s="1" t="n">
        <v>0.1117360709895804</v>
      </c>
      <c r="BE159" s="1" t="n">
        <v>0.04166792116478214</v>
      </c>
      <c r="BF159" s="1" t="n">
        <v>-0.03283210071394847</v>
      </c>
      <c r="BG159" s="1" t="n">
        <v>-0.09102861953227656</v>
      </c>
      <c r="BH159" s="1" t="n">
        <v>-0.07037518779677726</v>
      </c>
      <c r="BI159" s="1" t="n">
        <v>0.04083191588863972</v>
      </c>
      <c r="BJ159" s="1" t="n">
        <v>-0.1023080305955952</v>
      </c>
      <c r="BK159" s="1" t="n">
        <v>0.07832626715041535</v>
      </c>
      <c r="BL159" s="1" t="n">
        <v>-0.006338058699457583</v>
      </c>
      <c r="BM159" s="1" t="n">
        <v>-0.09780032435873322</v>
      </c>
      <c r="BN159" s="1" t="n">
        <v>0.1654366184525417</v>
      </c>
      <c r="BO159" s="12" t="n">
        <v>-0.08534924944545337</v>
      </c>
      <c r="BP159" s="23" t="n"/>
      <c r="BQ159" s="23" t="n"/>
      <c r="BR159" s="23" t="n"/>
      <c r="BS159" s="23" t="n"/>
      <c r="BT159" s="23" t="n"/>
    </row>
    <row r="160">
      <c r="A160" t="n">
        <v>6</v>
      </c>
      <c r="B160" s="1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2" t="n">
        <v>0</v>
      </c>
      <c r="AH160" s="23" t="n"/>
      <c r="AI160" s="23" t="n">
        <v>6</v>
      </c>
      <c r="AJ160" s="11" t="n">
        <v>0.1286048859272833</v>
      </c>
      <c r="AK160" s="1" t="n">
        <v>0.01718151123345833</v>
      </c>
      <c r="AL160" s="1" t="n">
        <v>0.01451237683416377</v>
      </c>
      <c r="AM160" s="1" t="n">
        <v>-0.001436560908543237</v>
      </c>
      <c r="AN160" s="1" t="n">
        <v>0.0002436451632059008</v>
      </c>
      <c r="AO160" s="1" t="n">
        <v>0.3049602622284034</v>
      </c>
      <c r="AP160" s="1" t="n">
        <v>0.2091117345229317</v>
      </c>
      <c r="AQ160" s="1" t="n">
        <v>-0.001436559031623354</v>
      </c>
      <c r="AR160" s="1" t="n">
        <v>-0.02324523713362974</v>
      </c>
      <c r="AS160" s="1" t="n">
        <v>0.04472297037303963</v>
      </c>
      <c r="AT160" s="1" t="n">
        <v>0.1074210841042069</v>
      </c>
      <c r="AU160" s="1" t="n">
        <v>0.1286046937846972</v>
      </c>
      <c r="AV160" s="1" t="n">
        <v>-0.0261939808925794</v>
      </c>
      <c r="AW160" s="1" t="n">
        <v>-0.008467851828202122</v>
      </c>
      <c r="AX160" s="1" t="n">
        <v>-0.02088352800120574</v>
      </c>
      <c r="AY160" s="1" t="n">
        <v>-0.01847167442388985</v>
      </c>
      <c r="AZ160" s="1" t="n">
        <v>-0.002696044899369351</v>
      </c>
      <c r="BA160" s="1" t="n">
        <v>0.007429510648082172</v>
      </c>
      <c r="BB160" s="1" t="n">
        <v>-0.003620916405079902</v>
      </c>
      <c r="BC160" s="1" t="n">
        <v>-0.0296580864561107</v>
      </c>
      <c r="BD160" s="1" t="n">
        <v>-0.07788604210536987</v>
      </c>
      <c r="BE160" s="1" t="n">
        <v>-0.03780499477134389</v>
      </c>
      <c r="BF160" s="1" t="n">
        <v>-0.03122375210513596</v>
      </c>
      <c r="BG160" s="1" t="n">
        <v>0.01534767162686532</v>
      </c>
      <c r="BH160" s="1" t="n">
        <v>-0.1334009801392275</v>
      </c>
      <c r="BI160" s="1" t="n">
        <v>0.2649680974942119</v>
      </c>
      <c r="BJ160" s="1" t="n">
        <v>0.1340283371572584</v>
      </c>
      <c r="BK160" s="1" t="n">
        <v>0.03499314373499959</v>
      </c>
      <c r="BL160" s="1" t="n">
        <v>-0.001249842069812733</v>
      </c>
      <c r="BM160" s="1" t="n">
        <v>0.04348320464685226</v>
      </c>
      <c r="BN160" s="1" t="n">
        <v>-0.01466495361784884</v>
      </c>
      <c r="BO160" s="12" t="n">
        <v>0.008241548579331246</v>
      </c>
      <c r="BP160" s="23" t="n"/>
      <c r="BQ160" s="23" t="n"/>
      <c r="BR160" s="23" t="n"/>
      <c r="BS160" s="23" t="n"/>
      <c r="BT160" s="23" t="n"/>
    </row>
    <row r="161">
      <c r="A161" t="n">
        <v>7</v>
      </c>
      <c r="B161" s="695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2" t="n">
        <v>0</v>
      </c>
      <c r="AH161" s="658" t="n"/>
      <c r="AI161" s="23" t="n">
        <v>7</v>
      </c>
      <c r="AJ161" s="695" t="n">
        <v>-0.0572091896734484</v>
      </c>
      <c r="AK161" s="1" t="n">
        <v>0.05425731394011936</v>
      </c>
      <c r="AL161" s="1" t="n">
        <v>0.01052735735653221</v>
      </c>
      <c r="AM161" s="1" t="n">
        <v>0.1528437741457817</v>
      </c>
      <c r="AN161" s="1" t="n">
        <v>0.02450152325752533</v>
      </c>
      <c r="AO161" s="1" t="n">
        <v>0.2091117345229316</v>
      </c>
      <c r="AP161" s="1" t="n">
        <v>0.5519970463837607</v>
      </c>
      <c r="AQ161" s="1" t="n">
        <v>0.1528435744497508</v>
      </c>
      <c r="AR161" s="1" t="n">
        <v>0.06978487278544789</v>
      </c>
      <c r="AS161" s="1" t="n">
        <v>-0.000488586495677179</v>
      </c>
      <c r="AT161" s="1" t="n">
        <v>-0.01529333682792106</v>
      </c>
      <c r="AU161" s="1" t="n">
        <v>-0.05720910419985532</v>
      </c>
      <c r="AV161" s="1" t="n">
        <v>0.005168871660555574</v>
      </c>
      <c r="AW161" s="1" t="n">
        <v>-0.005421778186445646</v>
      </c>
      <c r="AX161" s="1" t="n">
        <v>0.006963641220784078</v>
      </c>
      <c r="AY161" s="1" t="n">
        <v>-0.002409925277886735</v>
      </c>
      <c r="AZ161" s="1" t="n">
        <v>0.04937570180935127</v>
      </c>
      <c r="BA161" s="1" t="n">
        <v>-0.01692665638065224</v>
      </c>
      <c r="BB161" s="1" t="n">
        <v>-0.02537039698778693</v>
      </c>
      <c r="BC161" s="1" t="n">
        <v>-0.05511244729893849</v>
      </c>
      <c r="BD161" s="1" t="n">
        <v>0.03990293944046708</v>
      </c>
      <c r="BE161" s="1" t="n">
        <v>0.03337786592893588</v>
      </c>
      <c r="BF161" s="1" t="n">
        <v>0.009485125717439757</v>
      </c>
      <c r="BG161" s="1" t="n">
        <v>0.08285559949075186</v>
      </c>
      <c r="BH161" s="1" t="n">
        <v>-0.1215708435511032</v>
      </c>
      <c r="BI161" s="1" t="n">
        <v>-0.04405068702649118</v>
      </c>
      <c r="BJ161" s="1" t="n">
        <v>0.2951647663323546</v>
      </c>
      <c r="BK161" s="1" t="n">
        <v>0.1349867666746575</v>
      </c>
      <c r="BL161" s="1" t="n">
        <v>-0.02256056501529453</v>
      </c>
      <c r="BM161" s="1" t="n">
        <v>0.02876985099432648</v>
      </c>
      <c r="BN161" s="1" t="n">
        <v>0.04222102692932667</v>
      </c>
      <c r="BO161" s="12" t="n">
        <v>-0.01346156718990793</v>
      </c>
      <c r="BP161" s="23" t="n"/>
      <c r="BQ161" s="658" t="n"/>
      <c r="BR161" s="23" t="n"/>
      <c r="BS161" s="23" t="n"/>
      <c r="BT161" s="23" t="n"/>
    </row>
    <row r="162">
      <c r="A162" t="n">
        <v>8</v>
      </c>
      <c r="B162" s="700" t="n">
        <v>0</v>
      </c>
      <c r="C162" s="648" t="n">
        <v>0</v>
      </c>
      <c r="D162" s="648" t="n">
        <v>0</v>
      </c>
      <c r="E162" s="648" t="n">
        <v>0</v>
      </c>
      <c r="F162" s="648" t="n">
        <v>0</v>
      </c>
      <c r="G162" s="648" t="n">
        <v>0</v>
      </c>
      <c r="H162" s="648" t="n">
        <v>0</v>
      </c>
      <c r="I162" s="648" t="n">
        <v>1</v>
      </c>
      <c r="J162" s="648" t="n">
        <v>0</v>
      </c>
      <c r="K162" s="648" t="n">
        <v>0</v>
      </c>
      <c r="L162" s="648" t="n">
        <v>0</v>
      </c>
      <c r="M162" s="648" t="n">
        <v>0</v>
      </c>
      <c r="N162" s="648" t="n">
        <v>0</v>
      </c>
      <c r="O162" s="648" t="n">
        <v>0</v>
      </c>
      <c r="P162" s="648" t="n">
        <v>0</v>
      </c>
      <c r="Q162" s="648" t="n">
        <v>0</v>
      </c>
      <c r="R162" s="648" t="n">
        <v>0</v>
      </c>
      <c r="S162" s="648" t="n">
        <v>0</v>
      </c>
      <c r="T162" s="648" t="n">
        <v>0</v>
      </c>
      <c r="U162" s="648" t="n">
        <v>0</v>
      </c>
      <c r="V162" s="648" t="n">
        <v>0</v>
      </c>
      <c r="W162" s="648" t="n">
        <v>0</v>
      </c>
      <c r="X162" s="648" t="n">
        <v>0</v>
      </c>
      <c r="Y162" s="648" t="n">
        <v>0</v>
      </c>
      <c r="Z162" s="648" t="n">
        <v>0</v>
      </c>
      <c r="AA162" s="648" t="n">
        <v>0</v>
      </c>
      <c r="AB162" s="648" t="n">
        <v>0</v>
      </c>
      <c r="AC162" s="648" t="n">
        <v>0</v>
      </c>
      <c r="AD162" s="648" t="n">
        <v>0</v>
      </c>
      <c r="AE162" s="648" t="n">
        <v>0</v>
      </c>
      <c r="AF162" s="648" t="n">
        <v>0</v>
      </c>
      <c r="AG162" s="751" t="n">
        <v>0</v>
      </c>
      <c r="AH162" s="699" t="n"/>
      <c r="AI162" s="23" t="n">
        <v>8</v>
      </c>
      <c r="AJ162" s="580" t="n">
        <v>0.05571095630302744</v>
      </c>
      <c r="AK162" s="581" t="n">
        <v>-0.005098942602408237</v>
      </c>
      <c r="AL162" s="581" t="n">
        <v>-0.04088861079363703</v>
      </c>
      <c r="AM162" s="581" t="n">
        <v>0.2175879577379538</v>
      </c>
      <c r="AN162" s="581" t="n">
        <v>0.05755969580055759</v>
      </c>
      <c r="AO162" s="581" t="n">
        <v>-0.001436559031623402</v>
      </c>
      <c r="AP162" s="581" t="n">
        <v>0.1528435744497507</v>
      </c>
      <c r="AQ162" s="581" t="n">
        <v>0.2175876734512579</v>
      </c>
      <c r="AR162" s="581" t="n">
        <v>0.1435179336268625</v>
      </c>
      <c r="AS162" s="581" t="n">
        <v>-0.03380938420508417</v>
      </c>
      <c r="AT162" s="581" t="n">
        <v>-0.05442028325673565</v>
      </c>
      <c r="AU162" s="581" t="n">
        <v>0.05571087306787559</v>
      </c>
      <c r="AV162" s="581" t="n">
        <v>0.01223277423469288</v>
      </c>
      <c r="AW162" s="581" t="n">
        <v>0.01709491512320539</v>
      </c>
      <c r="AX162" s="581" t="n">
        <v>-0.0006975138154296512</v>
      </c>
      <c r="AY162" s="581" t="n">
        <v>-0.005437576674959144</v>
      </c>
      <c r="AZ162" s="581" t="n">
        <v>0.003286702546877619</v>
      </c>
      <c r="BA162" s="581" t="n">
        <v>0.01966477965091463</v>
      </c>
      <c r="BB162" s="581" t="n">
        <v>0.01050747431789531</v>
      </c>
      <c r="BC162" s="581" t="n">
        <v>-0.03607720386062425</v>
      </c>
      <c r="BD162" s="581" t="n">
        <v>-0.01566285069443291</v>
      </c>
      <c r="BE162" s="581" t="n">
        <v>-0.03287868227072482</v>
      </c>
      <c r="BF162" s="581" t="n">
        <v>-0.03499104319999867</v>
      </c>
      <c r="BG162" s="581" t="n">
        <v>-0.05139388309055816</v>
      </c>
      <c r="BH162" s="581" t="n">
        <v>0.2055357082460093</v>
      </c>
      <c r="BI162" s="581" t="n">
        <v>-0.07060924899029478</v>
      </c>
      <c r="BJ162" s="581" t="n">
        <v>0.06254766605465613</v>
      </c>
      <c r="BK162" s="581" t="n">
        <v>0.03180894541695</v>
      </c>
      <c r="BL162" s="581" t="n">
        <v>0.01697806201726295</v>
      </c>
      <c r="BM162" s="581" t="n">
        <v>-0.03219657830213729</v>
      </c>
      <c r="BN162" s="581" t="n">
        <v>0.05012586990262201</v>
      </c>
      <c r="BO162" s="555" t="n">
        <v>-0.01222922563972594</v>
      </c>
      <c r="BP162" s="23" t="n"/>
      <c r="BQ162" s="700" t="n"/>
      <c r="BR162" s="648" t="n"/>
      <c r="BS162" s="648" t="n"/>
      <c r="BT162" s="648" t="n"/>
    </row>
    <row r="163">
      <c r="A163" t="n">
        <v>9</v>
      </c>
      <c r="B163" s="705" t="n">
        <v>0</v>
      </c>
      <c r="C163" s="487" t="n">
        <v>0</v>
      </c>
      <c r="D163" s="487" t="n">
        <v>0</v>
      </c>
      <c r="E163" s="487" t="n">
        <v>0</v>
      </c>
      <c r="F163" s="487" t="n">
        <v>0</v>
      </c>
      <c r="G163" s="487" t="n">
        <v>0</v>
      </c>
      <c r="H163" s="487" t="n">
        <v>0</v>
      </c>
      <c r="I163" s="487" t="n">
        <v>0</v>
      </c>
      <c r="J163" s="487" t="n">
        <v>1</v>
      </c>
      <c r="K163" s="487" t="n">
        <v>0</v>
      </c>
      <c r="L163" s="487" t="n">
        <v>0</v>
      </c>
      <c r="M163" s="487" t="n">
        <v>0</v>
      </c>
      <c r="N163" s="487" t="n">
        <v>0</v>
      </c>
      <c r="O163" s="487" t="n">
        <v>0</v>
      </c>
      <c r="P163" s="487" t="n">
        <v>0</v>
      </c>
      <c r="Q163" s="487" t="n">
        <v>0</v>
      </c>
      <c r="R163" s="487" t="n">
        <v>0</v>
      </c>
      <c r="S163" s="487" t="n">
        <v>0</v>
      </c>
      <c r="T163" s="487" t="n">
        <v>0</v>
      </c>
      <c r="U163" s="487" t="n">
        <v>0</v>
      </c>
      <c r="V163" s="487" t="n">
        <v>0</v>
      </c>
      <c r="W163" s="487" t="n">
        <v>0</v>
      </c>
      <c r="X163" s="487" t="n">
        <v>0</v>
      </c>
      <c r="Y163" s="487" t="n">
        <v>0</v>
      </c>
      <c r="Z163" s="487" t="n">
        <v>0</v>
      </c>
      <c r="AA163" s="487" t="n">
        <v>0</v>
      </c>
      <c r="AB163" s="487" t="n">
        <v>0</v>
      </c>
      <c r="AC163" s="487" t="n">
        <v>0</v>
      </c>
      <c r="AD163" s="487" t="n">
        <v>0</v>
      </c>
      <c r="AE163" s="487" t="n">
        <v>0</v>
      </c>
      <c r="AF163" s="487" t="n">
        <v>0</v>
      </c>
      <c r="AG163" s="753" t="n">
        <v>0</v>
      </c>
      <c r="AH163" s="704" t="n"/>
      <c r="AI163" s="23" t="n">
        <v>9</v>
      </c>
      <c r="AJ163" s="543" t="n">
        <v>0.04537559224892718</v>
      </c>
      <c r="AK163" s="1" t="n">
        <v>0.1013640240773068</v>
      </c>
      <c r="AL163" s="1" t="n">
        <v>0.1770029013297575</v>
      </c>
      <c r="AM163" s="1" t="n">
        <v>0.1435181211385836</v>
      </c>
      <c r="AN163" s="1" t="n">
        <v>0.05068898779691698</v>
      </c>
      <c r="AO163" s="1" t="n">
        <v>-0.02324523713362979</v>
      </c>
      <c r="AP163" s="1" t="n">
        <v>0.06978487278544783</v>
      </c>
      <c r="AQ163" s="1" t="n">
        <v>0.1435179336268625</v>
      </c>
      <c r="AR163" s="1" t="n">
        <v>0.2978950282412372</v>
      </c>
      <c r="AS163" s="1" t="n">
        <v>-0.02814962661415946</v>
      </c>
      <c r="AT163" s="1" t="n">
        <v>-0.03351878545938362</v>
      </c>
      <c r="AU163" s="1" t="n">
        <v>0.04537552445536262</v>
      </c>
      <c r="AV163" s="1" t="n">
        <v>0.01613331073098667</v>
      </c>
      <c r="AW163" s="1" t="n">
        <v>0.01137510268009118</v>
      </c>
      <c r="AX163" s="1" t="n">
        <v>-0.00324890126653922</v>
      </c>
      <c r="AY163" s="1" t="n">
        <v>-0.0159815891727959</v>
      </c>
      <c r="AZ163" s="1" t="n">
        <v>0.04864292500816361</v>
      </c>
      <c r="BA163" s="1" t="n">
        <v>0.03096357602493121</v>
      </c>
      <c r="BB163" s="1" t="n">
        <v>0.159571536082506</v>
      </c>
      <c r="BC163" s="1" t="n">
        <v>0.08269274562676256</v>
      </c>
      <c r="BD163" s="1" t="n">
        <v>-0.03100721610365342</v>
      </c>
      <c r="BE163" s="1" t="n">
        <v>-0.04619324006139337</v>
      </c>
      <c r="BF163" s="1" t="n">
        <v>-0.07302695765798059</v>
      </c>
      <c r="BG163" s="1" t="n">
        <v>0.06761972736340224</v>
      </c>
      <c r="BH163" s="1" t="n">
        <v>0.1450629735432079</v>
      </c>
      <c r="BI163" s="1" t="n">
        <v>-0.06245528708358271</v>
      </c>
      <c r="BJ163" s="1" t="n">
        <v>-0.08218801654488601</v>
      </c>
      <c r="BK163" s="1" t="n">
        <v>0.04301955347106672</v>
      </c>
      <c r="BL163" s="1" t="n">
        <v>-0.08130428330392885</v>
      </c>
      <c r="BM163" s="1" t="n">
        <v>0.1448150150432609</v>
      </c>
      <c r="BN163" s="1" t="n">
        <v>-0.02519726536434157</v>
      </c>
      <c r="BO163" s="544" t="n">
        <v>-0.03594624271045081</v>
      </c>
      <c r="BP163" s="23" t="n"/>
      <c r="BQ163" s="705" t="n"/>
      <c r="BR163" s="487" t="n"/>
      <c r="BS163" s="487" t="n"/>
      <c r="BT163" s="487" t="n"/>
    </row>
    <row r="164">
      <c r="A164" t="n">
        <v>10</v>
      </c>
      <c r="B164" s="705" t="n">
        <v>0</v>
      </c>
      <c r="C164" s="487" t="n">
        <v>0</v>
      </c>
      <c r="D164" s="487" t="n">
        <v>0</v>
      </c>
      <c r="E164" s="487" t="n">
        <v>0</v>
      </c>
      <c r="F164" s="487" t="n">
        <v>0</v>
      </c>
      <c r="G164" s="487" t="n">
        <v>0</v>
      </c>
      <c r="H164" s="487" t="n">
        <v>0</v>
      </c>
      <c r="I164" s="487" t="n">
        <v>0</v>
      </c>
      <c r="J164" s="487" t="n">
        <v>0</v>
      </c>
      <c r="K164" s="487" t="n">
        <v>1</v>
      </c>
      <c r="L164" s="487" t="n">
        <v>0</v>
      </c>
      <c r="M164" s="487" t="n">
        <v>0</v>
      </c>
      <c r="N164" s="487" t="n">
        <v>0</v>
      </c>
      <c r="O164" s="487" t="n">
        <v>0</v>
      </c>
      <c r="P164" s="487" t="n">
        <v>0</v>
      </c>
      <c r="Q164" s="487" t="n">
        <v>0</v>
      </c>
      <c r="R164" s="487" t="n">
        <v>0</v>
      </c>
      <c r="S164" s="487" t="n">
        <v>0</v>
      </c>
      <c r="T164" s="487" t="n">
        <v>0</v>
      </c>
      <c r="U164" s="487" t="n">
        <v>0</v>
      </c>
      <c r="V164" s="487" t="n">
        <v>0</v>
      </c>
      <c r="W164" s="487" t="n">
        <v>0</v>
      </c>
      <c r="X164" s="487" t="n">
        <v>0</v>
      </c>
      <c r="Y164" s="487" t="n">
        <v>0</v>
      </c>
      <c r="Z164" s="487" t="n">
        <v>0</v>
      </c>
      <c r="AA164" s="487" t="n">
        <v>0</v>
      </c>
      <c r="AB164" s="487" t="n">
        <v>0</v>
      </c>
      <c r="AC164" s="487" t="n">
        <v>0</v>
      </c>
      <c r="AD164" s="487" t="n">
        <v>0</v>
      </c>
      <c r="AE164" s="487" t="n">
        <v>0</v>
      </c>
      <c r="AF164" s="487" t="n">
        <v>0</v>
      </c>
      <c r="AG164" s="753" t="n">
        <v>0</v>
      </c>
      <c r="AH164" s="704" t="n"/>
      <c r="AI164" s="23" t="n">
        <v>10</v>
      </c>
      <c r="AJ164" s="543" t="n">
        <v>0.0928359791984051</v>
      </c>
      <c r="AK164" s="1" t="n">
        <v>-0.009611030275552504</v>
      </c>
      <c r="AL164" s="1" t="n">
        <v>0.007046446053629111</v>
      </c>
      <c r="AM164" s="1" t="n">
        <v>-0.03380942837835006</v>
      </c>
      <c r="AN164" s="1" t="n">
        <v>-0.03869211728956243</v>
      </c>
      <c r="AO164" s="1" t="n">
        <v>0.04472297037303971</v>
      </c>
      <c r="AP164" s="1" t="n">
        <v>-0.0004885864956773655</v>
      </c>
      <c r="AQ164" s="1" t="n">
        <v>-0.0338093842050843</v>
      </c>
      <c r="AR164" s="1" t="n">
        <v>-0.02814962661415949</v>
      </c>
      <c r="AS164" s="1" t="n">
        <v>0.4677655875245783</v>
      </c>
      <c r="AT164" s="1" t="n">
        <v>0.241040002075003</v>
      </c>
      <c r="AU164" s="1" t="n">
        <v>0.09283584049648087</v>
      </c>
      <c r="AV164" s="1" t="n">
        <v>0.1174931957929711</v>
      </c>
      <c r="AW164" s="1" t="n">
        <v>0.3004534277452514</v>
      </c>
      <c r="AX164" s="1" t="n">
        <v>0.03602766232087039</v>
      </c>
      <c r="AY164" s="1" t="n">
        <v>-0.0366563222649364</v>
      </c>
      <c r="AZ164" s="1" t="n">
        <v>-0.02975849850209898</v>
      </c>
      <c r="BA164" s="1" t="n">
        <v>-0.03180404754121931</v>
      </c>
      <c r="BB164" s="1" t="n">
        <v>-0.02985310598476073</v>
      </c>
      <c r="BC164" s="1" t="n">
        <v>0.009419494735110428</v>
      </c>
      <c r="BD164" s="1" t="n">
        <v>0.1863606877085184</v>
      </c>
      <c r="BE164" s="1" t="n">
        <v>-0.08194612476359542</v>
      </c>
      <c r="BF164" s="1" t="n">
        <v>-0.006964539032938779</v>
      </c>
      <c r="BG164" s="1" t="n">
        <v>0.03687680048761055</v>
      </c>
      <c r="BH164" s="1" t="n">
        <v>-0.02327657823785619</v>
      </c>
      <c r="BI164" s="1" t="n">
        <v>-0.1110502461617386</v>
      </c>
      <c r="BJ164" s="1" t="n">
        <v>0.01550300383010848</v>
      </c>
      <c r="BK164" s="1" t="n">
        <v>-0.002650821463445372</v>
      </c>
      <c r="BL164" s="1" t="n">
        <v>-0.02457988166297411</v>
      </c>
      <c r="BM164" s="1" t="n">
        <v>0.01199121594826961</v>
      </c>
      <c r="BN164" s="1" t="n">
        <v>-0.00408055644569927</v>
      </c>
      <c r="BO164" s="544" t="n">
        <v>0.02387889373112709</v>
      </c>
      <c r="BP164" s="23" t="n"/>
      <c r="BQ164" s="705" t="n"/>
      <c r="BR164" s="487" t="n"/>
      <c r="BS164" s="487" t="n"/>
      <c r="BT164" s="487" t="n"/>
    </row>
    <row r="165">
      <c r="A165" t="n">
        <v>11</v>
      </c>
      <c r="B165" s="705" t="n">
        <v>0</v>
      </c>
      <c r="C165" s="487" t="n">
        <v>0</v>
      </c>
      <c r="D165" s="487" t="n">
        <v>0</v>
      </c>
      <c r="E165" s="487" t="n">
        <v>0</v>
      </c>
      <c r="F165" s="487" t="n">
        <v>0</v>
      </c>
      <c r="G165" s="487" t="n">
        <v>0</v>
      </c>
      <c r="H165" s="487" t="n">
        <v>0</v>
      </c>
      <c r="I165" s="487" t="n">
        <v>0</v>
      </c>
      <c r="J165" s="487" t="n">
        <v>0</v>
      </c>
      <c r="K165" s="487" t="n">
        <v>0</v>
      </c>
      <c r="L165" s="487" t="n">
        <v>1</v>
      </c>
      <c r="M165" s="487" t="n">
        <v>0</v>
      </c>
      <c r="N165" s="487" t="n">
        <v>0</v>
      </c>
      <c r="O165" s="487" t="n">
        <v>0</v>
      </c>
      <c r="P165" s="487" t="n">
        <v>0</v>
      </c>
      <c r="Q165" s="487" t="n">
        <v>0</v>
      </c>
      <c r="R165" s="487" t="n">
        <v>0</v>
      </c>
      <c r="S165" s="487" t="n">
        <v>0</v>
      </c>
      <c r="T165" s="487" t="n">
        <v>0</v>
      </c>
      <c r="U165" s="487" t="n">
        <v>0</v>
      </c>
      <c r="V165" s="487" t="n">
        <v>0</v>
      </c>
      <c r="W165" s="487" t="n">
        <v>0</v>
      </c>
      <c r="X165" s="487" t="n">
        <v>0</v>
      </c>
      <c r="Y165" s="487" t="n">
        <v>0</v>
      </c>
      <c r="Z165" s="487" t="n">
        <v>0</v>
      </c>
      <c r="AA165" s="487" t="n">
        <v>0</v>
      </c>
      <c r="AB165" s="487" t="n">
        <v>0</v>
      </c>
      <c r="AC165" s="487" t="n">
        <v>0</v>
      </c>
      <c r="AD165" s="487" t="n">
        <v>0</v>
      </c>
      <c r="AE165" s="487" t="n">
        <v>0</v>
      </c>
      <c r="AF165" s="487" t="n">
        <v>0</v>
      </c>
      <c r="AG165" s="753" t="n">
        <v>0</v>
      </c>
      <c r="AH165" s="704" t="n"/>
      <c r="AI165" s="23" t="n">
        <v>11</v>
      </c>
      <c r="AJ165" s="543" t="n">
        <v>0.2083672033197031</v>
      </c>
      <c r="AK165" s="1" t="n">
        <v>0.005695137928985235</v>
      </c>
      <c r="AL165" s="1" t="n">
        <v>0.02416890235081336</v>
      </c>
      <c r="AM165" s="1" t="n">
        <v>-0.05442035435893676</v>
      </c>
      <c r="AN165" s="1" t="n">
        <v>-0.07589856666094177</v>
      </c>
      <c r="AO165" s="1" t="n">
        <v>0.1074210841042069</v>
      </c>
      <c r="AP165" s="1" t="n">
        <v>-0.01529333682792099</v>
      </c>
      <c r="AQ165" s="1" t="n">
        <v>-0.05442028325673565</v>
      </c>
      <c r="AR165" s="1" t="n">
        <v>-0.03351878545938364</v>
      </c>
      <c r="AS165" s="1" t="n">
        <v>0.241040002075003</v>
      </c>
      <c r="AT165" s="1" t="n">
        <v>0.470353687449354</v>
      </c>
      <c r="AU165" s="1" t="n">
        <v>0.2083668920079434</v>
      </c>
      <c r="AV165" s="1" t="n">
        <v>-0.06381591362357612</v>
      </c>
      <c r="AW165" s="1" t="n">
        <v>-0.130795011195913</v>
      </c>
      <c r="AX165" s="1" t="n">
        <v>-0.01206533178943224</v>
      </c>
      <c r="AY165" s="1" t="n">
        <v>0.01990799016749887</v>
      </c>
      <c r="AZ165" s="1" t="n">
        <v>0.006969318240715464</v>
      </c>
      <c r="BA165" s="1" t="n">
        <v>-0.02803309435398211</v>
      </c>
      <c r="BB165" s="1" t="n">
        <v>-0.0473736491304234</v>
      </c>
      <c r="BC165" s="1" t="n">
        <v>0.01220056068787051</v>
      </c>
      <c r="BD165" s="1" t="n">
        <v>-0.03551891782925892</v>
      </c>
      <c r="BE165" s="1" t="n">
        <v>0.08781747638300649</v>
      </c>
      <c r="BF165" s="1" t="n">
        <v>0.0665748450297667</v>
      </c>
      <c r="BG165" s="1" t="n">
        <v>0.07239511269040057</v>
      </c>
      <c r="BH165" s="1" t="n">
        <v>-0.01775173496004691</v>
      </c>
      <c r="BI165" s="1" t="n">
        <v>-0.1735167813138679</v>
      </c>
      <c r="BJ165" s="1" t="n">
        <v>0.02106812475410561</v>
      </c>
      <c r="BK165" s="1" t="n">
        <v>-0.01383752386985255</v>
      </c>
      <c r="BL165" s="1" t="n">
        <v>-0.005026457001440296</v>
      </c>
      <c r="BM165" s="1" t="n">
        <v>0.02650976691887379</v>
      </c>
      <c r="BN165" s="1" t="n">
        <v>-0.05799264526074611</v>
      </c>
      <c r="BO165" s="544" t="n">
        <v>0.01563449402355407</v>
      </c>
      <c r="BP165" s="23" t="n"/>
      <c r="BQ165" s="705" t="n"/>
      <c r="BR165" s="487" t="n"/>
      <c r="BS165" s="487" t="n"/>
      <c r="BT165" s="487" t="n"/>
    </row>
    <row r="166">
      <c r="A166" t="n">
        <v>12</v>
      </c>
      <c r="B166" s="705" t="n">
        <v>0</v>
      </c>
      <c r="C166" s="487" t="n">
        <v>0</v>
      </c>
      <c r="D166" s="487" t="n">
        <v>0</v>
      </c>
      <c r="E166" s="487" t="n">
        <v>0</v>
      </c>
      <c r="F166" s="487" t="n">
        <v>0</v>
      </c>
      <c r="G166" s="487" t="n">
        <v>0</v>
      </c>
      <c r="H166" s="487" t="n">
        <v>0</v>
      </c>
      <c r="I166" s="487" t="n">
        <v>0</v>
      </c>
      <c r="J166" s="487" t="n">
        <v>0</v>
      </c>
      <c r="K166" s="487" t="n">
        <v>0</v>
      </c>
      <c r="L166" s="487" t="n">
        <v>0</v>
      </c>
      <c r="M166" s="487" t="n">
        <v>1</v>
      </c>
      <c r="N166" s="487" t="n">
        <v>0</v>
      </c>
      <c r="O166" s="487" t="n">
        <v>0</v>
      </c>
      <c r="P166" s="487" t="n">
        <v>0</v>
      </c>
      <c r="Q166" s="487" t="n">
        <v>0</v>
      </c>
      <c r="R166" s="487" t="n">
        <v>0</v>
      </c>
      <c r="S166" s="487" t="n">
        <v>0</v>
      </c>
      <c r="T166" s="487" t="n">
        <v>0</v>
      </c>
      <c r="U166" s="487" t="n">
        <v>0</v>
      </c>
      <c r="V166" s="487" t="n">
        <v>0</v>
      </c>
      <c r="W166" s="487" t="n">
        <v>0</v>
      </c>
      <c r="X166" s="487" t="n">
        <v>0</v>
      </c>
      <c r="Y166" s="487" t="n">
        <v>0</v>
      </c>
      <c r="Z166" s="487" t="n">
        <v>0</v>
      </c>
      <c r="AA166" s="487" t="n">
        <v>0</v>
      </c>
      <c r="AB166" s="487" t="n">
        <v>0</v>
      </c>
      <c r="AC166" s="487" t="n">
        <v>0</v>
      </c>
      <c r="AD166" s="487" t="n">
        <v>0</v>
      </c>
      <c r="AE166" s="487" t="n">
        <v>0</v>
      </c>
      <c r="AF166" s="487" t="n">
        <v>0</v>
      </c>
      <c r="AG166" s="753" t="n">
        <v>0</v>
      </c>
      <c r="AH166" s="704" t="n"/>
      <c r="AI166" s="23" t="n">
        <v>12</v>
      </c>
      <c r="AJ166" s="543" t="n">
        <v>0.2655149284812723</v>
      </c>
      <c r="AK166" s="1" t="n">
        <v>-0.004586649376136179</v>
      </c>
      <c r="AL166" s="1" t="n">
        <v>-0.02514518639308351</v>
      </c>
      <c r="AM166" s="1" t="n">
        <v>0.0557109458562821</v>
      </c>
      <c r="AN166" s="1" t="n">
        <v>0.07259884612015274</v>
      </c>
      <c r="AO166" s="1" t="n">
        <v>0.1286046937846972</v>
      </c>
      <c r="AP166" s="1" t="n">
        <v>-0.05720910419985535</v>
      </c>
      <c r="AQ166" s="1" t="n">
        <v>0.05571087306787555</v>
      </c>
      <c r="AR166" s="1" t="n">
        <v>0.04537552445536258</v>
      </c>
      <c r="AS166" s="1" t="n">
        <v>0.09283584049648066</v>
      </c>
      <c r="AT166" s="1" t="n">
        <v>0.2083668920079434</v>
      </c>
      <c r="AU166" s="1" t="n">
        <v>0.2655145317877511</v>
      </c>
      <c r="AV166" s="1" t="n">
        <v>-0.007816098064625802</v>
      </c>
      <c r="AW166" s="1" t="n">
        <v>-0.06153288093843571</v>
      </c>
      <c r="AX166" s="1" t="n">
        <v>-0.003422553211566884</v>
      </c>
      <c r="AY166" s="1" t="n">
        <v>0.01111420068252534</v>
      </c>
      <c r="AZ166" s="1" t="n">
        <v>0.01140147776028266</v>
      </c>
      <c r="BA166" s="1" t="n">
        <v>0.03346613823562984</v>
      </c>
      <c r="BB166" s="1" t="n">
        <v>0.04948647839610241</v>
      </c>
      <c r="BC166" s="1" t="n">
        <v>-0.003678989670068604</v>
      </c>
      <c r="BD166" s="1" t="n">
        <v>-0.04618923594822794</v>
      </c>
      <c r="BE166" s="1" t="n">
        <v>-0.006365561602356101</v>
      </c>
      <c r="BF166" s="1" t="n">
        <v>-0.03246762315016991</v>
      </c>
      <c r="BG166" s="1" t="n">
        <v>-0.07430500724277686</v>
      </c>
      <c r="BH166" s="1" t="n">
        <v>0.06777490799358632</v>
      </c>
      <c r="BI166" s="1" t="n">
        <v>0.09155251994994447</v>
      </c>
      <c r="BJ166" s="1" t="n">
        <v>-0.06626882896647872</v>
      </c>
      <c r="BK166" s="1" t="n">
        <v>-0.0004156634573491934</v>
      </c>
      <c r="BL166" s="1" t="n">
        <v>0.01658683156848967</v>
      </c>
      <c r="BM166" s="1" t="n">
        <v>-0.03875551745833941</v>
      </c>
      <c r="BN166" s="1" t="n">
        <v>0.0471504558187678</v>
      </c>
      <c r="BO166" s="544" t="n">
        <v>-0.02586732265360826</v>
      </c>
      <c r="BP166" s="23" t="n"/>
      <c r="BQ166" s="705" t="n"/>
      <c r="BR166" s="487" t="n"/>
      <c r="BS166" s="487" t="n"/>
      <c r="BT166" s="487" t="n"/>
    </row>
    <row r="167">
      <c r="A167" t="n">
        <v>13</v>
      </c>
      <c r="B167" s="705" t="n">
        <v>0</v>
      </c>
      <c r="C167" s="487" t="n">
        <v>0</v>
      </c>
      <c r="D167" s="487" t="n">
        <v>0</v>
      </c>
      <c r="E167" s="487" t="n">
        <v>0</v>
      </c>
      <c r="F167" s="487" t="n">
        <v>0</v>
      </c>
      <c r="G167" s="487" t="n">
        <v>0</v>
      </c>
      <c r="H167" s="487" t="n">
        <v>0</v>
      </c>
      <c r="I167" s="487" t="n">
        <v>0</v>
      </c>
      <c r="J167" s="487" t="n">
        <v>0</v>
      </c>
      <c r="K167" s="487" t="n">
        <v>0</v>
      </c>
      <c r="L167" s="487" t="n">
        <v>0</v>
      </c>
      <c r="M167" s="487" t="n">
        <v>0</v>
      </c>
      <c r="N167" s="487" t="n">
        <v>1</v>
      </c>
      <c r="O167" s="487" t="n">
        <v>0</v>
      </c>
      <c r="P167" s="487" t="n">
        <v>0</v>
      </c>
      <c r="Q167" s="487" t="n">
        <v>0</v>
      </c>
      <c r="R167" s="487" t="n">
        <v>0</v>
      </c>
      <c r="S167" s="487" t="n">
        <v>0</v>
      </c>
      <c r="T167" s="487" t="n">
        <v>0</v>
      </c>
      <c r="U167" s="487" t="n">
        <v>0</v>
      </c>
      <c r="V167" s="487" t="n">
        <v>0</v>
      </c>
      <c r="W167" s="487" t="n">
        <v>0</v>
      </c>
      <c r="X167" s="487" t="n">
        <v>0</v>
      </c>
      <c r="Y167" s="487" t="n">
        <v>0</v>
      </c>
      <c r="Z167" s="487" t="n">
        <v>0</v>
      </c>
      <c r="AA167" s="487" t="n">
        <v>0</v>
      </c>
      <c r="AB167" s="487" t="n">
        <v>0</v>
      </c>
      <c r="AC167" s="487" t="n">
        <v>0</v>
      </c>
      <c r="AD167" s="487" t="n">
        <v>0</v>
      </c>
      <c r="AE167" s="487" t="n">
        <v>0</v>
      </c>
      <c r="AF167" s="487" t="n">
        <v>0</v>
      </c>
      <c r="AG167" s="753" t="n">
        <v>0</v>
      </c>
      <c r="AH167" s="704" t="n"/>
      <c r="AI167" s="23" t="n">
        <v>13</v>
      </c>
      <c r="AJ167" s="543" t="n">
        <v>-0.00781610974231234</v>
      </c>
      <c r="AK167" s="1" t="n">
        <v>0.03258754239121286</v>
      </c>
      <c r="AL167" s="1" t="n">
        <v>0.003913498334988047</v>
      </c>
      <c r="AM167" s="1" t="n">
        <v>0.01223279021728466</v>
      </c>
      <c r="AN167" s="1" t="n">
        <v>0.07097970637445622</v>
      </c>
      <c r="AO167" s="1" t="n">
        <v>-0.02619398089257961</v>
      </c>
      <c r="AP167" s="1" t="n">
        <v>0.005168871660555425</v>
      </c>
      <c r="AQ167" s="1" t="n">
        <v>0.01223277423469285</v>
      </c>
      <c r="AR167" s="1" t="n">
        <v>0.01613331073098664</v>
      </c>
      <c r="AS167" s="1" t="n">
        <v>0.1174931957929713</v>
      </c>
      <c r="AT167" s="1" t="n">
        <v>-0.06381591362357612</v>
      </c>
      <c r="AU167" s="1" t="n">
        <v>-0.007816098064625854</v>
      </c>
      <c r="AV167" s="1" t="n">
        <v>0.3514132404643114</v>
      </c>
      <c r="AW167" s="1" t="n">
        <v>0.2583520025551018</v>
      </c>
      <c r="AX167" s="1" t="n">
        <v>0.1994885778385148</v>
      </c>
      <c r="AY167" s="1" t="n">
        <v>0.1253872581092393</v>
      </c>
      <c r="AZ167" s="1" t="n">
        <v>0.05921722539199697</v>
      </c>
      <c r="BA167" s="1" t="n">
        <v>0.04556895124779135</v>
      </c>
      <c r="BB167" s="1" t="n">
        <v>0.07448208919018327</v>
      </c>
      <c r="BC167" s="1" t="n">
        <v>-0.03295303453910079</v>
      </c>
      <c r="BD167" s="1" t="n">
        <v>-0.06345350516973375</v>
      </c>
      <c r="BE167" s="1" t="n">
        <v>0.1283477221895419</v>
      </c>
      <c r="BF167" s="1" t="n">
        <v>0.06183677241421372</v>
      </c>
      <c r="BG167" s="1" t="n">
        <v>-0.08990763032377171</v>
      </c>
      <c r="BH167" s="1" t="n">
        <v>-0.03918665275137181</v>
      </c>
      <c r="BI167" s="1" t="n">
        <v>0.002363293641121714</v>
      </c>
      <c r="BJ167" s="1" t="n">
        <v>-0.007594618201771985</v>
      </c>
      <c r="BK167" s="1" t="n">
        <v>-0.01283784643323212</v>
      </c>
      <c r="BL167" s="1" t="n">
        <v>0.08230582581544665</v>
      </c>
      <c r="BM167" s="1" t="n">
        <v>0.01259869202729634</v>
      </c>
      <c r="BN167" s="1" t="n">
        <v>-0.05191075862749171</v>
      </c>
      <c r="BO167" s="544" t="n">
        <v>-0.1557457832470087</v>
      </c>
      <c r="BP167" s="23" t="n"/>
      <c r="BQ167" s="705" t="n"/>
      <c r="BR167" s="487" t="n"/>
      <c r="BS167" s="487" t="n"/>
      <c r="BT167" s="487" t="n"/>
    </row>
    <row r="168">
      <c r="A168" t="n">
        <v>14</v>
      </c>
      <c r="B168" s="705" t="n">
        <v>0</v>
      </c>
      <c r="C168" s="487" t="n">
        <v>0</v>
      </c>
      <c r="D168" s="487" t="n">
        <v>0</v>
      </c>
      <c r="E168" s="487" t="n">
        <v>0</v>
      </c>
      <c r="F168" s="487" t="n">
        <v>0</v>
      </c>
      <c r="G168" s="487" t="n">
        <v>0</v>
      </c>
      <c r="H168" s="487" t="n">
        <v>0</v>
      </c>
      <c r="I168" s="487" t="n">
        <v>0</v>
      </c>
      <c r="J168" s="487" t="n">
        <v>0</v>
      </c>
      <c r="K168" s="487" t="n">
        <v>0</v>
      </c>
      <c r="L168" s="487" t="n">
        <v>0</v>
      </c>
      <c r="M168" s="487" t="n">
        <v>0</v>
      </c>
      <c r="N168" s="487" t="n">
        <v>0</v>
      </c>
      <c r="O168" s="487" t="n">
        <v>1</v>
      </c>
      <c r="P168" s="487" t="n">
        <v>0</v>
      </c>
      <c r="Q168" s="487" t="n">
        <v>0</v>
      </c>
      <c r="R168" s="487" t="n">
        <v>0</v>
      </c>
      <c r="S168" s="487" t="n">
        <v>0</v>
      </c>
      <c r="T168" s="487" t="n">
        <v>0</v>
      </c>
      <c r="U168" s="487" t="n">
        <v>0</v>
      </c>
      <c r="V168" s="487" t="n">
        <v>0</v>
      </c>
      <c r="W168" s="487" t="n">
        <v>0</v>
      </c>
      <c r="X168" s="487" t="n">
        <v>0</v>
      </c>
      <c r="Y168" s="487" t="n">
        <v>0</v>
      </c>
      <c r="Z168" s="487" t="n">
        <v>0</v>
      </c>
      <c r="AA168" s="487" t="n">
        <v>0</v>
      </c>
      <c r="AB168" s="487" t="n">
        <v>0</v>
      </c>
      <c r="AC168" s="487" t="n">
        <v>0</v>
      </c>
      <c r="AD168" s="487" t="n">
        <v>0</v>
      </c>
      <c r="AE168" s="487" t="n">
        <v>0</v>
      </c>
      <c r="AF168" s="487" t="n">
        <v>0</v>
      </c>
      <c r="AG168" s="753" t="n">
        <v>0</v>
      </c>
      <c r="AH168" s="704" t="n"/>
      <c r="AI168" s="23" t="n">
        <v>14</v>
      </c>
      <c r="AJ168" s="543" t="n">
        <v>-0.06153297287199222</v>
      </c>
      <c r="AK168" s="1" t="n">
        <v>-0.01653066811839084</v>
      </c>
      <c r="AL168" s="1" t="n">
        <v>-0.007004161082915577</v>
      </c>
      <c r="AM168" s="1" t="n">
        <v>0.01709493745837199</v>
      </c>
      <c r="AN168" s="1" t="n">
        <v>-0.03263177808440798</v>
      </c>
      <c r="AO168" s="1" t="n">
        <v>-0.00846785182820211</v>
      </c>
      <c r="AP168" s="1" t="n">
        <v>-0.005421778186445726</v>
      </c>
      <c r="AQ168" s="1" t="n">
        <v>0.01709491512320538</v>
      </c>
      <c r="AR168" s="1" t="n">
        <v>0.01137510268009116</v>
      </c>
      <c r="AS168" s="1" t="n">
        <v>0.3004534277452514</v>
      </c>
      <c r="AT168" s="1" t="n">
        <v>-0.130795011195913</v>
      </c>
      <c r="AU168" s="1" t="n">
        <v>-0.06153288093843567</v>
      </c>
      <c r="AV168" s="1" t="n">
        <v>0.2583520025551019</v>
      </c>
      <c r="AW168" s="1" t="n">
        <v>0.5829683763514704</v>
      </c>
      <c r="AX168" s="1" t="n">
        <v>0.09157367074533476</v>
      </c>
      <c r="AY168" s="1" t="n">
        <v>-0.05385572838046865</v>
      </c>
      <c r="AZ168" s="1" t="n">
        <v>-0.0341400111133338</v>
      </c>
      <c r="BA168" s="1" t="n">
        <v>-0.05991131054364238</v>
      </c>
      <c r="BB168" s="1" t="n">
        <v>-0.04149602164619857</v>
      </c>
      <c r="BC168" s="1" t="n">
        <v>0.0221995235279765</v>
      </c>
      <c r="BD168" s="1" t="n">
        <v>-0.07457033706959304</v>
      </c>
      <c r="BE168" s="1" t="n">
        <v>-0.1250819568265714</v>
      </c>
      <c r="BF168" s="1" t="n">
        <v>-0.0007153124683282261</v>
      </c>
      <c r="BG168" s="1" t="n">
        <v>0.0541797680838047</v>
      </c>
      <c r="BH168" s="1" t="n">
        <v>0.05606611936833761</v>
      </c>
      <c r="BI168" s="1" t="n">
        <v>0.09012171891235028</v>
      </c>
      <c r="BJ168" s="1" t="n">
        <v>-0.007993687502164535</v>
      </c>
      <c r="BK168" s="1" t="n">
        <v>0.01416924235416476</v>
      </c>
      <c r="BL168" s="1" t="n">
        <v>-0.04857595097119299</v>
      </c>
      <c r="BM168" s="1" t="n">
        <v>-0.02182712898411359</v>
      </c>
      <c r="BN168" s="1" t="n">
        <v>0.04370085478721298</v>
      </c>
      <c r="BO168" s="544" t="n">
        <v>0.02328838774057587</v>
      </c>
      <c r="BP168" s="23" t="n"/>
      <c r="BQ168" s="705" t="n"/>
      <c r="BR168" s="487" t="n"/>
      <c r="BS168" s="487" t="n"/>
      <c r="BT168" s="487" t="n"/>
    </row>
    <row r="169">
      <c r="A169" t="n">
        <v>15</v>
      </c>
      <c r="B169" s="705" t="n">
        <v>0</v>
      </c>
      <c r="C169" s="487" t="n">
        <v>0</v>
      </c>
      <c r="D169" s="487" t="n">
        <v>0</v>
      </c>
      <c r="E169" s="487" t="n">
        <v>0</v>
      </c>
      <c r="F169" s="487" t="n">
        <v>0</v>
      </c>
      <c r="G169" s="487" t="n">
        <v>0</v>
      </c>
      <c r="H169" s="487" t="n">
        <v>0</v>
      </c>
      <c r="I169" s="487" t="n">
        <v>0</v>
      </c>
      <c r="J169" s="487" t="n">
        <v>0</v>
      </c>
      <c r="K169" s="487" t="n">
        <v>0</v>
      </c>
      <c r="L169" s="487" t="n">
        <v>0</v>
      </c>
      <c r="M169" s="487" t="n">
        <v>0</v>
      </c>
      <c r="N169" s="487" t="n">
        <v>0</v>
      </c>
      <c r="O169" s="487" t="n">
        <v>0</v>
      </c>
      <c r="P169" s="487" t="n">
        <v>1</v>
      </c>
      <c r="Q169" s="487" t="n">
        <v>0</v>
      </c>
      <c r="R169" s="487" t="n">
        <v>0</v>
      </c>
      <c r="S169" s="487" t="n">
        <v>0</v>
      </c>
      <c r="T169" s="487" t="n">
        <v>0</v>
      </c>
      <c r="U169" s="487" t="n">
        <v>0</v>
      </c>
      <c r="V169" s="487" t="n">
        <v>0</v>
      </c>
      <c r="W169" s="487" t="n">
        <v>0</v>
      </c>
      <c r="X169" s="487" t="n">
        <v>0</v>
      </c>
      <c r="Y169" s="487" t="n">
        <v>0</v>
      </c>
      <c r="Z169" s="487" t="n">
        <v>0</v>
      </c>
      <c r="AA169" s="487" t="n">
        <v>0</v>
      </c>
      <c r="AB169" s="487" t="n">
        <v>0</v>
      </c>
      <c r="AC169" s="487" t="n">
        <v>0</v>
      </c>
      <c r="AD169" s="487" t="n">
        <v>0</v>
      </c>
      <c r="AE169" s="487" t="n">
        <v>0</v>
      </c>
      <c r="AF169" s="487" t="n">
        <v>0</v>
      </c>
      <c r="AG169" s="753" t="n">
        <v>0</v>
      </c>
      <c r="AH169" s="704" t="n"/>
      <c r="AI169" s="23" t="n">
        <v>15</v>
      </c>
      <c r="AJ169" s="543" t="n">
        <v>-0.003422558325052298</v>
      </c>
      <c r="AK169" s="1" t="n">
        <v>0.007601043431728131</v>
      </c>
      <c r="AL169" s="1" t="n">
        <v>-0.001807323661064323</v>
      </c>
      <c r="AM169" s="1" t="n">
        <v>-0.0006975147267583564</v>
      </c>
      <c r="AN169" s="1" t="n">
        <v>0.04355955306684366</v>
      </c>
      <c r="AO169" s="1" t="n">
        <v>-0.02088352800120597</v>
      </c>
      <c r="AP169" s="1" t="n">
        <v>0.006963641220783669</v>
      </c>
      <c r="AQ169" s="1" t="n">
        <v>-0.0006975138154296226</v>
      </c>
      <c r="AR169" s="1" t="n">
        <v>-0.003248901266539277</v>
      </c>
      <c r="AS169" s="1" t="n">
        <v>0.03602766232087057</v>
      </c>
      <c r="AT169" s="1" t="n">
        <v>-0.01206533178943221</v>
      </c>
      <c r="AU169" s="1" t="n">
        <v>-0.003422553211566903</v>
      </c>
      <c r="AV169" s="1" t="n">
        <v>0.1994885778385146</v>
      </c>
      <c r="AW169" s="1" t="n">
        <v>0.09157367074533472</v>
      </c>
      <c r="AX169" s="1" t="n">
        <v>0.30842411295149</v>
      </c>
      <c r="AY169" s="1" t="n">
        <v>0.001113707274312966</v>
      </c>
      <c r="AZ169" s="1" t="n">
        <v>0.05064030198678695</v>
      </c>
      <c r="BA169" s="1" t="n">
        <v>0.1520470986176838</v>
      </c>
      <c r="BB169" s="1" t="n">
        <v>0.04404810914419152</v>
      </c>
      <c r="BC169" s="1" t="n">
        <v>-0.02251917707373215</v>
      </c>
      <c r="BD169" s="1" t="n">
        <v>-0.05870167242473637</v>
      </c>
      <c r="BE169" s="1" t="n">
        <v>0.2895526943706746</v>
      </c>
      <c r="BF169" s="1" t="n">
        <v>-0.09510897137724603</v>
      </c>
      <c r="BG169" s="1" t="n">
        <v>-0.0664215396591611</v>
      </c>
      <c r="BH169" s="1" t="n">
        <v>-0.03947538424309621</v>
      </c>
      <c r="BI169" s="1" t="n">
        <v>-0.02984512666643483</v>
      </c>
      <c r="BJ169" s="1" t="n">
        <v>0.004334476048433256</v>
      </c>
      <c r="BK169" s="1" t="n">
        <v>-0.01133203471735213</v>
      </c>
      <c r="BL169" s="1" t="n">
        <v>0.03905277602905042</v>
      </c>
      <c r="BM169" s="1" t="n">
        <v>0.01413420150545498</v>
      </c>
      <c r="BN169" s="1" t="n">
        <v>-0.02117319300473118</v>
      </c>
      <c r="BO169" s="544" t="n">
        <v>0.1659839207927141</v>
      </c>
      <c r="BP169" s="23" t="n"/>
      <c r="BQ169" s="705" t="n"/>
      <c r="BR169" s="487" t="n"/>
      <c r="BS169" s="487" t="n"/>
      <c r="BT169" s="487" t="n"/>
    </row>
    <row r="170">
      <c r="A170" t="n">
        <v>16</v>
      </c>
      <c r="B170" s="705" t="n">
        <v>0</v>
      </c>
      <c r="C170" s="487" t="n">
        <v>0</v>
      </c>
      <c r="D170" s="487" t="n">
        <v>0</v>
      </c>
      <c r="E170" s="487" t="n">
        <v>0</v>
      </c>
      <c r="F170" s="487" t="n">
        <v>0</v>
      </c>
      <c r="G170" s="487" t="n">
        <v>0</v>
      </c>
      <c r="H170" s="487" t="n">
        <v>0</v>
      </c>
      <c r="I170" s="487" t="n">
        <v>0</v>
      </c>
      <c r="J170" s="487" t="n">
        <v>0</v>
      </c>
      <c r="K170" s="487" t="n">
        <v>0</v>
      </c>
      <c r="L170" s="487" t="n">
        <v>0</v>
      </c>
      <c r="M170" s="487" t="n">
        <v>0</v>
      </c>
      <c r="N170" s="487" t="n">
        <v>0</v>
      </c>
      <c r="O170" s="487" t="n">
        <v>0</v>
      </c>
      <c r="P170" s="487" t="n">
        <v>0</v>
      </c>
      <c r="Q170" s="487" t="n">
        <v>1</v>
      </c>
      <c r="R170" s="487" t="n">
        <v>0</v>
      </c>
      <c r="S170" s="487" t="n">
        <v>0</v>
      </c>
      <c r="T170" s="487" t="n">
        <v>0</v>
      </c>
      <c r="U170" s="487" t="n">
        <v>0</v>
      </c>
      <c r="V170" s="487" t="n">
        <v>0</v>
      </c>
      <c r="W170" s="487" t="n">
        <v>0</v>
      </c>
      <c r="X170" s="487" t="n">
        <v>0</v>
      </c>
      <c r="Y170" s="487" t="n">
        <v>0</v>
      </c>
      <c r="Z170" s="487" t="n">
        <v>0</v>
      </c>
      <c r="AA170" s="487" t="n">
        <v>0</v>
      </c>
      <c r="AB170" s="487" t="n">
        <v>0</v>
      </c>
      <c r="AC170" s="487" t="n">
        <v>0</v>
      </c>
      <c r="AD170" s="487" t="n">
        <v>0</v>
      </c>
      <c r="AE170" s="487" t="n">
        <v>0</v>
      </c>
      <c r="AF170" s="487" t="n">
        <v>0</v>
      </c>
      <c r="AG170" s="753" t="n">
        <v>0</v>
      </c>
      <c r="AH170" s="704" t="n"/>
      <c r="AI170" s="23" t="n">
        <v>16</v>
      </c>
      <c r="AJ170" s="543" t="n">
        <v>0.01111421728776112</v>
      </c>
      <c r="AK170" s="1" t="n">
        <v>-0.009675547400277131</v>
      </c>
      <c r="AL170" s="1" t="n">
        <v>-0.006325386809883322</v>
      </c>
      <c r="AM170" s="1" t="n">
        <v>-0.00543758377936306</v>
      </c>
      <c r="AN170" s="1" t="n">
        <v>0.03785042139376719</v>
      </c>
      <c r="AO170" s="1" t="n">
        <v>-0.01847167442388982</v>
      </c>
      <c r="AP170" s="1" t="n">
        <v>-0.002409925277886615</v>
      </c>
      <c r="AQ170" s="1" t="n">
        <v>-0.005437576674959191</v>
      </c>
      <c r="AR170" s="1" t="n">
        <v>-0.01598158917279593</v>
      </c>
      <c r="AS170" s="1" t="n">
        <v>-0.0366563222649363</v>
      </c>
      <c r="AT170" s="1" t="n">
        <v>0.01990799016749885</v>
      </c>
      <c r="AU170" s="1" t="n">
        <v>0.0111142006825253</v>
      </c>
      <c r="AV170" s="1" t="n">
        <v>0.1253872581092394</v>
      </c>
      <c r="AW170" s="1" t="n">
        <v>-0.05385572838046874</v>
      </c>
      <c r="AX170" s="1" t="n">
        <v>0.001113707274313078</v>
      </c>
      <c r="AY170" s="1" t="n">
        <v>0.3272401493431888</v>
      </c>
      <c r="AZ170" s="1" t="n">
        <v>0.2153580034902632</v>
      </c>
      <c r="BA170" s="1" t="n">
        <v>0.1201631261101893</v>
      </c>
      <c r="BB170" s="1" t="n">
        <v>0.04543820376855388</v>
      </c>
      <c r="BC170" s="1" t="n">
        <v>-0.03668327546413576</v>
      </c>
      <c r="BD170" s="1" t="n">
        <v>-0.03268928485419126</v>
      </c>
      <c r="BE170" s="1" t="n">
        <v>-0.09890488962345109</v>
      </c>
      <c r="BF170" s="1" t="n">
        <v>0.3137786900277659</v>
      </c>
      <c r="BG170" s="1" t="n">
        <v>-0.1018678600586363</v>
      </c>
      <c r="BH170" s="1" t="n">
        <v>-0.0366907189831304</v>
      </c>
      <c r="BI170" s="1" t="n">
        <v>-0.04362593650835686</v>
      </c>
      <c r="BJ170" s="1" t="n">
        <v>0.02277902896546133</v>
      </c>
      <c r="BK170" s="1" t="n">
        <v>-0.0355430149255919</v>
      </c>
      <c r="BL170" s="1" t="n">
        <v>0.04816081969468797</v>
      </c>
      <c r="BM170" s="1" t="n">
        <v>0.03762901456087538</v>
      </c>
      <c r="BN170" s="1" t="n">
        <v>-0.04251325230208882</v>
      </c>
      <c r="BO170" s="544" t="n">
        <v>-0.05317563762107442</v>
      </c>
      <c r="BP170" s="23" t="n"/>
      <c r="BQ170" s="705" t="n"/>
      <c r="BR170" s="487" t="n"/>
      <c r="BS170" s="487" t="n"/>
      <c r="BT170" s="487" t="n"/>
    </row>
    <row r="171">
      <c r="A171" t="n">
        <v>17</v>
      </c>
      <c r="B171" s="705" t="n">
        <v>0</v>
      </c>
      <c r="C171" s="487" t="n">
        <v>0</v>
      </c>
      <c r="D171" s="487" t="n">
        <v>0</v>
      </c>
      <c r="E171" s="487" t="n">
        <v>0</v>
      </c>
      <c r="F171" s="487" t="n">
        <v>0</v>
      </c>
      <c r="G171" s="487" t="n">
        <v>0</v>
      </c>
      <c r="H171" s="487" t="n">
        <v>0</v>
      </c>
      <c r="I171" s="487" t="n">
        <v>0</v>
      </c>
      <c r="J171" s="487" t="n">
        <v>0</v>
      </c>
      <c r="K171" s="487" t="n">
        <v>0</v>
      </c>
      <c r="L171" s="487" t="n">
        <v>0</v>
      </c>
      <c r="M171" s="487" t="n">
        <v>0</v>
      </c>
      <c r="N171" s="487" t="n">
        <v>0</v>
      </c>
      <c r="O171" s="487" t="n">
        <v>0</v>
      </c>
      <c r="P171" s="487" t="n">
        <v>0</v>
      </c>
      <c r="Q171" s="487" t="n">
        <v>0</v>
      </c>
      <c r="R171" s="487" t="n">
        <v>1</v>
      </c>
      <c r="S171" s="487" t="n">
        <v>0</v>
      </c>
      <c r="T171" s="487" t="n">
        <v>0</v>
      </c>
      <c r="U171" s="487" t="n">
        <v>0</v>
      </c>
      <c r="V171" s="487" t="n">
        <v>0</v>
      </c>
      <c r="W171" s="487" t="n">
        <v>0</v>
      </c>
      <c r="X171" s="487" t="n">
        <v>0</v>
      </c>
      <c r="Y171" s="487" t="n">
        <v>0</v>
      </c>
      <c r="Z171" s="487" t="n">
        <v>0</v>
      </c>
      <c r="AA171" s="487" t="n">
        <v>0</v>
      </c>
      <c r="AB171" s="487" t="n">
        <v>0</v>
      </c>
      <c r="AC171" s="487" t="n">
        <v>0</v>
      </c>
      <c r="AD171" s="487" t="n">
        <v>0</v>
      </c>
      <c r="AE171" s="487" t="n">
        <v>0</v>
      </c>
      <c r="AF171" s="487" t="n">
        <v>0</v>
      </c>
      <c r="AG171" s="753" t="n">
        <v>0</v>
      </c>
      <c r="AH171" s="704" t="n"/>
      <c r="AI171" s="23" t="n">
        <v>17</v>
      </c>
      <c r="AJ171" s="543" t="n">
        <v>0.01140149479472643</v>
      </c>
      <c r="AK171" s="1" t="n">
        <v>0.1072162623763002</v>
      </c>
      <c r="AL171" s="1" t="n">
        <v>0.03104727735210991</v>
      </c>
      <c r="AM171" s="1" t="n">
        <v>0.003286706841081403</v>
      </c>
      <c r="AN171" s="1" t="n">
        <v>0.07785093727603093</v>
      </c>
      <c r="AO171" s="1" t="n">
        <v>-0.002696044899369377</v>
      </c>
      <c r="AP171" s="1" t="n">
        <v>0.04937570180935117</v>
      </c>
      <c r="AQ171" s="1" t="n">
        <v>0.003286702546877619</v>
      </c>
      <c r="AR171" s="1" t="n">
        <v>0.04864292500816361</v>
      </c>
      <c r="AS171" s="1" t="n">
        <v>-0.029758498502099</v>
      </c>
      <c r="AT171" s="1" t="n">
        <v>0.00696931824071545</v>
      </c>
      <c r="AU171" s="1" t="n">
        <v>0.01140147776028268</v>
      </c>
      <c r="AV171" s="1" t="n">
        <v>0.05921722539199697</v>
      </c>
      <c r="AW171" s="1" t="n">
        <v>-0.03414001111333377</v>
      </c>
      <c r="AX171" s="1" t="n">
        <v>0.050640301986787</v>
      </c>
      <c r="AY171" s="1" t="n">
        <v>0.2153580034902632</v>
      </c>
      <c r="AZ171" s="1" t="n">
        <v>0.3005427669966975</v>
      </c>
      <c r="BA171" s="1" t="n">
        <v>0.1788412043141768</v>
      </c>
      <c r="BB171" s="1" t="n">
        <v>0.05785075581306318</v>
      </c>
      <c r="BC171" s="1" t="n">
        <v>0.03174481940607915</v>
      </c>
      <c r="BD171" s="1" t="n">
        <v>-0.02696207302751902</v>
      </c>
      <c r="BE171" s="1" t="n">
        <v>-0.09311240140686428</v>
      </c>
      <c r="BF171" s="1" t="n">
        <v>0.1703231568967539</v>
      </c>
      <c r="BG171" s="1" t="n">
        <v>0.08144026721284306</v>
      </c>
      <c r="BH171" s="1" t="n">
        <v>-0.08646139446019066</v>
      </c>
      <c r="BI171" s="1" t="n">
        <v>-0.04522755521502305</v>
      </c>
      <c r="BJ171" s="1" t="n">
        <v>-0.07673547688908966</v>
      </c>
      <c r="BK171" s="1" t="n">
        <v>0.09080955442687542</v>
      </c>
      <c r="BL171" s="1" t="n">
        <v>0.03527790109846721</v>
      </c>
      <c r="BM171" s="1" t="n">
        <v>-0.07846698971604696</v>
      </c>
      <c r="BN171" s="1" t="n">
        <v>0.03104007110158987</v>
      </c>
      <c r="BO171" s="544" t="n">
        <v>0.1365835755461868</v>
      </c>
      <c r="BP171" s="23" t="n"/>
      <c r="BQ171" s="705" t="n"/>
      <c r="BR171" s="487" t="n"/>
      <c r="BS171" s="487" t="n"/>
      <c r="BT171" s="487" t="n"/>
    </row>
    <row r="172">
      <c r="A172" t="n">
        <v>18</v>
      </c>
      <c r="B172" s="705" t="n">
        <v>0</v>
      </c>
      <c r="C172" s="487" t="n">
        <v>0</v>
      </c>
      <c r="D172" s="487" t="n">
        <v>0</v>
      </c>
      <c r="E172" s="487" t="n">
        <v>0</v>
      </c>
      <c r="F172" s="487" t="n">
        <v>0</v>
      </c>
      <c r="G172" s="487" t="n">
        <v>0</v>
      </c>
      <c r="H172" s="487" t="n">
        <v>0</v>
      </c>
      <c r="I172" s="487" t="n">
        <v>0</v>
      </c>
      <c r="J172" s="487" t="n">
        <v>0</v>
      </c>
      <c r="K172" s="487" t="n">
        <v>0</v>
      </c>
      <c r="L172" s="487" t="n">
        <v>0</v>
      </c>
      <c r="M172" s="487" t="n">
        <v>0</v>
      </c>
      <c r="N172" s="487" t="n">
        <v>0</v>
      </c>
      <c r="O172" s="487" t="n">
        <v>0</v>
      </c>
      <c r="P172" s="487" t="n">
        <v>0</v>
      </c>
      <c r="Q172" s="487" t="n">
        <v>0</v>
      </c>
      <c r="R172" s="487" t="n">
        <v>0</v>
      </c>
      <c r="S172" s="487" t="n">
        <v>1</v>
      </c>
      <c r="T172" s="487" t="n">
        <v>0</v>
      </c>
      <c r="U172" s="487" t="n">
        <v>0</v>
      </c>
      <c r="V172" s="487" t="n">
        <v>0</v>
      </c>
      <c r="W172" s="487" t="n">
        <v>0</v>
      </c>
      <c r="X172" s="487" t="n">
        <v>0</v>
      </c>
      <c r="Y172" s="487" t="n">
        <v>0</v>
      </c>
      <c r="Z172" s="487" t="n">
        <v>0</v>
      </c>
      <c r="AA172" s="487" t="n">
        <v>0</v>
      </c>
      <c r="AB172" s="487" t="n">
        <v>0</v>
      </c>
      <c r="AC172" s="487" t="n">
        <v>0</v>
      </c>
      <c r="AD172" s="487" t="n">
        <v>0</v>
      </c>
      <c r="AE172" s="487" t="n">
        <v>0</v>
      </c>
      <c r="AF172" s="487" t="n">
        <v>0</v>
      </c>
      <c r="AG172" s="753" t="n">
        <v>0</v>
      </c>
      <c r="AH172" s="704" t="n"/>
      <c r="AI172" s="23" t="n">
        <v>18</v>
      </c>
      <c r="AJ172" s="543" t="n">
        <v>0.03346618823590718</v>
      </c>
      <c r="AK172" s="1" t="n">
        <v>0.04424580522307391</v>
      </c>
      <c r="AL172" s="1" t="n">
        <v>0.01330415663633983</v>
      </c>
      <c r="AM172" s="1" t="n">
        <v>0.01966480534370837</v>
      </c>
      <c r="AN172" s="1" t="n">
        <v>0.04508624021858279</v>
      </c>
      <c r="AO172" s="1" t="n">
        <v>0.007429510648082199</v>
      </c>
      <c r="AP172" s="1" t="n">
        <v>-0.01692665638065249</v>
      </c>
      <c r="AQ172" s="1" t="n">
        <v>0.01966477965091455</v>
      </c>
      <c r="AR172" s="1" t="n">
        <v>0.03096357602493108</v>
      </c>
      <c r="AS172" s="1" t="n">
        <v>-0.03180404754121941</v>
      </c>
      <c r="AT172" s="1" t="n">
        <v>-0.02803309435398207</v>
      </c>
      <c r="AU172" s="1" t="n">
        <v>0.03346613823562986</v>
      </c>
      <c r="AV172" s="1" t="n">
        <v>0.04556895124779131</v>
      </c>
      <c r="AW172" s="1" t="n">
        <v>-0.05991131054364229</v>
      </c>
      <c r="AX172" s="1" t="n">
        <v>0.1520470986176838</v>
      </c>
      <c r="AY172" s="1" t="n">
        <v>0.1201631261101893</v>
      </c>
      <c r="AZ172" s="1" t="n">
        <v>0.1788412043141768</v>
      </c>
      <c r="BA172" s="1" t="n">
        <v>0.2917425975819045</v>
      </c>
      <c r="BB172" s="1" t="n">
        <v>0.06354892916736755</v>
      </c>
      <c r="BC172" s="1" t="n">
        <v>-0.03491106352929275</v>
      </c>
      <c r="BD172" s="1" t="n">
        <v>0.08809452019912534</v>
      </c>
      <c r="BE172" s="1" t="n">
        <v>-0.03437698075048215</v>
      </c>
      <c r="BF172" s="1" t="n">
        <v>-0.03260459656905965</v>
      </c>
      <c r="BG172" s="1" t="n">
        <v>-0.07352833247441158</v>
      </c>
      <c r="BH172" s="1" t="n">
        <v>0.00668551497538971</v>
      </c>
      <c r="BI172" s="1" t="n">
        <v>0.04572987461943833</v>
      </c>
      <c r="BJ172" s="1" t="n">
        <v>-0.008771981749374358</v>
      </c>
      <c r="BK172" s="1" t="n">
        <v>-0.02813626685743255</v>
      </c>
      <c r="BL172" s="1" t="n">
        <v>0.1095951633761858</v>
      </c>
      <c r="BM172" s="1" t="n">
        <v>0.0212890591408809</v>
      </c>
      <c r="BN172" s="1" t="n">
        <v>-0.102308034136753</v>
      </c>
      <c r="BO172" s="544" t="n">
        <v>0.2730159833621025</v>
      </c>
      <c r="BP172" s="23" t="n"/>
      <c r="BQ172" s="705" t="n"/>
      <c r="BR172" s="487" t="n"/>
      <c r="BS172" s="487" t="n"/>
      <c r="BT172" s="487" t="n"/>
    </row>
    <row r="173">
      <c r="A173" t="n">
        <v>19</v>
      </c>
      <c r="B173" s="705" t="n">
        <v>0</v>
      </c>
      <c r="C173" s="487" t="n">
        <v>0</v>
      </c>
      <c r="D173" s="487" t="n">
        <v>0</v>
      </c>
      <c r="E173" s="487" t="n">
        <v>0</v>
      </c>
      <c r="F173" s="487" t="n">
        <v>0</v>
      </c>
      <c r="G173" s="487" t="n">
        <v>0</v>
      </c>
      <c r="H173" s="487" t="n">
        <v>0</v>
      </c>
      <c r="I173" s="487" t="n">
        <v>0</v>
      </c>
      <c r="J173" s="487" t="n">
        <v>0</v>
      </c>
      <c r="K173" s="487" t="n">
        <v>0</v>
      </c>
      <c r="L173" s="487" t="n">
        <v>0</v>
      </c>
      <c r="M173" s="487" t="n">
        <v>0</v>
      </c>
      <c r="N173" s="487" t="n">
        <v>0</v>
      </c>
      <c r="O173" s="487" t="n">
        <v>0</v>
      </c>
      <c r="P173" s="487" t="n">
        <v>0</v>
      </c>
      <c r="Q173" s="487" t="n">
        <v>0</v>
      </c>
      <c r="R173" s="487" t="n">
        <v>0</v>
      </c>
      <c r="S173" s="487" t="n">
        <v>0</v>
      </c>
      <c r="T173" s="487" t="n">
        <v>1</v>
      </c>
      <c r="U173" s="487" t="n">
        <v>0</v>
      </c>
      <c r="V173" s="487" t="n">
        <v>0</v>
      </c>
      <c r="W173" s="487" t="n">
        <v>0</v>
      </c>
      <c r="X173" s="487" t="n">
        <v>0</v>
      </c>
      <c r="Y173" s="487" t="n">
        <v>0</v>
      </c>
      <c r="Z173" s="487" t="n">
        <v>0</v>
      </c>
      <c r="AA173" s="487" t="n">
        <v>0</v>
      </c>
      <c r="AB173" s="487" t="n">
        <v>0</v>
      </c>
      <c r="AC173" s="487" t="n">
        <v>0</v>
      </c>
      <c r="AD173" s="487" t="n">
        <v>0</v>
      </c>
      <c r="AE173" s="487" t="n">
        <v>0</v>
      </c>
      <c r="AF173" s="487" t="n">
        <v>0</v>
      </c>
      <c r="AG173" s="753" t="n">
        <v>0</v>
      </c>
      <c r="AH173" s="704" t="n"/>
      <c r="AI173" s="23" t="n">
        <v>19</v>
      </c>
      <c r="AJ173" s="543" t="n">
        <v>0.04948655233166149</v>
      </c>
      <c r="AK173" s="1" t="n">
        <v>0.055621797974057</v>
      </c>
      <c r="AL173" s="1" t="n">
        <v>0.1758855451078052</v>
      </c>
      <c r="AM173" s="1" t="n">
        <v>0.01050748804631607</v>
      </c>
      <c r="AN173" s="1" t="n">
        <v>0.1195778297030721</v>
      </c>
      <c r="AO173" s="1" t="n">
        <v>-0.003620916405080042</v>
      </c>
      <c r="AP173" s="1" t="n">
        <v>-0.02537039698778697</v>
      </c>
      <c r="AQ173" s="1" t="n">
        <v>0.01050747431789519</v>
      </c>
      <c r="AR173" s="1" t="n">
        <v>0.1595715360825059</v>
      </c>
      <c r="AS173" s="1" t="n">
        <v>-0.02985310598476074</v>
      </c>
      <c r="AT173" s="1" t="n">
        <v>-0.0473736491304234</v>
      </c>
      <c r="AU173" s="1" t="n">
        <v>0.04948647839610236</v>
      </c>
      <c r="AV173" s="1" t="n">
        <v>0.07448208919018316</v>
      </c>
      <c r="AW173" s="1" t="n">
        <v>-0.04149602164619876</v>
      </c>
      <c r="AX173" s="1" t="n">
        <v>0.04404810914419177</v>
      </c>
      <c r="AY173" s="1" t="n">
        <v>0.0454382037685537</v>
      </c>
      <c r="AZ173" s="1" t="n">
        <v>0.05785075581306318</v>
      </c>
      <c r="BA173" s="1" t="n">
        <v>0.06354892916736765</v>
      </c>
      <c r="BB173" s="1" t="n">
        <v>0.2918674994107393</v>
      </c>
      <c r="BC173" s="1" t="n">
        <v>0.2290225769444584</v>
      </c>
      <c r="BD173" s="1" t="n">
        <v>0.09587026389028805</v>
      </c>
      <c r="BE173" s="1" t="n">
        <v>0.02734402568393172</v>
      </c>
      <c r="BF173" s="1" t="n">
        <v>-0.04422360979248478</v>
      </c>
      <c r="BG173" s="1" t="n">
        <v>-0.06680749727941566</v>
      </c>
      <c r="BH173" s="1" t="n">
        <v>-0.06074999179841675</v>
      </c>
      <c r="BI173" s="1" t="n">
        <v>0.0485668092960974</v>
      </c>
      <c r="BJ173" s="1" t="n">
        <v>-0.008272791714943079</v>
      </c>
      <c r="BK173" s="1" t="n">
        <v>-0.1228320024587242</v>
      </c>
      <c r="BL173" s="1" t="n">
        <v>-0.07885982578756565</v>
      </c>
      <c r="BM173" s="1" t="n">
        <v>0.025387443585242</v>
      </c>
      <c r="BN173" s="1" t="n">
        <v>0.02097463043649268</v>
      </c>
      <c r="BO173" s="544" t="n">
        <v>-0.08944894431948321</v>
      </c>
      <c r="BP173" s="23" t="n"/>
      <c r="BQ173" s="705" t="n"/>
      <c r="BR173" s="487" t="n"/>
      <c r="BS173" s="487" t="n"/>
      <c r="BT173" s="487" t="n"/>
    </row>
    <row r="174">
      <c r="A174" t="n">
        <v>20</v>
      </c>
      <c r="B174" s="705" t="n">
        <v>0</v>
      </c>
      <c r="C174" s="487" t="n">
        <v>0</v>
      </c>
      <c r="D174" s="487" t="n">
        <v>0</v>
      </c>
      <c r="E174" s="487" t="n">
        <v>0</v>
      </c>
      <c r="F174" s="487" t="n">
        <v>0</v>
      </c>
      <c r="G174" s="487" t="n">
        <v>0</v>
      </c>
      <c r="H174" s="487" t="n">
        <v>0</v>
      </c>
      <c r="I174" s="487" t="n">
        <v>0</v>
      </c>
      <c r="J174" s="487" t="n">
        <v>0</v>
      </c>
      <c r="K174" s="487" t="n">
        <v>0</v>
      </c>
      <c r="L174" s="487" t="n">
        <v>0</v>
      </c>
      <c r="M174" s="487" t="n">
        <v>0</v>
      </c>
      <c r="N174" s="487" t="n">
        <v>0</v>
      </c>
      <c r="O174" s="487" t="n">
        <v>0</v>
      </c>
      <c r="P174" s="487" t="n">
        <v>0</v>
      </c>
      <c r="Q174" s="487" t="n">
        <v>0</v>
      </c>
      <c r="R174" s="487" t="n">
        <v>0</v>
      </c>
      <c r="S174" s="487" t="n">
        <v>0</v>
      </c>
      <c r="T174" s="487" t="n">
        <v>0</v>
      </c>
      <c r="U174" s="487" t="n">
        <v>1</v>
      </c>
      <c r="V174" s="487" t="n">
        <v>0</v>
      </c>
      <c r="W174" s="487" t="n">
        <v>0</v>
      </c>
      <c r="X174" s="487" t="n">
        <v>0</v>
      </c>
      <c r="Y174" s="487" t="n">
        <v>0</v>
      </c>
      <c r="Z174" s="487" t="n">
        <v>0</v>
      </c>
      <c r="AA174" s="487" t="n">
        <v>0</v>
      </c>
      <c r="AB174" s="487" t="n">
        <v>0</v>
      </c>
      <c r="AC174" s="487" t="n">
        <v>0</v>
      </c>
      <c r="AD174" s="487" t="n">
        <v>0</v>
      </c>
      <c r="AE174" s="487" t="n">
        <v>0</v>
      </c>
      <c r="AF174" s="487" t="n">
        <v>0</v>
      </c>
      <c r="AG174" s="753" t="n">
        <v>0</v>
      </c>
      <c r="AH174" s="704" t="n"/>
      <c r="AI174" s="23" t="n">
        <v>20</v>
      </c>
      <c r="AJ174" s="543" t="n">
        <v>-0.003678995166684384</v>
      </c>
      <c r="AK174" s="1" t="n">
        <v>0.04271701676241865</v>
      </c>
      <c r="AL174" s="1" t="n">
        <v>0.1696800932772772</v>
      </c>
      <c r="AM174" s="1" t="n">
        <v>-0.03607725099688393</v>
      </c>
      <c r="AN174" s="1" t="n">
        <v>0.007906112256961893</v>
      </c>
      <c r="AO174" s="1" t="n">
        <v>-0.02965808645611081</v>
      </c>
      <c r="AP174" s="1" t="n">
        <v>-0.05511244729893845</v>
      </c>
      <c r="AQ174" s="1" t="n">
        <v>-0.03607720386062427</v>
      </c>
      <c r="AR174" s="1" t="n">
        <v>0.0826927456267626</v>
      </c>
      <c r="AS174" s="1" t="n">
        <v>0.009419494735110473</v>
      </c>
      <c r="AT174" s="1" t="n">
        <v>0.01220056068787063</v>
      </c>
      <c r="AU174" s="1" t="n">
        <v>-0.003678989670068623</v>
      </c>
      <c r="AV174" s="1" t="n">
        <v>-0.03295303453910084</v>
      </c>
      <c r="AW174" s="1" t="n">
        <v>0.02219952352797653</v>
      </c>
      <c r="AX174" s="1" t="n">
        <v>-0.0225191770737319</v>
      </c>
      <c r="AY174" s="1" t="n">
        <v>-0.03668327546413591</v>
      </c>
      <c r="AZ174" s="1" t="n">
        <v>0.0317448194060792</v>
      </c>
      <c r="BA174" s="1" t="n">
        <v>-0.03491106352929269</v>
      </c>
      <c r="BB174" s="1" t="n">
        <v>0.2290225769444584</v>
      </c>
      <c r="BC174" s="1" t="n">
        <v>0.4457262820437829</v>
      </c>
      <c r="BD174" s="1" t="n">
        <v>-0.04262813097134671</v>
      </c>
      <c r="BE174" s="1" t="n">
        <v>-0.0118892975815208</v>
      </c>
      <c r="BF174" s="1" t="n">
        <v>-0.003960769164166525</v>
      </c>
      <c r="BG174" s="1" t="n">
        <v>0.1056285050798347</v>
      </c>
      <c r="BH174" s="1" t="n">
        <v>-0.02906235103127441</v>
      </c>
      <c r="BI174" s="1" t="n">
        <v>-0.01808795633152621</v>
      </c>
      <c r="BJ174" s="1" t="n">
        <v>0.1098995379002174</v>
      </c>
      <c r="BK174" s="1" t="n">
        <v>-0.2337293776340935</v>
      </c>
      <c r="BL174" s="1" t="n">
        <v>-0.1181164011853632</v>
      </c>
      <c r="BM174" s="1" t="n">
        <v>-0.2120809696439618</v>
      </c>
      <c r="BN174" s="1" t="n">
        <v>0.06462920732971142</v>
      </c>
      <c r="BO174" s="544" t="n">
        <v>0.02293698108650938</v>
      </c>
      <c r="BP174" s="23" t="n"/>
      <c r="BQ174" s="705" t="n"/>
      <c r="BR174" s="487" t="n"/>
      <c r="BS174" s="487" t="n"/>
      <c r="BT174" s="487" t="n"/>
    </row>
    <row r="175">
      <c r="A175" t="n">
        <v>21</v>
      </c>
      <c r="B175" s="705" t="n">
        <v>0</v>
      </c>
      <c r="C175" s="487" t="n">
        <v>0</v>
      </c>
      <c r="D175" s="487" t="n">
        <v>0</v>
      </c>
      <c r="E175" s="487" t="n">
        <v>0</v>
      </c>
      <c r="F175" s="487" t="n">
        <v>0</v>
      </c>
      <c r="G175" s="487" t="n">
        <v>0</v>
      </c>
      <c r="H175" s="487" t="n">
        <v>0</v>
      </c>
      <c r="I175" s="487" t="n">
        <v>0</v>
      </c>
      <c r="J175" s="487" t="n">
        <v>0</v>
      </c>
      <c r="K175" s="487" t="n">
        <v>0</v>
      </c>
      <c r="L175" s="487" t="n">
        <v>0</v>
      </c>
      <c r="M175" s="487" t="n">
        <v>0</v>
      </c>
      <c r="N175" s="487" t="n">
        <v>0</v>
      </c>
      <c r="O175" s="487" t="n">
        <v>0</v>
      </c>
      <c r="P175" s="487" t="n">
        <v>0</v>
      </c>
      <c r="Q175" s="487" t="n">
        <v>0</v>
      </c>
      <c r="R175" s="487" t="n">
        <v>0</v>
      </c>
      <c r="S175" s="487" t="n">
        <v>0</v>
      </c>
      <c r="T175" s="487" t="n">
        <v>0</v>
      </c>
      <c r="U175" s="487" t="n">
        <v>0</v>
      </c>
      <c r="V175" s="487" t="n">
        <v>1</v>
      </c>
      <c r="W175" s="487" t="n">
        <v>0</v>
      </c>
      <c r="X175" s="487" t="n">
        <v>0</v>
      </c>
      <c r="Y175" s="487" t="n">
        <v>0</v>
      </c>
      <c r="Z175" s="487" t="n">
        <v>0</v>
      </c>
      <c r="AA175" s="487" t="n">
        <v>0</v>
      </c>
      <c r="AB175" s="487" t="n">
        <v>0</v>
      </c>
      <c r="AC175" s="487" t="n">
        <v>0</v>
      </c>
      <c r="AD175" s="487" t="n">
        <v>0</v>
      </c>
      <c r="AE175" s="487" t="n">
        <v>0</v>
      </c>
      <c r="AF175" s="487" t="n">
        <v>0</v>
      </c>
      <c r="AG175" s="753" t="n">
        <v>0</v>
      </c>
      <c r="AH175" s="704" t="n"/>
      <c r="AI175" s="23" t="n">
        <v>21</v>
      </c>
      <c r="AJ175" s="543" t="n">
        <v>-0.04618930495752276</v>
      </c>
      <c r="AK175" s="1" t="n">
        <v>-0.004791714670850728</v>
      </c>
      <c r="AL175" s="1" t="n">
        <v>-0.01562749707860342</v>
      </c>
      <c r="AM175" s="1" t="n">
        <v>-0.01566287115855242</v>
      </c>
      <c r="AN175" s="1" t="n">
        <v>0.1117360709895804</v>
      </c>
      <c r="AO175" s="1" t="n">
        <v>-0.07788604210536991</v>
      </c>
      <c r="AP175" s="1" t="n">
        <v>0.03990293944046692</v>
      </c>
      <c r="AQ175" s="1" t="n">
        <v>-0.01566285069443327</v>
      </c>
      <c r="AR175" s="1" t="n">
        <v>-0.03100721610365365</v>
      </c>
      <c r="AS175" s="1" t="n">
        <v>0.1863606877085185</v>
      </c>
      <c r="AT175" s="1" t="n">
        <v>-0.03551891782925896</v>
      </c>
      <c r="AU175" s="1" t="n">
        <v>-0.04618923594822781</v>
      </c>
      <c r="AV175" s="1" t="n">
        <v>-0.06345350516973473</v>
      </c>
      <c r="AW175" s="1" t="n">
        <v>-0.07457033706959351</v>
      </c>
      <c r="AX175" s="1" t="n">
        <v>-0.0587016724247371</v>
      </c>
      <c r="AY175" s="1" t="n">
        <v>-0.03268928485419164</v>
      </c>
      <c r="AZ175" s="1" t="n">
        <v>-0.02696207302751898</v>
      </c>
      <c r="BA175" s="1" t="n">
        <v>0.08809452019912564</v>
      </c>
      <c r="BB175" s="1" t="n">
        <v>0.09587026389028792</v>
      </c>
      <c r="BC175" s="1" t="n">
        <v>-0.0426281309713467</v>
      </c>
      <c r="BD175" s="1" t="n">
        <v>0.7185172668708388</v>
      </c>
      <c r="BE175" s="1" t="n">
        <v>-0.1504787194025891</v>
      </c>
      <c r="BF175" s="1" t="n">
        <v>-0.1504319527584966</v>
      </c>
      <c r="BG175" s="1" t="n">
        <v>-0.1519003309274856</v>
      </c>
      <c r="BH175" s="1" t="n">
        <v>-0.1371310684829288</v>
      </c>
      <c r="BI175" s="1" t="n">
        <v>-0.1285751952993387</v>
      </c>
      <c r="BJ175" s="1" t="n">
        <v>0.01525532251474504</v>
      </c>
      <c r="BK175" s="1" t="n">
        <v>-0.007269101299518944</v>
      </c>
      <c r="BL175" s="1" t="n">
        <v>0.03927807286410858</v>
      </c>
      <c r="BM175" s="1" t="n">
        <v>0.02207929385205991</v>
      </c>
      <c r="BN175" s="1" t="n">
        <v>0.01921305850106678</v>
      </c>
      <c r="BO175" s="544" t="n">
        <v>-0.01274645415589884</v>
      </c>
      <c r="BP175" s="23" t="n"/>
      <c r="BQ175" s="705" t="n"/>
      <c r="BR175" s="487" t="n"/>
      <c r="BS175" s="487" t="n"/>
      <c r="BT175" s="487" t="n"/>
    </row>
    <row r="176">
      <c r="A176" t="n">
        <v>22</v>
      </c>
      <c r="B176" s="705" t="n">
        <v>0</v>
      </c>
      <c r="C176" s="487" t="n">
        <v>0</v>
      </c>
      <c r="D176" s="487" t="n">
        <v>0</v>
      </c>
      <c r="E176" s="487" t="n">
        <v>0</v>
      </c>
      <c r="F176" s="487" t="n">
        <v>0</v>
      </c>
      <c r="G176" s="487" t="n">
        <v>0</v>
      </c>
      <c r="H176" s="487" t="n">
        <v>0</v>
      </c>
      <c r="I176" s="487" t="n">
        <v>0</v>
      </c>
      <c r="J176" s="487" t="n">
        <v>0</v>
      </c>
      <c r="K176" s="487" t="n">
        <v>0</v>
      </c>
      <c r="L176" s="487" t="n">
        <v>0</v>
      </c>
      <c r="M176" s="487" t="n">
        <v>0</v>
      </c>
      <c r="N176" s="487" t="n">
        <v>0</v>
      </c>
      <c r="O176" s="487" t="n">
        <v>0</v>
      </c>
      <c r="P176" s="487" t="n">
        <v>0</v>
      </c>
      <c r="Q176" s="487" t="n">
        <v>0</v>
      </c>
      <c r="R176" s="487" t="n">
        <v>0</v>
      </c>
      <c r="S176" s="487" t="n">
        <v>0</v>
      </c>
      <c r="T176" s="487" t="n">
        <v>0</v>
      </c>
      <c r="U176" s="487" t="n">
        <v>0</v>
      </c>
      <c r="V176" s="487" t="n">
        <v>0</v>
      </c>
      <c r="W176" s="487" t="n">
        <v>1</v>
      </c>
      <c r="X176" s="487" t="n">
        <v>0</v>
      </c>
      <c r="Y176" s="487" t="n">
        <v>0</v>
      </c>
      <c r="Z176" s="487" t="n">
        <v>0</v>
      </c>
      <c r="AA176" s="487" t="n">
        <v>0</v>
      </c>
      <c r="AB176" s="487" t="n">
        <v>0</v>
      </c>
      <c r="AC176" s="487" t="n">
        <v>0</v>
      </c>
      <c r="AD176" s="487" t="n">
        <v>0</v>
      </c>
      <c r="AE176" s="487" t="n">
        <v>0</v>
      </c>
      <c r="AF176" s="487" t="n">
        <v>0</v>
      </c>
      <c r="AG176" s="753" t="n">
        <v>0</v>
      </c>
      <c r="AH176" s="704" t="n"/>
      <c r="AI176" s="23" t="n">
        <v>22</v>
      </c>
      <c r="AJ176" s="543" t="n">
        <v>-0.006365571112860248</v>
      </c>
      <c r="AK176" s="1" t="n">
        <v>-0.026445574485602</v>
      </c>
      <c r="AL176" s="1" t="n">
        <v>-0.01353653600865346</v>
      </c>
      <c r="AM176" s="1" t="n">
        <v>-0.03287872522799241</v>
      </c>
      <c r="AN176" s="1" t="n">
        <v>0.0416679211647821</v>
      </c>
      <c r="AO176" s="1" t="n">
        <v>-0.03780499477134436</v>
      </c>
      <c r="AP176" s="1" t="n">
        <v>0.03337786592893537</v>
      </c>
      <c r="AQ176" s="1" t="n">
        <v>-0.03287868227072465</v>
      </c>
      <c r="AR176" s="1" t="n">
        <v>-0.04619324006139332</v>
      </c>
      <c r="AS176" s="1" t="n">
        <v>-0.08194612476359503</v>
      </c>
      <c r="AT176" s="1" t="n">
        <v>0.08781747638300638</v>
      </c>
      <c r="AU176" s="1" t="n">
        <v>-0.006365561602356182</v>
      </c>
      <c r="AV176" s="1" t="n">
        <v>0.1283477221895418</v>
      </c>
      <c r="AW176" s="1" t="n">
        <v>-0.1250819568265712</v>
      </c>
      <c r="AX176" s="1" t="n">
        <v>0.2895526943706748</v>
      </c>
      <c r="AY176" s="1" t="n">
        <v>-0.09890488962345126</v>
      </c>
      <c r="AZ176" s="1" t="n">
        <v>-0.09311240140686426</v>
      </c>
      <c r="BA176" s="1" t="n">
        <v>-0.03437698075048209</v>
      </c>
      <c r="BB176" s="1" t="n">
        <v>0.02734402568393154</v>
      </c>
      <c r="BC176" s="1" t="n">
        <v>-0.01188929758152094</v>
      </c>
      <c r="BD176" s="1" t="n">
        <v>-0.1504787194025881</v>
      </c>
      <c r="BE176" s="1" t="n">
        <v>0.5911311890082842</v>
      </c>
      <c r="BF176" s="1" t="n">
        <v>-0.1212135804756929</v>
      </c>
      <c r="BG176" s="1" t="n">
        <v>-0.06087080469370747</v>
      </c>
      <c r="BH176" s="1" t="n">
        <v>-0.1057346150533294</v>
      </c>
      <c r="BI176" s="1" t="n">
        <v>-0.1528334693829663</v>
      </c>
      <c r="BJ176" s="1" t="n">
        <v>0.0215481630811405</v>
      </c>
      <c r="BK176" s="1" t="n">
        <v>0.003900488205720436</v>
      </c>
      <c r="BL176" s="1" t="n">
        <v>-0.0275111494908794</v>
      </c>
      <c r="BM176" s="1" t="n">
        <v>0.01279057688751154</v>
      </c>
      <c r="BN176" s="1" t="n">
        <v>0.05196813728580253</v>
      </c>
      <c r="BO176" s="544" t="n">
        <v>-0.03957671137127584</v>
      </c>
      <c r="BP176" s="23" t="n"/>
      <c r="BQ176" s="705" t="n"/>
      <c r="BR176" s="487" t="n"/>
      <c r="BS176" s="487" t="n"/>
      <c r="BT176" s="487" t="n"/>
    </row>
    <row r="177">
      <c r="A177" t="n">
        <v>23</v>
      </c>
      <c r="B177" s="705" t="n">
        <v>0</v>
      </c>
      <c r="C177" s="487" t="n">
        <v>0</v>
      </c>
      <c r="D177" s="487" t="n">
        <v>0</v>
      </c>
      <c r="E177" s="487" t="n">
        <v>0</v>
      </c>
      <c r="F177" s="487" t="n">
        <v>0</v>
      </c>
      <c r="G177" s="487" t="n">
        <v>0</v>
      </c>
      <c r="H177" s="487" t="n">
        <v>0</v>
      </c>
      <c r="I177" s="487" t="n">
        <v>0</v>
      </c>
      <c r="J177" s="487" t="n">
        <v>0</v>
      </c>
      <c r="K177" s="487" t="n">
        <v>0</v>
      </c>
      <c r="L177" s="487" t="n">
        <v>0</v>
      </c>
      <c r="M177" s="487" t="n">
        <v>0</v>
      </c>
      <c r="N177" s="487" t="n">
        <v>0</v>
      </c>
      <c r="O177" s="487" t="n">
        <v>0</v>
      </c>
      <c r="P177" s="487" t="n">
        <v>0</v>
      </c>
      <c r="Q177" s="487" t="n">
        <v>0</v>
      </c>
      <c r="R177" s="487" t="n">
        <v>0</v>
      </c>
      <c r="S177" s="487" t="n">
        <v>0</v>
      </c>
      <c r="T177" s="487" t="n">
        <v>0</v>
      </c>
      <c r="U177" s="487" t="n">
        <v>0</v>
      </c>
      <c r="V177" s="487" t="n">
        <v>0</v>
      </c>
      <c r="W177" s="487" t="n">
        <v>0</v>
      </c>
      <c r="X177" s="487" t="n">
        <v>1</v>
      </c>
      <c r="Y177" s="487" t="n">
        <v>0</v>
      </c>
      <c r="Z177" s="487" t="n">
        <v>0</v>
      </c>
      <c r="AA177" s="487" t="n">
        <v>0</v>
      </c>
      <c r="AB177" s="487" t="n">
        <v>0</v>
      </c>
      <c r="AC177" s="487" t="n">
        <v>0</v>
      </c>
      <c r="AD177" s="487" t="n">
        <v>0</v>
      </c>
      <c r="AE177" s="487" t="n">
        <v>0</v>
      </c>
      <c r="AF177" s="487" t="n">
        <v>0</v>
      </c>
      <c r="AG177" s="753" t="n">
        <v>0</v>
      </c>
      <c r="AH177" s="704" t="n"/>
      <c r="AI177" s="23" t="n">
        <v>23</v>
      </c>
      <c r="AJ177" s="543" t="n">
        <v>-0.03246767165860996</v>
      </c>
      <c r="AK177" s="1" t="n">
        <v>-0.095672251022473</v>
      </c>
      <c r="AL177" s="1" t="n">
        <v>-0.03247850192413672</v>
      </c>
      <c r="AM177" s="1" t="n">
        <v>-0.0349910889171475</v>
      </c>
      <c r="AN177" s="1" t="n">
        <v>-0.03283210071394848</v>
      </c>
      <c r="AO177" s="1" t="n">
        <v>-0.03122375210513587</v>
      </c>
      <c r="AP177" s="1" t="n">
        <v>0.009485125717439926</v>
      </c>
      <c r="AQ177" s="1" t="n">
        <v>-0.03499104319999864</v>
      </c>
      <c r="AR177" s="1" t="n">
        <v>-0.07302695765798056</v>
      </c>
      <c r="AS177" s="1" t="n">
        <v>-0.006964539032938789</v>
      </c>
      <c r="AT177" s="1" t="n">
        <v>0.06657484502976657</v>
      </c>
      <c r="AU177" s="1" t="n">
        <v>-0.03246762315016993</v>
      </c>
      <c r="AV177" s="1" t="n">
        <v>0.06183677241421386</v>
      </c>
      <c r="AW177" s="1" t="n">
        <v>-0.0007153124683282712</v>
      </c>
      <c r="AX177" s="1" t="n">
        <v>-0.09510897137724607</v>
      </c>
      <c r="AY177" s="1" t="n">
        <v>0.313778690027766</v>
      </c>
      <c r="AZ177" s="1" t="n">
        <v>0.1703231568967539</v>
      </c>
      <c r="BA177" s="1" t="n">
        <v>-0.03260459656905974</v>
      </c>
      <c r="BB177" s="1" t="n">
        <v>-0.04422360979248461</v>
      </c>
      <c r="BC177" s="1" t="n">
        <v>-0.003960769164166484</v>
      </c>
      <c r="BD177" s="1" t="n">
        <v>-0.1504319527584963</v>
      </c>
      <c r="BE177" s="1" t="n">
        <v>-0.1212135804756928</v>
      </c>
      <c r="BF177" s="1" t="n">
        <v>0.457587422238695</v>
      </c>
      <c r="BG177" s="1" t="n">
        <v>-0.04129345205988348</v>
      </c>
      <c r="BH177" s="1" t="n">
        <v>-0.03597583007097777</v>
      </c>
      <c r="BI177" s="1" t="n">
        <v>-0.1086726068736445</v>
      </c>
      <c r="BJ177" s="1" t="n">
        <v>0.05684217220027887</v>
      </c>
      <c r="BK177" s="1" t="n">
        <v>-0.02484323566691859</v>
      </c>
      <c r="BL177" s="1" t="n">
        <v>-0.09877912440770661</v>
      </c>
      <c r="BM177" s="1" t="n">
        <v>0.03429563068177706</v>
      </c>
      <c r="BN177" s="1" t="n">
        <v>0.08078857584297332</v>
      </c>
      <c r="BO177" s="544" t="n">
        <v>-0.06832206522341815</v>
      </c>
      <c r="BP177" s="23" t="n"/>
      <c r="BQ177" s="705" t="n"/>
      <c r="BR177" s="487" t="n"/>
      <c r="BS177" s="487" t="n"/>
      <c r="BT177" s="487" t="n"/>
    </row>
    <row r="178">
      <c r="A178" t="n">
        <v>24</v>
      </c>
      <c r="B178" s="705" t="n">
        <v>0</v>
      </c>
      <c r="C178" s="487" t="n">
        <v>0</v>
      </c>
      <c r="D178" s="487" t="n">
        <v>0</v>
      </c>
      <c r="E178" s="487" t="n">
        <v>0</v>
      </c>
      <c r="F178" s="487" t="n">
        <v>0</v>
      </c>
      <c r="G178" s="487" t="n">
        <v>0</v>
      </c>
      <c r="H178" s="487" t="n">
        <v>0</v>
      </c>
      <c r="I178" s="487" t="n">
        <v>0</v>
      </c>
      <c r="J178" s="487" t="n">
        <v>0</v>
      </c>
      <c r="K178" s="487" t="n">
        <v>0</v>
      </c>
      <c r="L178" s="487" t="n">
        <v>0</v>
      </c>
      <c r="M178" s="487" t="n">
        <v>0</v>
      </c>
      <c r="N178" s="487" t="n">
        <v>0</v>
      </c>
      <c r="O178" s="487" t="n">
        <v>0</v>
      </c>
      <c r="P178" s="487" t="n">
        <v>0</v>
      </c>
      <c r="Q178" s="487" t="n">
        <v>0</v>
      </c>
      <c r="R178" s="487" t="n">
        <v>0</v>
      </c>
      <c r="S178" s="487" t="n">
        <v>0</v>
      </c>
      <c r="T178" s="487" t="n">
        <v>0</v>
      </c>
      <c r="U178" s="487" t="n">
        <v>0</v>
      </c>
      <c r="V178" s="487" t="n">
        <v>0</v>
      </c>
      <c r="W178" s="487" t="n">
        <v>0</v>
      </c>
      <c r="X178" s="487" t="n">
        <v>0</v>
      </c>
      <c r="Y178" s="487" t="n">
        <v>1</v>
      </c>
      <c r="Z178" s="487" t="n">
        <v>0</v>
      </c>
      <c r="AA178" s="487" t="n">
        <v>0</v>
      </c>
      <c r="AB178" s="487" t="n">
        <v>0</v>
      </c>
      <c r="AC178" s="487" t="n">
        <v>0</v>
      </c>
      <c r="AD178" s="487" t="n">
        <v>0</v>
      </c>
      <c r="AE178" s="487" t="n">
        <v>0</v>
      </c>
      <c r="AF178" s="487" t="n">
        <v>0</v>
      </c>
      <c r="AG178" s="753" t="n">
        <v>0</v>
      </c>
      <c r="AH178" s="704" t="n"/>
      <c r="AI178" s="23" t="n">
        <v>24</v>
      </c>
      <c r="AJ178" s="543" t="n">
        <v>-0.07430511825860246</v>
      </c>
      <c r="AK178" s="1" t="n">
        <v>0.2087087474256643</v>
      </c>
      <c r="AL178" s="1" t="n">
        <v>0.1109114935839731</v>
      </c>
      <c r="AM178" s="1" t="n">
        <v>-0.05139395023865049</v>
      </c>
      <c r="AN178" s="1" t="n">
        <v>-0.09102861953227656</v>
      </c>
      <c r="AO178" s="1" t="n">
        <v>0.01534767162686534</v>
      </c>
      <c r="AP178" s="1" t="n">
        <v>0.08285559949075194</v>
      </c>
      <c r="AQ178" s="1" t="n">
        <v>-0.05139388309055806</v>
      </c>
      <c r="AR178" s="1" t="n">
        <v>0.06761972736340234</v>
      </c>
      <c r="AS178" s="1" t="n">
        <v>0.0368768004876107</v>
      </c>
      <c r="AT178" s="1" t="n">
        <v>0.07239511269040065</v>
      </c>
      <c r="AU178" s="1" t="n">
        <v>-0.0743050072427768</v>
      </c>
      <c r="AV178" s="1" t="n">
        <v>-0.0899076303237716</v>
      </c>
      <c r="AW178" s="1" t="n">
        <v>0.0541797680838049</v>
      </c>
      <c r="AX178" s="1" t="n">
        <v>-0.06642153965916117</v>
      </c>
      <c r="AY178" s="1" t="n">
        <v>-0.1018678600586361</v>
      </c>
      <c r="AZ178" s="1" t="n">
        <v>0.08144026721284311</v>
      </c>
      <c r="BA178" s="1" t="n">
        <v>-0.0735283324744116</v>
      </c>
      <c r="BB178" s="1" t="n">
        <v>-0.06680749727941568</v>
      </c>
      <c r="BC178" s="1" t="n">
        <v>0.1056285050798345</v>
      </c>
      <c r="BD178" s="1" t="n">
        <v>-0.1519003309274855</v>
      </c>
      <c r="BE178" s="1" t="n">
        <v>-0.06087080469370763</v>
      </c>
      <c r="BF178" s="1" t="n">
        <v>-0.0412934520598833</v>
      </c>
      <c r="BG178" s="1" t="n">
        <v>0.4065455163669239</v>
      </c>
      <c r="BH178" s="1" t="n">
        <v>-0.06257659285514769</v>
      </c>
      <c r="BI178" s="1" t="n">
        <v>-0.08990433583069977</v>
      </c>
      <c r="BJ178" s="1" t="n">
        <v>-0.07853046098665944</v>
      </c>
      <c r="BK178" s="1" t="n">
        <v>0.1526523574723337</v>
      </c>
      <c r="BL178" s="1" t="n">
        <v>0.02290237169988962</v>
      </c>
      <c r="BM178" s="1" t="n">
        <v>-0.1062527083193741</v>
      </c>
      <c r="BN178" s="1" t="n">
        <v>-0.06620731978193892</v>
      </c>
      <c r="BO178" s="544" t="n">
        <v>0.05387831944011224</v>
      </c>
      <c r="BP178" s="23" t="n"/>
      <c r="BQ178" s="705" t="n"/>
      <c r="BR178" s="487" t="n"/>
      <c r="BS178" s="487" t="n"/>
      <c r="BT178" s="487" t="n"/>
    </row>
    <row r="179">
      <c r="A179" t="n">
        <v>25</v>
      </c>
      <c r="B179" s="705" t="n">
        <v>0</v>
      </c>
      <c r="C179" s="487" t="n">
        <v>0</v>
      </c>
      <c r="D179" s="487" t="n">
        <v>0</v>
      </c>
      <c r="E179" s="487" t="n">
        <v>0</v>
      </c>
      <c r="F179" s="487" t="n">
        <v>0</v>
      </c>
      <c r="G179" s="487" t="n">
        <v>0</v>
      </c>
      <c r="H179" s="487" t="n">
        <v>0</v>
      </c>
      <c r="I179" s="487" t="n">
        <v>0</v>
      </c>
      <c r="J179" s="487" t="n">
        <v>0</v>
      </c>
      <c r="K179" s="487" t="n">
        <v>0</v>
      </c>
      <c r="L179" s="487" t="n">
        <v>0</v>
      </c>
      <c r="M179" s="487" t="n">
        <v>0</v>
      </c>
      <c r="N179" s="487" t="n">
        <v>0</v>
      </c>
      <c r="O179" s="487" t="n">
        <v>0</v>
      </c>
      <c r="P179" s="487" t="n">
        <v>0</v>
      </c>
      <c r="Q179" s="487" t="n">
        <v>0</v>
      </c>
      <c r="R179" s="487" t="n">
        <v>0</v>
      </c>
      <c r="S179" s="487" t="n">
        <v>0</v>
      </c>
      <c r="T179" s="487" t="n">
        <v>0</v>
      </c>
      <c r="U179" s="487" t="n">
        <v>0</v>
      </c>
      <c r="V179" s="487" t="n">
        <v>0</v>
      </c>
      <c r="W179" s="487" t="n">
        <v>0</v>
      </c>
      <c r="X179" s="487" t="n">
        <v>0</v>
      </c>
      <c r="Y179" s="487" t="n">
        <v>0</v>
      </c>
      <c r="Z179" s="487" t="n">
        <v>1</v>
      </c>
      <c r="AA179" s="487" t="n">
        <v>0</v>
      </c>
      <c r="AB179" s="487" t="n">
        <v>0</v>
      </c>
      <c r="AC179" s="487" t="n">
        <v>0</v>
      </c>
      <c r="AD179" s="487" t="n">
        <v>0</v>
      </c>
      <c r="AE179" s="487" t="n">
        <v>0</v>
      </c>
      <c r="AF179" s="487" t="n">
        <v>0</v>
      </c>
      <c r="AG179" s="753" t="n">
        <v>0</v>
      </c>
      <c r="AH179" s="704" t="n"/>
      <c r="AI179" s="23" t="n">
        <v>25</v>
      </c>
      <c r="AJ179" s="543" t="n">
        <v>0.06777500925307944</v>
      </c>
      <c r="AK179" s="1" t="n">
        <v>-0.06646206398367056</v>
      </c>
      <c r="AL179" s="1" t="n">
        <v>-0.04688843886181535</v>
      </c>
      <c r="AM179" s="1" t="n">
        <v>0.2055359767863474</v>
      </c>
      <c r="AN179" s="1" t="n">
        <v>-0.07037518779677721</v>
      </c>
      <c r="AO179" s="1" t="n">
        <v>-0.1334009801392274</v>
      </c>
      <c r="AP179" s="1" t="n">
        <v>-0.1215708435511031</v>
      </c>
      <c r="AQ179" s="1" t="n">
        <v>0.2055357082460094</v>
      </c>
      <c r="AR179" s="1" t="n">
        <v>0.1450629735432079</v>
      </c>
      <c r="AS179" s="1" t="n">
        <v>-0.02327657823785616</v>
      </c>
      <c r="AT179" s="1" t="n">
        <v>-0.01775173496004684</v>
      </c>
      <c r="AU179" s="1" t="n">
        <v>0.06777490799358636</v>
      </c>
      <c r="AV179" s="1" t="n">
        <v>-0.03918665275137178</v>
      </c>
      <c r="AW179" s="1" t="n">
        <v>0.05606611936833772</v>
      </c>
      <c r="AX179" s="1" t="n">
        <v>-0.0394753842430963</v>
      </c>
      <c r="AY179" s="1" t="n">
        <v>-0.03669071898313027</v>
      </c>
      <c r="AZ179" s="1" t="n">
        <v>-0.08646139446019066</v>
      </c>
      <c r="BA179" s="1" t="n">
        <v>0.006685514975389863</v>
      </c>
      <c r="BB179" s="1" t="n">
        <v>-0.0607499917984166</v>
      </c>
      <c r="BC179" s="1" t="n">
        <v>-0.02906235103127433</v>
      </c>
      <c r="BD179" s="1" t="n">
        <v>-0.1371310684829285</v>
      </c>
      <c r="BE179" s="1" t="n">
        <v>-0.1057346150533297</v>
      </c>
      <c r="BF179" s="1" t="n">
        <v>-0.03597583007097777</v>
      </c>
      <c r="BG179" s="1" t="n">
        <v>-0.06257659285514783</v>
      </c>
      <c r="BH179" s="1" t="n">
        <v>0.4580485651040136</v>
      </c>
      <c r="BI179" s="1" t="n">
        <v>-0.1166304586416298</v>
      </c>
      <c r="BJ179" s="1" t="n">
        <v>-0.005425317575540933</v>
      </c>
      <c r="BK179" s="1" t="n">
        <v>-0.09505686460995773</v>
      </c>
      <c r="BL179" s="1" t="n">
        <v>0.04608406642576607</v>
      </c>
      <c r="BM179" s="1" t="n">
        <v>0.007114653544693636</v>
      </c>
      <c r="BN179" s="1" t="n">
        <v>-0.0758397392821606</v>
      </c>
      <c r="BO179" s="544" t="n">
        <v>0.05560227767270132</v>
      </c>
      <c r="BP179" s="23" t="n"/>
      <c r="BQ179" s="705" t="n"/>
      <c r="BR179" s="487" t="n"/>
      <c r="BS179" s="487" t="n"/>
      <c r="BT179" s="487" t="n"/>
    </row>
    <row r="180">
      <c r="A180" t="n">
        <v>26</v>
      </c>
      <c r="B180" s="705" t="n">
        <v>0</v>
      </c>
      <c r="C180" s="487" t="n">
        <v>0</v>
      </c>
      <c r="D180" s="487" t="n">
        <v>0</v>
      </c>
      <c r="E180" s="487" t="n">
        <v>0</v>
      </c>
      <c r="F180" s="487" t="n">
        <v>0</v>
      </c>
      <c r="G180" s="487" t="n">
        <v>0</v>
      </c>
      <c r="H180" s="487" t="n">
        <v>0</v>
      </c>
      <c r="I180" s="487" t="n">
        <v>0</v>
      </c>
      <c r="J180" s="487" t="n">
        <v>0</v>
      </c>
      <c r="K180" s="487" t="n">
        <v>0</v>
      </c>
      <c r="L180" s="487" t="n">
        <v>0</v>
      </c>
      <c r="M180" s="487" t="n">
        <v>0</v>
      </c>
      <c r="N180" s="487" t="n">
        <v>0</v>
      </c>
      <c r="O180" s="487" t="n">
        <v>0</v>
      </c>
      <c r="P180" s="487" t="n">
        <v>0</v>
      </c>
      <c r="Q180" s="487" t="n">
        <v>0</v>
      </c>
      <c r="R180" s="487" t="n">
        <v>0</v>
      </c>
      <c r="S180" s="487" t="n">
        <v>0</v>
      </c>
      <c r="T180" s="487" t="n">
        <v>0</v>
      </c>
      <c r="U180" s="487" t="n">
        <v>0</v>
      </c>
      <c r="V180" s="487" t="n">
        <v>0</v>
      </c>
      <c r="W180" s="487" t="n">
        <v>0</v>
      </c>
      <c r="X180" s="487" t="n">
        <v>0</v>
      </c>
      <c r="Y180" s="487" t="n">
        <v>0</v>
      </c>
      <c r="Z180" s="487" t="n">
        <v>0</v>
      </c>
      <c r="AA180" s="487" t="n">
        <v>1</v>
      </c>
      <c r="AB180" s="487" t="n">
        <v>0</v>
      </c>
      <c r="AC180" s="487" t="n">
        <v>0</v>
      </c>
      <c r="AD180" s="487" t="n">
        <v>0</v>
      </c>
      <c r="AE180" s="487" t="n">
        <v>0</v>
      </c>
      <c r="AF180" s="487" t="n">
        <v>0</v>
      </c>
      <c r="AG180" s="753" t="n">
        <v>0</v>
      </c>
      <c r="AH180" s="704" t="n"/>
      <c r="AI180" s="23" t="n">
        <v>26</v>
      </c>
      <c r="AJ180" s="543" t="n">
        <v>0.0915526567345159</v>
      </c>
      <c r="AK180" s="1" t="n">
        <v>-0.015337143263068</v>
      </c>
      <c r="AL180" s="1" t="n">
        <v>-0.002380519710764185</v>
      </c>
      <c r="AM180" s="1" t="n">
        <v>-0.0706093412440046</v>
      </c>
      <c r="AN180" s="1" t="n">
        <v>0.04083191588863978</v>
      </c>
      <c r="AO180" s="1" t="n">
        <v>0.264968097494212</v>
      </c>
      <c r="AP180" s="1" t="n">
        <v>-0.04405068702649122</v>
      </c>
      <c r="AQ180" s="1" t="n">
        <v>-0.07060924899029475</v>
      </c>
      <c r="AR180" s="1" t="n">
        <v>-0.06245528708358268</v>
      </c>
      <c r="AS180" s="1" t="n">
        <v>-0.1110502461617392</v>
      </c>
      <c r="AT180" s="1" t="n">
        <v>-0.1735167813138681</v>
      </c>
      <c r="AU180" s="1" t="n">
        <v>0.09155251994994429</v>
      </c>
      <c r="AV180" s="1" t="n">
        <v>0.002363293641122127</v>
      </c>
      <c r="AW180" s="1" t="n">
        <v>0.09012171891235018</v>
      </c>
      <c r="AX180" s="1" t="n">
        <v>-0.02984512666643452</v>
      </c>
      <c r="AY180" s="1" t="n">
        <v>-0.04362593650835669</v>
      </c>
      <c r="AZ180" s="1" t="n">
        <v>-0.04522755521502307</v>
      </c>
      <c r="BA180" s="1" t="n">
        <v>0.04572987461943814</v>
      </c>
      <c r="BB180" s="1" t="n">
        <v>0.04856680929609751</v>
      </c>
      <c r="BC180" s="1" t="n">
        <v>-0.01808795633152604</v>
      </c>
      <c r="BD180" s="1" t="n">
        <v>-0.1285751952993395</v>
      </c>
      <c r="BE180" s="1" t="n">
        <v>-0.1528334693829656</v>
      </c>
      <c r="BF180" s="1" t="n">
        <v>-0.1086726068736446</v>
      </c>
      <c r="BG180" s="1" t="n">
        <v>-0.08990433583069969</v>
      </c>
      <c r="BH180" s="1" t="n">
        <v>-0.1166304586416298</v>
      </c>
      <c r="BI180" s="1" t="n">
        <v>0.5966160660282791</v>
      </c>
      <c r="BJ180" s="1" t="n">
        <v>-0.009689879233964058</v>
      </c>
      <c r="BK180" s="1" t="n">
        <v>-0.02938364410165906</v>
      </c>
      <c r="BL180" s="1" t="n">
        <v>0.01802576290882186</v>
      </c>
      <c r="BM180" s="1" t="n">
        <v>0.02997255335333192</v>
      </c>
      <c r="BN180" s="1" t="n">
        <v>-0.00992271256574323</v>
      </c>
      <c r="BO180" s="544" t="n">
        <v>0.01116463363777944</v>
      </c>
      <c r="BP180" s="23" t="n"/>
      <c r="BQ180" s="705" t="n"/>
      <c r="BR180" s="487" t="n"/>
      <c r="BS180" s="487" t="n"/>
      <c r="BT180" s="487" t="n"/>
    </row>
    <row r="181">
      <c r="A181" t="n">
        <v>27</v>
      </c>
      <c r="B181" s="705" t="n">
        <v>0</v>
      </c>
      <c r="C181" s="487" t="n">
        <v>0</v>
      </c>
      <c r="D181" s="487" t="n">
        <v>0</v>
      </c>
      <c r="E181" s="487" t="n">
        <v>0</v>
      </c>
      <c r="F181" s="487" t="n">
        <v>0</v>
      </c>
      <c r="G181" s="487" t="n">
        <v>0</v>
      </c>
      <c r="H181" s="487" t="n">
        <v>0</v>
      </c>
      <c r="I181" s="487" t="n">
        <v>0</v>
      </c>
      <c r="J181" s="487" t="n">
        <v>0</v>
      </c>
      <c r="K181" s="487" t="n">
        <v>0</v>
      </c>
      <c r="L181" s="487" t="n">
        <v>0</v>
      </c>
      <c r="M181" s="487" t="n">
        <v>0</v>
      </c>
      <c r="N181" s="487" t="n">
        <v>0</v>
      </c>
      <c r="O181" s="487" t="n">
        <v>0</v>
      </c>
      <c r="P181" s="487" t="n">
        <v>0</v>
      </c>
      <c r="Q181" s="487" t="n">
        <v>0</v>
      </c>
      <c r="R181" s="487" t="n">
        <v>0</v>
      </c>
      <c r="S181" s="487" t="n">
        <v>0</v>
      </c>
      <c r="T181" s="487" t="n">
        <v>0</v>
      </c>
      <c r="U181" s="487" t="n">
        <v>0</v>
      </c>
      <c r="V181" s="487" t="n">
        <v>0</v>
      </c>
      <c r="W181" s="487" t="n">
        <v>0</v>
      </c>
      <c r="X181" s="487" t="n">
        <v>0</v>
      </c>
      <c r="Y181" s="487" t="n">
        <v>0</v>
      </c>
      <c r="Z181" s="487" t="n">
        <v>0</v>
      </c>
      <c r="AA181" s="487" t="n">
        <v>0</v>
      </c>
      <c r="AB181" s="487" t="n">
        <v>1</v>
      </c>
      <c r="AC181" s="487" t="n">
        <v>0</v>
      </c>
      <c r="AD181" s="487" t="n">
        <v>0</v>
      </c>
      <c r="AE181" s="487" t="n">
        <v>0</v>
      </c>
      <c r="AF181" s="487" t="n">
        <v>0</v>
      </c>
      <c r="AG181" s="753" t="n">
        <v>0</v>
      </c>
      <c r="AH181" s="704" t="n"/>
      <c r="AI181" s="23" t="n">
        <v>27</v>
      </c>
      <c r="AJ181" s="543" t="n">
        <v>-0.06626892797580587</v>
      </c>
      <c r="AK181" s="1" t="n">
        <v>-0.09684040367116278</v>
      </c>
      <c r="AL181" s="1" t="n">
        <v>-0.01637625994308676</v>
      </c>
      <c r="AM181" s="1" t="n">
        <v>0.06254774777559657</v>
      </c>
      <c r="AN181" s="1" t="n">
        <v>-0.102308030595595</v>
      </c>
      <c r="AO181" s="1" t="n">
        <v>0.1340283371572583</v>
      </c>
      <c r="AP181" s="1" t="n">
        <v>0.2951647663323547</v>
      </c>
      <c r="AQ181" s="1" t="n">
        <v>0.06254766605465616</v>
      </c>
      <c r="AR181" s="1" t="n">
        <v>-0.08218801654488597</v>
      </c>
      <c r="AS181" s="1" t="n">
        <v>0.01550300383010872</v>
      </c>
      <c r="AT181" s="1" t="n">
        <v>0.02106812475410569</v>
      </c>
      <c r="AU181" s="1" t="n">
        <v>-0.06626882896647876</v>
      </c>
      <c r="AV181" s="1" t="n">
        <v>-0.00759461820177193</v>
      </c>
      <c r="AW181" s="1" t="n">
        <v>-0.007993687502164518</v>
      </c>
      <c r="AX181" s="1" t="n">
        <v>0.004334476048433622</v>
      </c>
      <c r="AY181" s="1" t="n">
        <v>0.02277902896546116</v>
      </c>
      <c r="AZ181" s="1" t="n">
        <v>-0.0767354768890896</v>
      </c>
      <c r="BA181" s="1" t="n">
        <v>-0.008771981749374241</v>
      </c>
      <c r="BB181" s="1" t="n">
        <v>-0.008272791714942912</v>
      </c>
      <c r="BC181" s="1" t="n">
        <v>0.1098995379002175</v>
      </c>
      <c r="BD181" s="1" t="n">
        <v>0.01525532251474554</v>
      </c>
      <c r="BE181" s="1" t="n">
        <v>0.0215481630811408</v>
      </c>
      <c r="BF181" s="1" t="n">
        <v>0.05684217220027871</v>
      </c>
      <c r="BG181" s="1" t="n">
        <v>-0.07853046098665953</v>
      </c>
      <c r="BH181" s="1" t="n">
        <v>-0.005425317575541169</v>
      </c>
      <c r="BI181" s="1" t="n">
        <v>-0.009689879233964388</v>
      </c>
      <c r="BJ181" s="1" t="n">
        <v>0.486706967011375</v>
      </c>
      <c r="BK181" s="1" t="n">
        <v>-0.2394130917736966</v>
      </c>
      <c r="BL181" s="1" t="n">
        <v>0.0295437146582959</v>
      </c>
      <c r="BM181" s="1" t="n">
        <v>-0.05949470735118376</v>
      </c>
      <c r="BN181" s="1" t="n">
        <v>-0.09365151032446299</v>
      </c>
      <c r="BO181" s="544" t="n">
        <v>0.03296419912139591</v>
      </c>
      <c r="BP181" s="23" t="n"/>
      <c r="BQ181" s="705" t="n"/>
      <c r="BR181" s="487" t="n"/>
      <c r="BS181" s="487" t="n"/>
      <c r="BT181" s="487" t="n"/>
    </row>
    <row r="182">
      <c r="A182" t="n">
        <v>28</v>
      </c>
      <c r="B182" s="705" t="n">
        <v>0</v>
      </c>
      <c r="C182" s="487" t="n">
        <v>0</v>
      </c>
      <c r="D182" s="487" t="n">
        <v>0</v>
      </c>
      <c r="E182" s="487" t="n">
        <v>0</v>
      </c>
      <c r="F182" s="487" t="n">
        <v>0</v>
      </c>
      <c r="G182" s="487" t="n">
        <v>0</v>
      </c>
      <c r="H182" s="487" t="n">
        <v>0</v>
      </c>
      <c r="I182" s="487" t="n">
        <v>0</v>
      </c>
      <c r="J182" s="487" t="n">
        <v>0</v>
      </c>
      <c r="K182" s="487" t="n">
        <v>0</v>
      </c>
      <c r="L182" s="487" t="n">
        <v>0</v>
      </c>
      <c r="M182" s="487" t="n">
        <v>0</v>
      </c>
      <c r="N182" s="487" t="n">
        <v>0</v>
      </c>
      <c r="O182" s="487" t="n">
        <v>0</v>
      </c>
      <c r="P182" s="487" t="n">
        <v>0</v>
      </c>
      <c r="Q182" s="487" t="n">
        <v>0</v>
      </c>
      <c r="R182" s="487" t="n">
        <v>0</v>
      </c>
      <c r="S182" s="487" t="n">
        <v>0</v>
      </c>
      <c r="T182" s="487" t="n">
        <v>0</v>
      </c>
      <c r="U182" s="487" t="n">
        <v>0</v>
      </c>
      <c r="V182" s="487" t="n">
        <v>0</v>
      </c>
      <c r="W182" s="487" t="n">
        <v>0</v>
      </c>
      <c r="X182" s="487" t="n">
        <v>0</v>
      </c>
      <c r="Y182" s="487" t="n">
        <v>0</v>
      </c>
      <c r="Z182" s="487" t="n">
        <v>0</v>
      </c>
      <c r="AA182" s="487" t="n">
        <v>0</v>
      </c>
      <c r="AB182" s="487" t="n">
        <v>0</v>
      </c>
      <c r="AC182" s="487" t="n">
        <v>1</v>
      </c>
      <c r="AD182" s="487" t="n">
        <v>0</v>
      </c>
      <c r="AE182" s="487" t="n">
        <v>0</v>
      </c>
      <c r="AF182" s="487" t="n">
        <v>0</v>
      </c>
      <c r="AG182" s="753" t="n">
        <v>0</v>
      </c>
      <c r="AH182" s="704" t="n"/>
      <c r="AI182" s="23" t="n">
        <v>28</v>
      </c>
      <c r="AJ182" s="543" t="n">
        <v>-0.0004156640783735896</v>
      </c>
      <c r="AK182" s="1" t="n">
        <v>0.1070939128231064</v>
      </c>
      <c r="AL182" s="1" t="n">
        <v>-0.055094321129638</v>
      </c>
      <c r="AM182" s="1" t="n">
        <v>0.03180898697656535</v>
      </c>
      <c r="AN182" s="1" t="n">
        <v>0.07832626715041527</v>
      </c>
      <c r="AO182" s="1" t="n">
        <v>0.03499314373499959</v>
      </c>
      <c r="AP182" s="1" t="n">
        <v>0.1349867666746573</v>
      </c>
      <c r="AQ182" s="1" t="n">
        <v>0.03180894541695008</v>
      </c>
      <c r="AR182" s="1" t="n">
        <v>0.04301955347106675</v>
      </c>
      <c r="AS182" s="1" t="n">
        <v>-0.002650821463445391</v>
      </c>
      <c r="AT182" s="1" t="n">
        <v>-0.01383752386985265</v>
      </c>
      <c r="AU182" s="1" t="n">
        <v>-0.0004156634573491384</v>
      </c>
      <c r="AV182" s="1" t="n">
        <v>-0.01283784643323198</v>
      </c>
      <c r="AW182" s="1" t="n">
        <v>0.0141692423541649</v>
      </c>
      <c r="AX182" s="1" t="n">
        <v>-0.01133203471735245</v>
      </c>
      <c r="AY182" s="1" t="n">
        <v>-0.03554301492559168</v>
      </c>
      <c r="AZ182" s="1" t="n">
        <v>0.0908095544268754</v>
      </c>
      <c r="BA182" s="1" t="n">
        <v>-0.02813626685743268</v>
      </c>
      <c r="BB182" s="1" t="n">
        <v>-0.1228320024587243</v>
      </c>
      <c r="BC182" s="1" t="n">
        <v>-0.2337293776340936</v>
      </c>
      <c r="BD182" s="1" t="n">
        <v>-0.007269101299519201</v>
      </c>
      <c r="BE182" s="1" t="n">
        <v>0.003900488205720185</v>
      </c>
      <c r="BF182" s="1" t="n">
        <v>-0.02484323566691837</v>
      </c>
      <c r="BG182" s="1" t="n">
        <v>0.1526523574723337</v>
      </c>
      <c r="BH182" s="1" t="n">
        <v>-0.09505686460995746</v>
      </c>
      <c r="BI182" s="1" t="n">
        <v>-0.0293836441016588</v>
      </c>
      <c r="BJ182" s="1" t="n">
        <v>-0.2394130917736967</v>
      </c>
      <c r="BK182" s="1" t="n">
        <v>0.3748810088719998</v>
      </c>
      <c r="BL182" s="1" t="n">
        <v>-0.01120928679596123</v>
      </c>
      <c r="BM182" s="1" t="n">
        <v>0.05178283252055266</v>
      </c>
      <c r="BN182" s="1" t="n">
        <v>0.1246143608932703</v>
      </c>
      <c r="BO182" s="544" t="n">
        <v>-0.01151227219989655</v>
      </c>
      <c r="BP182" s="23" t="n"/>
      <c r="BQ182" s="705" t="n"/>
      <c r="BR182" s="487" t="n"/>
      <c r="BS182" s="487" t="n"/>
      <c r="BT182" s="487" t="n"/>
    </row>
    <row r="183">
      <c r="A183" t="n">
        <v>29</v>
      </c>
      <c r="B183" s="705" t="n">
        <v>0</v>
      </c>
      <c r="C183" s="487" t="n">
        <v>0</v>
      </c>
      <c r="D183" s="487" t="n">
        <v>0</v>
      </c>
      <c r="E183" s="487" t="n">
        <v>0</v>
      </c>
      <c r="F183" s="487" t="n">
        <v>0</v>
      </c>
      <c r="G183" s="487" t="n">
        <v>0</v>
      </c>
      <c r="H183" s="487" t="n">
        <v>0</v>
      </c>
      <c r="I183" s="487" t="n">
        <v>0</v>
      </c>
      <c r="J183" s="487" t="n">
        <v>0</v>
      </c>
      <c r="K183" s="487" t="n">
        <v>0</v>
      </c>
      <c r="L183" s="487" t="n">
        <v>0</v>
      </c>
      <c r="M183" s="487" t="n">
        <v>0</v>
      </c>
      <c r="N183" s="487" t="n">
        <v>0</v>
      </c>
      <c r="O183" s="487" t="n">
        <v>0</v>
      </c>
      <c r="P183" s="487" t="n">
        <v>0</v>
      </c>
      <c r="Q183" s="487" t="n">
        <v>0</v>
      </c>
      <c r="R183" s="487" t="n">
        <v>0</v>
      </c>
      <c r="S183" s="487" t="n">
        <v>0</v>
      </c>
      <c r="T183" s="487" t="n">
        <v>0</v>
      </c>
      <c r="U183" s="487" t="n">
        <v>0</v>
      </c>
      <c r="V183" s="487" t="n">
        <v>0</v>
      </c>
      <c r="W183" s="487" t="n">
        <v>0</v>
      </c>
      <c r="X183" s="487" t="n">
        <v>0</v>
      </c>
      <c r="Y183" s="487" t="n">
        <v>0</v>
      </c>
      <c r="Z183" s="487" t="n">
        <v>0</v>
      </c>
      <c r="AA183" s="487" t="n">
        <v>0</v>
      </c>
      <c r="AB183" s="487" t="n">
        <v>0</v>
      </c>
      <c r="AC183" s="487" t="n">
        <v>0</v>
      </c>
      <c r="AD183" s="487" t="n">
        <v>1</v>
      </c>
      <c r="AE183" s="487" t="n">
        <v>0</v>
      </c>
      <c r="AF183" s="487" t="n">
        <v>0</v>
      </c>
      <c r="AG183" s="753" t="n">
        <v>0</v>
      </c>
      <c r="AH183" s="704" t="n"/>
      <c r="AI183" s="23" t="n">
        <v>29</v>
      </c>
      <c r="AJ183" s="543" t="n">
        <v>0.01658685635014124</v>
      </c>
      <c r="AK183" s="1" t="n">
        <v>0.1494705080220718</v>
      </c>
      <c r="AL183" s="1" t="n">
        <v>-0.1055787818347154</v>
      </c>
      <c r="AM183" s="1" t="n">
        <v>0.01697808419975641</v>
      </c>
      <c r="AN183" s="1" t="n">
        <v>-0.006338058699457541</v>
      </c>
      <c r="AO183" s="1" t="n">
        <v>-0.001249842069812657</v>
      </c>
      <c r="AP183" s="1" t="n">
        <v>-0.02256056501529445</v>
      </c>
      <c r="AQ183" s="1" t="n">
        <v>0.01697806201726292</v>
      </c>
      <c r="AR183" s="1" t="n">
        <v>-0.08130428330392883</v>
      </c>
      <c r="AS183" s="1" t="n">
        <v>-0.02457988166297401</v>
      </c>
      <c r="AT183" s="1" t="n">
        <v>-0.005026457001440193</v>
      </c>
      <c r="AU183" s="1" t="n">
        <v>0.01658683156848963</v>
      </c>
      <c r="AV183" s="1" t="n">
        <v>0.0823058258154466</v>
      </c>
      <c r="AW183" s="1" t="n">
        <v>-0.04857595097119317</v>
      </c>
      <c r="AX183" s="1" t="n">
        <v>0.03905277602905038</v>
      </c>
      <c r="AY183" s="1" t="n">
        <v>0.04816081969468802</v>
      </c>
      <c r="AZ183" s="1" t="n">
        <v>0.03527790109846728</v>
      </c>
      <c r="BA183" s="1" t="n">
        <v>0.1095951633761858</v>
      </c>
      <c r="BB183" s="1" t="n">
        <v>-0.07885982578756552</v>
      </c>
      <c r="BC183" s="1" t="n">
        <v>-0.118116401185363</v>
      </c>
      <c r="BD183" s="1" t="n">
        <v>0.039278072864109</v>
      </c>
      <c r="BE183" s="1" t="n">
        <v>-0.02751114949087945</v>
      </c>
      <c r="BF183" s="1" t="n">
        <v>-0.09877912440770664</v>
      </c>
      <c r="BG183" s="1" t="n">
        <v>0.0229023716998896</v>
      </c>
      <c r="BH183" s="1" t="n">
        <v>0.04608406642576592</v>
      </c>
      <c r="BI183" s="1" t="n">
        <v>0.01802576290882156</v>
      </c>
      <c r="BJ183" s="1" t="n">
        <v>0.02954371465829616</v>
      </c>
      <c r="BK183" s="1" t="n">
        <v>-0.01120928679596145</v>
      </c>
      <c r="BL183" s="1" t="n">
        <v>0.4136785261823307</v>
      </c>
      <c r="BM183" s="1" t="n">
        <v>-0.2101475185558615</v>
      </c>
      <c r="BN183" s="1" t="n">
        <v>-0.2868156609632486</v>
      </c>
      <c r="BO183" s="544" t="n">
        <v>-0.1062296654018851</v>
      </c>
      <c r="BP183" s="23" t="n"/>
      <c r="BQ183" s="705" t="n"/>
      <c r="BR183" s="487" t="n"/>
      <c r="BS183" s="487" t="n"/>
      <c r="BT183" s="487" t="n"/>
    </row>
    <row r="184">
      <c r="A184" t="n">
        <v>30</v>
      </c>
      <c r="B184" s="705" t="n">
        <v>0</v>
      </c>
      <c r="C184" s="487" t="n">
        <v>0</v>
      </c>
      <c r="D184" s="487" t="n">
        <v>0</v>
      </c>
      <c r="E184" s="487" t="n">
        <v>0</v>
      </c>
      <c r="F184" s="487" t="n">
        <v>0</v>
      </c>
      <c r="G184" s="487" t="n">
        <v>0</v>
      </c>
      <c r="H184" s="487" t="n">
        <v>0</v>
      </c>
      <c r="I184" s="487" t="n">
        <v>0</v>
      </c>
      <c r="J184" s="487" t="n">
        <v>0</v>
      </c>
      <c r="K184" s="487" t="n">
        <v>0</v>
      </c>
      <c r="L184" s="487" t="n">
        <v>0</v>
      </c>
      <c r="M184" s="487" t="n">
        <v>0</v>
      </c>
      <c r="N184" s="487" t="n">
        <v>0</v>
      </c>
      <c r="O184" s="487" t="n">
        <v>0</v>
      </c>
      <c r="P184" s="487" t="n">
        <v>0</v>
      </c>
      <c r="Q184" s="487" t="n">
        <v>0</v>
      </c>
      <c r="R184" s="487" t="n">
        <v>0</v>
      </c>
      <c r="S184" s="487" t="n">
        <v>0</v>
      </c>
      <c r="T184" s="487" t="n">
        <v>0</v>
      </c>
      <c r="U184" s="487" t="n">
        <v>0</v>
      </c>
      <c r="V184" s="487" t="n">
        <v>0</v>
      </c>
      <c r="W184" s="487" t="n">
        <v>0</v>
      </c>
      <c r="X184" s="487" t="n">
        <v>0</v>
      </c>
      <c r="Y184" s="487" t="n">
        <v>0</v>
      </c>
      <c r="Z184" s="487" t="n">
        <v>0</v>
      </c>
      <c r="AA184" s="487" t="n">
        <v>0</v>
      </c>
      <c r="AB184" s="487" t="n">
        <v>0</v>
      </c>
      <c r="AC184" s="487" t="n">
        <v>0</v>
      </c>
      <c r="AD184" s="487" t="n">
        <v>0</v>
      </c>
      <c r="AE184" s="487" t="n">
        <v>1</v>
      </c>
      <c r="AF184" s="487" t="n">
        <v>0</v>
      </c>
      <c r="AG184" s="753" t="n">
        <v>0</v>
      </c>
      <c r="AH184" s="704" t="n"/>
      <c r="AI184" s="23" t="n">
        <v>30</v>
      </c>
      <c r="AJ184" s="543" t="n">
        <v>-0.03875557536124426</v>
      </c>
      <c r="AK184" s="1" t="n">
        <v>-0.08182785595138434</v>
      </c>
      <c r="AL184" s="1" t="n">
        <v>0.188039847295175</v>
      </c>
      <c r="AM184" s="1" t="n">
        <v>-0.03219662036820992</v>
      </c>
      <c r="AN184" s="1" t="n">
        <v>-0.09780032435873318</v>
      </c>
      <c r="AO184" s="1" t="n">
        <v>0.04348320464685239</v>
      </c>
      <c r="AP184" s="1" t="n">
        <v>0.02876985099432659</v>
      </c>
      <c r="AQ184" s="1" t="n">
        <v>-0.03219657830213729</v>
      </c>
      <c r="AR184" s="1" t="n">
        <v>0.1448150150432609</v>
      </c>
      <c r="AS184" s="1" t="n">
        <v>0.01199121594826953</v>
      </c>
      <c r="AT184" s="1" t="n">
        <v>0.02650976691887369</v>
      </c>
      <c r="AU184" s="1" t="n">
        <v>-0.03875551745833936</v>
      </c>
      <c r="AV184" s="1" t="n">
        <v>0.01259869202729643</v>
      </c>
      <c r="AW184" s="1" t="n">
        <v>-0.02182712898411365</v>
      </c>
      <c r="AX184" s="1" t="n">
        <v>0.01413420150545502</v>
      </c>
      <c r="AY184" s="1" t="n">
        <v>0.03762901456087538</v>
      </c>
      <c r="AZ184" s="1" t="n">
        <v>-0.07846698971604701</v>
      </c>
      <c r="BA184" s="1" t="n">
        <v>0.02128905914088093</v>
      </c>
      <c r="BB184" s="1" t="n">
        <v>0.02538744358524205</v>
      </c>
      <c r="BC184" s="1" t="n">
        <v>-0.2120809696439619</v>
      </c>
      <c r="BD184" s="1" t="n">
        <v>0.02207929385205991</v>
      </c>
      <c r="BE184" s="1" t="n">
        <v>0.01279057688751171</v>
      </c>
      <c r="BF184" s="1" t="n">
        <v>0.03429563068177694</v>
      </c>
      <c r="BG184" s="1" t="n">
        <v>-0.1062527083193743</v>
      </c>
      <c r="BH184" s="1" t="n">
        <v>0.007114653544693579</v>
      </c>
      <c r="BI184" s="1" t="n">
        <v>0.02997255335333214</v>
      </c>
      <c r="BJ184" s="1" t="n">
        <v>-0.05949470735118369</v>
      </c>
      <c r="BK184" s="1" t="n">
        <v>0.05178283252055266</v>
      </c>
      <c r="BL184" s="1" t="n">
        <v>-0.2101475185558615</v>
      </c>
      <c r="BM184" s="1" t="n">
        <v>0.6633265111582599</v>
      </c>
      <c r="BN184" s="1" t="n">
        <v>-0.1519198731597195</v>
      </c>
      <c r="BO184" s="544" t="n">
        <v>0.008858548559261076</v>
      </c>
      <c r="BP184" s="23" t="n"/>
      <c r="BQ184" s="705" t="n"/>
      <c r="BR184" s="487" t="n"/>
      <c r="BS184" s="487" t="n"/>
      <c r="BT184" s="487" t="n"/>
    </row>
    <row r="185">
      <c r="A185" t="n">
        <v>31</v>
      </c>
      <c r="B185" s="705" t="n">
        <v>0</v>
      </c>
      <c r="C185" s="487" t="n">
        <v>0</v>
      </c>
      <c r="D185" s="487" t="n">
        <v>0</v>
      </c>
      <c r="E185" s="487" t="n">
        <v>0</v>
      </c>
      <c r="F185" s="487" t="n">
        <v>0</v>
      </c>
      <c r="G185" s="487" t="n">
        <v>0</v>
      </c>
      <c r="H185" s="487" t="n">
        <v>0</v>
      </c>
      <c r="I185" s="487" t="n">
        <v>0</v>
      </c>
      <c r="J185" s="487" t="n">
        <v>0</v>
      </c>
      <c r="K185" s="487" t="n">
        <v>0</v>
      </c>
      <c r="L185" s="487" t="n">
        <v>0</v>
      </c>
      <c r="M185" s="487" t="n">
        <v>0</v>
      </c>
      <c r="N185" s="487" t="n">
        <v>0</v>
      </c>
      <c r="O185" s="487" t="n">
        <v>0</v>
      </c>
      <c r="P185" s="487" t="n">
        <v>0</v>
      </c>
      <c r="Q185" s="487" t="n">
        <v>0</v>
      </c>
      <c r="R185" s="487" t="n">
        <v>0</v>
      </c>
      <c r="S185" s="487" t="n">
        <v>0</v>
      </c>
      <c r="T185" s="487" t="n">
        <v>0</v>
      </c>
      <c r="U185" s="487" t="n">
        <v>0</v>
      </c>
      <c r="V185" s="487" t="n">
        <v>0</v>
      </c>
      <c r="W185" s="487" t="n">
        <v>0</v>
      </c>
      <c r="X185" s="487" t="n">
        <v>0</v>
      </c>
      <c r="Y185" s="487" t="n">
        <v>0</v>
      </c>
      <c r="Z185" s="487" t="n">
        <v>0</v>
      </c>
      <c r="AA185" s="487" t="n">
        <v>0</v>
      </c>
      <c r="AB185" s="487" t="n">
        <v>0</v>
      </c>
      <c r="AC185" s="487" t="n">
        <v>0</v>
      </c>
      <c r="AD185" s="487" t="n">
        <v>0</v>
      </c>
      <c r="AE185" s="487" t="n">
        <v>0</v>
      </c>
      <c r="AF185" s="487" t="n">
        <v>1</v>
      </c>
      <c r="AG185" s="753" t="n">
        <v>0</v>
      </c>
      <c r="AH185" s="704" t="n"/>
      <c r="AI185" s="23" t="n">
        <v>31</v>
      </c>
      <c r="AJ185" s="543" t="n">
        <v>0.04715052626417884</v>
      </c>
      <c r="AK185" s="1" t="n">
        <v>-0.1346699799852332</v>
      </c>
      <c r="AL185" s="1" t="n">
        <v>-0.1113432564738989</v>
      </c>
      <c r="AM185" s="1" t="n">
        <v>0.05012593539400635</v>
      </c>
      <c r="AN185" s="1" t="n">
        <v>0.1654366184525415</v>
      </c>
      <c r="AO185" s="1" t="n">
        <v>-0.014664953617849</v>
      </c>
      <c r="AP185" s="1" t="n">
        <v>0.04222102692932643</v>
      </c>
      <c r="AQ185" s="1" t="n">
        <v>0.05012586990262203</v>
      </c>
      <c r="AR185" s="1" t="n">
        <v>-0.02519726536434153</v>
      </c>
      <c r="AS185" s="1" t="n">
        <v>-0.004080556445699535</v>
      </c>
      <c r="AT185" s="1" t="n">
        <v>-0.05799264526074631</v>
      </c>
      <c r="AU185" s="1" t="n">
        <v>0.0471504558187678</v>
      </c>
      <c r="AV185" s="1" t="n">
        <v>-0.05191075862749162</v>
      </c>
      <c r="AW185" s="1" t="n">
        <v>0.04370085478721308</v>
      </c>
      <c r="AX185" s="1" t="n">
        <v>-0.02117319300473139</v>
      </c>
      <c r="AY185" s="1" t="n">
        <v>-0.04251325230208873</v>
      </c>
      <c r="AZ185" s="1" t="n">
        <v>0.03104007110158979</v>
      </c>
      <c r="BA185" s="1" t="n">
        <v>-0.1023080341367532</v>
      </c>
      <c r="BB185" s="1" t="n">
        <v>0.02097463043649249</v>
      </c>
      <c r="BC185" s="1" t="n">
        <v>0.0646292073297112</v>
      </c>
      <c r="BD185" s="1" t="n">
        <v>0.0192130585010661</v>
      </c>
      <c r="BE185" s="1" t="n">
        <v>0.05196813728580234</v>
      </c>
      <c r="BF185" s="1" t="n">
        <v>0.08078857584297353</v>
      </c>
      <c r="BG185" s="1" t="n">
        <v>-0.06620731978193886</v>
      </c>
      <c r="BH185" s="1" t="n">
        <v>-0.07583973928216037</v>
      </c>
      <c r="BI185" s="1" t="n">
        <v>-0.009922712565742751</v>
      </c>
      <c r="BJ185" s="1" t="n">
        <v>-0.09365151032446332</v>
      </c>
      <c r="BK185" s="1" t="n">
        <v>0.1246143608932705</v>
      </c>
      <c r="BL185" s="1" t="n">
        <v>-0.2868156609632484</v>
      </c>
      <c r="BM185" s="1" t="n">
        <v>-0.1519198731597194</v>
      </c>
      <c r="BN185" s="1" t="n">
        <v>0.494636367877594</v>
      </c>
      <c r="BO185" s="544" t="n">
        <v>0.06484497632967393</v>
      </c>
      <c r="BP185" s="23" t="n"/>
      <c r="BQ185" s="705" t="n"/>
      <c r="BR185" s="487" t="n"/>
      <c r="BS185" s="487" t="n"/>
      <c r="BT185" s="487" t="n"/>
    </row>
    <row r="186">
      <c r="A186" t="n">
        <v>32</v>
      </c>
      <c r="B186" s="705" t="n">
        <v>0</v>
      </c>
      <c r="C186" s="487" t="n">
        <v>0</v>
      </c>
      <c r="D186" s="487" t="n">
        <v>0</v>
      </c>
      <c r="E186" s="487" t="n">
        <v>0</v>
      </c>
      <c r="F186" s="487" t="n">
        <v>0</v>
      </c>
      <c r="G186" s="487" t="n">
        <v>0</v>
      </c>
      <c r="H186" s="487" t="n">
        <v>0</v>
      </c>
      <c r="I186" s="487" t="n">
        <v>0</v>
      </c>
      <c r="J186" s="487" t="n">
        <v>0</v>
      </c>
      <c r="K186" s="487" t="n">
        <v>0</v>
      </c>
      <c r="L186" s="487" t="n">
        <v>0</v>
      </c>
      <c r="M186" s="487" t="n">
        <v>0</v>
      </c>
      <c r="N186" s="487" t="n">
        <v>0</v>
      </c>
      <c r="O186" s="487" t="n">
        <v>0</v>
      </c>
      <c r="P186" s="487" t="n">
        <v>0</v>
      </c>
      <c r="Q186" s="487" t="n">
        <v>0</v>
      </c>
      <c r="R186" s="487" t="n">
        <v>0</v>
      </c>
      <c r="S186" s="487" t="n">
        <v>0</v>
      </c>
      <c r="T186" s="487" t="n">
        <v>0</v>
      </c>
      <c r="U186" s="487" t="n">
        <v>0</v>
      </c>
      <c r="V186" s="487" t="n">
        <v>0</v>
      </c>
      <c r="W186" s="487" t="n">
        <v>0</v>
      </c>
      <c r="X186" s="487" t="n">
        <v>0</v>
      </c>
      <c r="Y186" s="487" t="n">
        <v>0</v>
      </c>
      <c r="Z186" s="487" t="n">
        <v>0</v>
      </c>
      <c r="AA186" s="487" t="n">
        <v>0</v>
      </c>
      <c r="AB186" s="487" t="n">
        <v>0</v>
      </c>
      <c r="AC186" s="487" t="n">
        <v>0</v>
      </c>
      <c r="AD186" s="487" t="n">
        <v>0</v>
      </c>
      <c r="AE186" s="487" t="n">
        <v>0</v>
      </c>
      <c r="AF186" s="487" t="n">
        <v>0</v>
      </c>
      <c r="AG186" s="753" t="n">
        <v>1</v>
      </c>
      <c r="AH186" s="704" t="n"/>
      <c r="AI186" s="23" t="n">
        <v>32</v>
      </c>
      <c r="AJ186" s="543" t="n">
        <v>-0.02586736130083107</v>
      </c>
      <c r="AK186" s="14" t="n">
        <v>-0.07489480674787354</v>
      </c>
      <c r="AL186" s="14" t="n">
        <v>-0.01976294139946751</v>
      </c>
      <c r="AM186" s="14" t="n">
        <v>-0.01222924161768125</v>
      </c>
      <c r="AN186" s="14" t="n">
        <v>-0.08534924944545332</v>
      </c>
      <c r="AO186" s="14" t="n">
        <v>0.008241548579331338</v>
      </c>
      <c r="AP186" s="14" t="n">
        <v>-0.01346156718990829</v>
      </c>
      <c r="AQ186" s="14" t="n">
        <v>-0.01222922563972581</v>
      </c>
      <c r="AR186" s="14" t="n">
        <v>-0.03594624271045085</v>
      </c>
      <c r="AS186" s="14" t="n">
        <v>0.02387889373112666</v>
      </c>
      <c r="AT186" s="14" t="n">
        <v>0.01563449402355412</v>
      </c>
      <c r="AU186" s="14" t="n">
        <v>-0.0258673226536081</v>
      </c>
      <c r="AV186" s="14" t="n">
        <v>-0.1557457832470087</v>
      </c>
      <c r="AW186" s="14" t="n">
        <v>0.02328838774057611</v>
      </c>
      <c r="AX186" s="14" t="n">
        <v>0.1659839207927145</v>
      </c>
      <c r="AY186" s="14" t="n">
        <v>-0.05317563762107447</v>
      </c>
      <c r="AZ186" s="14" t="n">
        <v>0.1365835755461868</v>
      </c>
      <c r="BA186" s="14" t="n">
        <v>0.2730159833621026</v>
      </c>
      <c r="BB186" s="14" t="n">
        <v>-0.08944894431948353</v>
      </c>
      <c r="BC186" s="14" t="n">
        <v>0.02293698108650896</v>
      </c>
      <c r="BD186" s="14" t="n">
        <v>-0.01274645415589992</v>
      </c>
      <c r="BE186" s="14" t="n">
        <v>-0.03957671137127551</v>
      </c>
      <c r="BF186" s="14" t="n">
        <v>-0.06832206522341808</v>
      </c>
      <c r="BG186" s="14" t="n">
        <v>0.05387831944011225</v>
      </c>
      <c r="BH186" s="14" t="n">
        <v>0.05560227767270126</v>
      </c>
      <c r="BI186" s="14" t="n">
        <v>0.01116463363778003</v>
      </c>
      <c r="BJ186" s="14" t="n">
        <v>0.03296419912139568</v>
      </c>
      <c r="BK186" s="14" t="n">
        <v>-0.01151227219989603</v>
      </c>
      <c r="BL186" s="14" t="n">
        <v>-0.1062296654018852</v>
      </c>
      <c r="BM186" s="14" t="n">
        <v>0.008858548559261319</v>
      </c>
      <c r="BN186" s="14" t="n">
        <v>0.06484497632967437</v>
      </c>
      <c r="BO186" s="544" t="n">
        <v>0.7156894319531726</v>
      </c>
      <c r="BP186" s="23" t="n"/>
      <c r="BQ186" s="705" t="n"/>
      <c r="BR186" s="487" t="n"/>
      <c r="BS186" s="487" t="n"/>
      <c r="BT186" s="487" t="n"/>
    </row>
    <row r="187">
      <c r="B187" s="705" t="n"/>
      <c r="C187" s="487" t="n"/>
      <c r="D187" s="487" t="n"/>
      <c r="E187" s="487" t="n"/>
      <c r="F187" s="487" t="n"/>
      <c r="G187" s="487" t="n"/>
      <c r="H187" s="487" t="n"/>
      <c r="I187" s="487" t="n"/>
      <c r="J187" s="487" t="n"/>
      <c r="K187" s="487" t="n"/>
      <c r="L187" s="487" t="n"/>
      <c r="M187" s="487" t="n"/>
      <c r="N187" s="487" t="n"/>
      <c r="O187" s="487" t="n"/>
      <c r="P187" s="487" t="n"/>
      <c r="Q187" s="487" t="n"/>
      <c r="R187" s="487" t="n"/>
      <c r="S187" s="487" t="n"/>
      <c r="T187" s="487" t="n"/>
      <c r="U187" s="487" t="n"/>
      <c r="V187" s="487" t="n"/>
      <c r="W187" s="487" t="n"/>
      <c r="X187" s="487" t="n"/>
      <c r="Y187" s="487" t="n"/>
      <c r="Z187" s="487" t="n"/>
      <c r="AA187" s="487" t="n"/>
      <c r="AB187" s="487" t="n"/>
      <c r="AC187" s="487" t="n"/>
      <c r="AD187" s="487" t="n"/>
      <c r="AE187" s="487" t="n"/>
      <c r="AF187" s="487" t="n"/>
      <c r="AG187" s="753" t="n"/>
      <c r="AH187" s="704" t="n"/>
      <c r="AI187" s="23" t="n"/>
      <c r="AJ187" s="54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 t="n"/>
      <c r="AT187" s="23" t="n"/>
      <c r="AU187" s="23" t="n"/>
      <c r="AV187" s="23" t="n"/>
      <c r="AW187" s="23" t="n"/>
      <c r="AX187" s="23" t="n"/>
      <c r="AY187" s="23" t="n"/>
      <c r="AZ187" s="23" t="n"/>
      <c r="BA187" s="23" t="n"/>
      <c r="BB187" s="23" t="n"/>
      <c r="BC187" s="23" t="n"/>
      <c r="BD187" s="23" t="n"/>
      <c r="BE187" s="23" t="n"/>
      <c r="BF187" s="23" t="n"/>
      <c r="BG187" s="23" t="n"/>
      <c r="BH187" s="23" t="n"/>
      <c r="BI187" s="23" t="n"/>
      <c r="BJ187" s="23" t="n"/>
      <c r="BK187" s="23" t="n"/>
      <c r="BL187" s="23" t="n"/>
      <c r="BM187" s="23" t="n"/>
      <c r="BN187" s="23" t="n"/>
      <c r="BO187" s="544" t="n"/>
      <c r="BP187" s="23" t="n"/>
      <c r="BQ187" s="705" t="n"/>
      <c r="BR187" s="487" t="n"/>
      <c r="BS187" s="487" t="n"/>
      <c r="BT187" s="487" t="n"/>
    </row>
    <row r="188">
      <c r="B188" s="705" t="n"/>
      <c r="C188" s="487" t="n"/>
      <c r="D188" s="487" t="n"/>
      <c r="E188" s="487" t="n"/>
      <c r="F188" s="487" t="n"/>
      <c r="G188" s="487" t="n"/>
      <c r="H188" s="487" t="n"/>
      <c r="I188" s="487" t="n"/>
      <c r="J188" s="487" t="n"/>
      <c r="K188" s="487" t="n"/>
      <c r="L188" s="487" t="n"/>
      <c r="M188" s="487" t="n"/>
      <c r="N188" s="487" t="n"/>
      <c r="O188" s="487" t="n"/>
      <c r="P188" s="487" t="n"/>
      <c r="Q188" s="487" t="n"/>
      <c r="R188" s="487" t="n"/>
      <c r="S188" s="487" t="n"/>
      <c r="T188" s="487" t="n"/>
      <c r="U188" s="487" t="n"/>
      <c r="V188" s="487" t="n"/>
      <c r="W188" s="487" t="n"/>
      <c r="X188" s="487" t="n"/>
      <c r="Y188" s="487" t="n"/>
      <c r="Z188" s="487" t="n"/>
      <c r="AA188" s="487" t="n"/>
      <c r="AB188" s="487" t="n"/>
      <c r="AC188" s="487" t="n"/>
      <c r="AD188" s="487" t="n"/>
      <c r="AE188" s="487" t="n"/>
      <c r="AF188" s="487" t="n"/>
      <c r="AG188" s="753" t="n"/>
      <c r="AH188" s="704" t="n"/>
      <c r="AI188" s="23" t="n"/>
      <c r="AJ188" s="543" t="n"/>
      <c r="AK188" s="706" t="inlineStr">
        <is>
          <t>Test lokalny</t>
        </is>
      </c>
      <c r="AL188" s="596" t="n"/>
      <c r="AM188" s="597" t="n"/>
      <c r="AN188" s="23" t="n"/>
      <c r="AO188" s="23" t="n"/>
      <c r="AP188" s="23" t="n"/>
      <c r="AQ188" s="23" t="n"/>
      <c r="AR188" s="23" t="n"/>
      <c r="AS188" s="23" t="n"/>
      <c r="AV188" s="23" t="n"/>
      <c r="AW188" s="23" t="n"/>
      <c r="AX188" s="23" t="n"/>
      <c r="AY188" s="23" t="n"/>
      <c r="AZ188" s="23" t="n"/>
      <c r="BA188" s="23" t="n"/>
      <c r="BB188" s="23" t="n"/>
      <c r="BC188" s="23" t="n"/>
      <c r="BD188" s="23" t="n"/>
      <c r="BE188" s="23" t="n"/>
      <c r="BF188" s="23" t="n"/>
      <c r="BG188" s="23" t="n"/>
      <c r="BH188" s="23" t="n"/>
      <c r="BI188" s="23" t="n"/>
      <c r="BJ188" s="23" t="n"/>
      <c r="BK188" s="23" t="n"/>
      <c r="BL188" s="23" t="n"/>
      <c r="BM188" s="23" t="n"/>
      <c r="BN188" s="23" t="n"/>
      <c r="BO188" s="544" t="n"/>
      <c r="BP188" s="23" t="n"/>
      <c r="BQ188" s="705" t="n"/>
      <c r="BR188" s="487" t="n"/>
      <c r="BS188" s="487" t="n"/>
      <c r="BT188" s="487" t="n"/>
    </row>
    <row r="189">
      <c r="B189" s="705" t="inlineStr">
        <is>
          <t>Cv</t>
        </is>
      </c>
      <c r="C189" s="506" t="n"/>
      <c r="D189" s="506" t="n"/>
      <c r="E189" s="506" t="n"/>
      <c r="F189" s="506" t="n"/>
      <c r="G189" s="506" t="n"/>
      <c r="H189" s="506" t="n"/>
      <c r="I189" s="506" t="n"/>
      <c r="J189" s="506" t="n"/>
      <c r="K189" s="506" t="n"/>
      <c r="L189" s="506" t="n"/>
      <c r="M189" s="506" t="n"/>
      <c r="N189" s="506" t="n"/>
      <c r="O189" s="506" t="n"/>
      <c r="P189" s="506" t="n"/>
      <c r="Q189" s="506" t="n"/>
      <c r="R189" s="506" t="n"/>
      <c r="S189" s="506" t="n"/>
      <c r="T189" s="506" t="n"/>
      <c r="U189" s="506" t="n"/>
      <c r="V189" s="506" t="n"/>
      <c r="W189" s="506" t="n"/>
      <c r="X189" s="506" t="n"/>
      <c r="Y189" s="506" t="n"/>
      <c r="Z189" s="506" t="n"/>
      <c r="AA189" s="506" t="n"/>
      <c r="AB189" s="506" t="n"/>
      <c r="AC189" s="506" t="n"/>
      <c r="AD189" s="506" t="n"/>
      <c r="AE189" s="506" t="n"/>
      <c r="AF189" s="506" t="n"/>
      <c r="AG189" s="507" t="n"/>
      <c r="AH189" s="704" t="n"/>
      <c r="AI189" s="103" t="inlineStr">
        <is>
          <t>s</t>
        </is>
      </c>
      <c r="AJ189" s="543" t="n"/>
      <c r="AK189" s="260" t="inlineStr">
        <is>
          <t>Qvi</t>
        </is>
      </c>
      <c r="AL189" s="277" t="inlineStr">
        <is>
          <t>ui</t>
        </is>
      </c>
      <c r="AM189" s="260" t="inlineStr">
        <is>
          <t>Warunek</t>
        </is>
      </c>
      <c r="AN189" s="23" t="n"/>
      <c r="AO189" s="707" t="inlineStr">
        <is>
          <t>Test globalny</t>
        </is>
      </c>
      <c r="AP189" s="597" t="n"/>
      <c r="AQ189" s="23" t="n"/>
      <c r="AR189" s="23" t="n"/>
      <c r="AV189" s="23" t="n"/>
      <c r="AW189" s="23" t="n"/>
      <c r="AX189" s="23" t="n"/>
      <c r="AY189" s="23" t="n"/>
      <c r="AZ189" s="23" t="n"/>
      <c r="BA189" s="23" t="n"/>
      <c r="BB189" s="23" t="n"/>
      <c r="BC189" s="23" t="n"/>
      <c r="BD189" s="23" t="n"/>
      <c r="BE189" s="23" t="n"/>
      <c r="BF189" s="23" t="n"/>
      <c r="BG189" s="23" t="n"/>
      <c r="BH189" s="23" t="n"/>
      <c r="BI189" s="23" t="n"/>
      <c r="BJ189" s="23" t="n"/>
      <c r="BK189" s="23" t="n"/>
      <c r="BL189" s="23" t="n"/>
      <c r="BM189" s="23" t="n"/>
      <c r="BN189" s="23" t="n"/>
      <c r="BO189" s="544" t="n"/>
      <c r="BP189" s="23" t="n"/>
      <c r="BQ189" s="705" t="n"/>
      <c r="BR189" s="487" t="n"/>
      <c r="BS189" s="487" t="n"/>
      <c r="BT189" s="487" t="n"/>
    </row>
    <row r="190">
      <c r="A190" t="n">
        <v>1</v>
      </c>
      <c r="B190" s="705">
        <f t="array" ref="B190:AG221">_xlfn.ANCHORARRAY(B155)-_xlfn.ANCHORARRAY(AJ155)</f>
        <v/>
      </c>
      <c r="C190" s="487" t="n">
        <v>0.004586656228846214</v>
      </c>
      <c r="D190" s="487" t="n">
        <v>0.0251452239613946</v>
      </c>
      <c r="E190" s="487" t="n">
        <v>-0.05571102909154273</v>
      </c>
      <c r="F190" s="487" t="n">
        <v>-0.07259895458687846</v>
      </c>
      <c r="G190" s="487" t="n">
        <v>-0.1286048859272833</v>
      </c>
      <c r="H190" s="487" t="n">
        <v>0.05720918967344846</v>
      </c>
      <c r="I190" s="487" t="n">
        <v>-0.05571095630302743</v>
      </c>
      <c r="J190" s="487" t="n">
        <v>-0.04537559224892716</v>
      </c>
      <c r="K190" s="487" t="n">
        <v>-0.09283597919840489</v>
      </c>
      <c r="L190" s="487" t="n">
        <v>-0.208367203319703</v>
      </c>
      <c r="M190" s="487" t="n">
        <v>-0.2655149284812722</v>
      </c>
      <c r="N190" s="487" t="n">
        <v>0.00781610974231229</v>
      </c>
      <c r="O190" s="487" t="n">
        <v>0.06153297287199222</v>
      </c>
      <c r="P190" s="487" t="n">
        <v>0.003422558325052269</v>
      </c>
      <c r="Q190" s="487" t="n">
        <v>-0.01111421728776115</v>
      </c>
      <c r="R190" s="487" t="n">
        <v>-0.01140149479472643</v>
      </c>
      <c r="S190" s="487" t="n">
        <v>-0.03346618823590718</v>
      </c>
      <c r="T190" s="487" t="n">
        <v>-0.04948655233166153</v>
      </c>
      <c r="U190" s="487" t="n">
        <v>0.003678995166684363</v>
      </c>
      <c r="V190" s="487" t="n">
        <v>0.04618930495752288</v>
      </c>
      <c r="W190" s="487" t="n">
        <v>0.006365571112860208</v>
      </c>
      <c r="X190" s="487" t="n">
        <v>0.03246767165860995</v>
      </c>
      <c r="Y190" s="487" t="n">
        <v>0.07430511825860253</v>
      </c>
      <c r="Z190" s="487" t="n">
        <v>-0.06777500925307944</v>
      </c>
      <c r="AA190" s="487" t="n">
        <v>-0.0915526567345161</v>
      </c>
      <c r="AB190" s="487" t="n">
        <v>0.06626892797580584</v>
      </c>
      <c r="AC190" s="487" t="n">
        <v>0.0004156640783736752</v>
      </c>
      <c r="AD190" s="487" t="n">
        <v>-0.01658685635014129</v>
      </c>
      <c r="AE190" s="487" t="n">
        <v>0.03875557536124431</v>
      </c>
      <c r="AF190" s="487" t="n">
        <v>-0.04715052626417882</v>
      </c>
      <c r="AG190" s="753" t="n">
        <v>0.02586736130083115</v>
      </c>
      <c r="AH190" s="704" t="n"/>
      <c r="AI190" s="2">
        <f t="array" ref="AI190">SQRT(INDEX(_xlfn.ANCHORARRAY($B$190),A190,A190))</f>
        <v/>
      </c>
      <c r="AJ190" s="543" t="n"/>
      <c r="AK190" s="2">
        <f>$AP$191*AI190</f>
        <v/>
      </c>
      <c r="AL190" s="104">
        <f>ABS(Y119/AK190)</f>
        <v/>
      </c>
      <c r="AM190" s="107">
        <f>IF(AL190&lt;2.5,"Spełniony","Nie spełniony")</f>
        <v/>
      </c>
      <c r="AN190" s="23" t="n"/>
      <c r="AO190" s="101" t="inlineStr">
        <is>
          <t>m0krytyczne</t>
        </is>
      </c>
      <c r="AP190" s="102">
        <f>CHIINV(0.05,19)/19</f>
        <v/>
      </c>
      <c r="AQ190" s="23" t="n"/>
      <c r="AR190" s="23" t="n"/>
      <c r="AV190" s="23" t="n"/>
      <c r="AW190" s="23" t="n"/>
      <c r="AX190" s="23" t="n"/>
      <c r="AY190" s="23" t="n"/>
      <c r="AZ190" s="23" t="n"/>
      <c r="BA190" s="23" t="n"/>
      <c r="BB190" s="23" t="n"/>
      <c r="BC190" s="23" t="n"/>
      <c r="BD190" s="23" t="n"/>
      <c r="BE190" s="23" t="n"/>
      <c r="BF190" s="23" t="n"/>
      <c r="BG190" s="23" t="n"/>
      <c r="BH190" s="23" t="n"/>
      <c r="BI190" s="23" t="n"/>
      <c r="BJ190" s="23" t="n"/>
      <c r="BK190" s="23" t="n"/>
      <c r="BL190" s="23" t="n"/>
      <c r="BM190" s="23" t="n"/>
      <c r="BN190" s="23" t="n"/>
      <c r="BO190" s="544" t="n"/>
      <c r="BP190" s="23" t="n"/>
      <c r="BQ190" s="705" t="n"/>
      <c r="BR190" s="487" t="n"/>
      <c r="BS190" s="487" t="n"/>
      <c r="BT190" s="487" t="n"/>
    </row>
    <row r="191">
      <c r="A191" t="n">
        <v>2</v>
      </c>
      <c r="B191" s="705" t="n">
        <v>0.004586656228846193</v>
      </c>
      <c r="C191" s="487" t="n">
        <v>0.7727918728747158</v>
      </c>
      <c r="D191" s="487" t="n">
        <v>-0.09644525657834678</v>
      </c>
      <c r="E191" s="487" t="n">
        <v>0.005098949264373598</v>
      </c>
      <c r="F191" s="487" t="n">
        <v>-0.03122870223129613</v>
      </c>
      <c r="G191" s="487" t="n">
        <v>-0.01718151123345832</v>
      </c>
      <c r="H191" s="487" t="n">
        <v>-0.05425731394011932</v>
      </c>
      <c r="I191" s="487" t="n">
        <v>0.005098942602408237</v>
      </c>
      <c r="J191" s="487" t="n">
        <v>-0.1013640240773068</v>
      </c>
      <c r="K191" s="487" t="n">
        <v>0.009611030275552402</v>
      </c>
      <c r="L191" s="487" t="n">
        <v>-0.005695137928985277</v>
      </c>
      <c r="M191" s="487" t="n">
        <v>0.004586649376136169</v>
      </c>
      <c r="N191" s="487" t="n">
        <v>-0.03258754239121285</v>
      </c>
      <c r="O191" s="487" t="n">
        <v>0.01653066811839082</v>
      </c>
      <c r="P191" s="487" t="n">
        <v>-0.007601043431728167</v>
      </c>
      <c r="Q191" s="487" t="n">
        <v>0.009675547400277124</v>
      </c>
      <c r="R191" s="487" t="n">
        <v>-0.1072162623763003</v>
      </c>
      <c r="S191" s="487" t="n">
        <v>-0.04424580522307399</v>
      </c>
      <c r="T191" s="487" t="n">
        <v>-0.05562179797405704</v>
      </c>
      <c r="U191" s="487" t="n">
        <v>-0.04271701676241867</v>
      </c>
      <c r="V191" s="487" t="n">
        <v>0.004791714670850572</v>
      </c>
      <c r="W191" s="487" t="n">
        <v>0.02644557448560205</v>
      </c>
      <c r="X191" s="487" t="n">
        <v>0.095672251022473</v>
      </c>
      <c r="Y191" s="487" t="n">
        <v>-0.2087087474256643</v>
      </c>
      <c r="Z191" s="487" t="n">
        <v>0.06646206398367055</v>
      </c>
      <c r="AA191" s="487" t="n">
        <v>0.01533714326306813</v>
      </c>
      <c r="AB191" s="487" t="n">
        <v>0.09684040367116278</v>
      </c>
      <c r="AC191" s="487" t="n">
        <v>-0.1070939128231064</v>
      </c>
      <c r="AD191" s="487" t="n">
        <v>-0.1494705080220718</v>
      </c>
      <c r="AE191" s="487" t="n">
        <v>0.08182785595138431</v>
      </c>
      <c r="AF191" s="487" t="n">
        <v>0.1346699799852332</v>
      </c>
      <c r="AG191" s="753" t="n">
        <v>0.07489480674787335</v>
      </c>
      <c r="AH191" s="704" t="n"/>
      <c r="AI191" s="3">
        <f t="array" ref="AI191">SQRT(INDEX(_xlfn.ANCHORARRAY($B$190),A191,A191))</f>
        <v/>
      </c>
      <c r="AJ191" s="543" t="n"/>
      <c r="AK191" s="3">
        <f>$AP$191*AI191</f>
        <v/>
      </c>
      <c r="AL191" s="105">
        <f>ABS(Y120/AK191)</f>
        <v/>
      </c>
      <c r="AM191" s="108">
        <f>IF(AL191&lt;2.5,"Spełniony","Nie spełniony")</f>
        <v/>
      </c>
      <c r="AN191" s="23" t="n"/>
      <c r="AO191" s="87" t="inlineStr">
        <is>
          <t>m0'</t>
        </is>
      </c>
      <c r="AP191" s="87">
        <f>AB131</f>
        <v/>
      </c>
      <c r="AQ191" s="23" t="n"/>
      <c r="AR191" s="23" t="n"/>
      <c r="AV191" s="23" t="n"/>
      <c r="AW191" s="23" t="n"/>
      <c r="AX191" s="23" t="n"/>
      <c r="AY191" s="23" t="n"/>
      <c r="AZ191" s="23" t="n"/>
      <c r="BA191" s="23" t="n"/>
      <c r="BB191" s="23" t="n"/>
      <c r="BC191" s="23" t="n"/>
      <c r="BD191" s="23" t="n"/>
      <c r="BE191" s="23" t="n"/>
      <c r="BF191" s="23" t="n"/>
      <c r="BG191" s="23" t="n"/>
      <c r="BH191" s="23" t="n"/>
      <c r="BI191" s="23" t="n"/>
      <c r="BJ191" s="23" t="n"/>
      <c r="BK191" s="23" t="n"/>
      <c r="BL191" s="23" t="n"/>
      <c r="BM191" s="23" t="n"/>
      <c r="BN191" s="23" t="n"/>
      <c r="BO191" s="544" t="n"/>
      <c r="BP191" s="23" t="n"/>
      <c r="BQ191" s="705" t="n"/>
      <c r="BR191" s="487" t="n"/>
      <c r="BS191" s="487" t="n"/>
      <c r="BT191" s="487" t="n"/>
    </row>
    <row r="192">
      <c r="A192" t="n">
        <v>3</v>
      </c>
      <c r="B192" s="705" t="n">
        <v>0.02514522396139458</v>
      </c>
      <c r="C192" s="487" t="n">
        <v>-0.09644525657834675</v>
      </c>
      <c r="D192" s="487" t="n">
        <v>0.7514726700137544</v>
      </c>
      <c r="E192" s="487" t="n">
        <v>0.04088866421618566</v>
      </c>
      <c r="F192" s="487" t="n">
        <v>0.03170813279447188</v>
      </c>
      <c r="G192" s="487" t="n">
        <v>-0.01451237683416377</v>
      </c>
      <c r="H192" s="487" t="n">
        <v>-0.01052735735653225</v>
      </c>
      <c r="I192" s="487" t="n">
        <v>0.04088861079363704</v>
      </c>
      <c r="J192" s="487" t="n">
        <v>-0.1770029013297576</v>
      </c>
      <c r="K192" s="487" t="n">
        <v>-0.007046446053629127</v>
      </c>
      <c r="L192" s="487" t="n">
        <v>-0.02416890235081339</v>
      </c>
      <c r="M192" s="487" t="n">
        <v>0.02514518639308349</v>
      </c>
      <c r="N192" s="487" t="n">
        <v>-0.003913498334988049</v>
      </c>
      <c r="O192" s="487" t="n">
        <v>0.007004161082915611</v>
      </c>
      <c r="P192" s="487" t="n">
        <v>0.00180732366106416</v>
      </c>
      <c r="Q192" s="487" t="n">
        <v>0.006325386809883392</v>
      </c>
      <c r="R192" s="487" t="n">
        <v>-0.03104727735210993</v>
      </c>
      <c r="S192" s="487" t="n">
        <v>-0.01330415663633989</v>
      </c>
      <c r="T192" s="487" t="n">
        <v>-0.1758855451078053</v>
      </c>
      <c r="U192" s="487" t="n">
        <v>-0.1696800932772772</v>
      </c>
      <c r="V192" s="487" t="n">
        <v>0.01562749707860334</v>
      </c>
      <c r="W192" s="487" t="n">
        <v>0.01353653600865331</v>
      </c>
      <c r="X192" s="487" t="n">
        <v>0.03247850192413679</v>
      </c>
      <c r="Y192" s="487" t="n">
        <v>-0.1109114935839731</v>
      </c>
      <c r="Z192" s="487" t="n">
        <v>0.04688843886181542</v>
      </c>
      <c r="AA192" s="487" t="n">
        <v>0.002380519710764253</v>
      </c>
      <c r="AB192" s="487" t="n">
        <v>0.01637625994308679</v>
      </c>
      <c r="AC192" s="487" t="n">
        <v>0.05509432112963793</v>
      </c>
      <c r="AD192" s="487" t="n">
        <v>0.1055787818347155</v>
      </c>
      <c r="AE192" s="487" t="n">
        <v>-0.1880398472951751</v>
      </c>
      <c r="AF192" s="487" t="n">
        <v>0.1113432564738988</v>
      </c>
      <c r="AG192" s="753" t="n">
        <v>0.01976294139946735</v>
      </c>
      <c r="AH192" s="704" t="n"/>
      <c r="AI192" s="3">
        <f t="array" ref="AI192">SQRT(INDEX(_xlfn.ANCHORARRAY($B$190),A192,A192))</f>
        <v/>
      </c>
      <c r="AJ192" s="543" t="n"/>
      <c r="AK192" s="3">
        <f>$AP$191*AI192</f>
        <v/>
      </c>
      <c r="AL192" s="105">
        <f>ABS(Y121/AK192)</f>
        <v/>
      </c>
      <c r="AM192" s="108">
        <f>IF(AL192&lt;2.5,"Spełniony","Nie spełniony")</f>
        <v/>
      </c>
      <c r="AN192" s="23" t="n"/>
      <c r="AO192" s="706">
        <f>IF(AP190&gt;AP191,"Warunek spełniony","NIESPEŁNIONY!")</f>
        <v/>
      </c>
      <c r="AP192" s="597" t="n"/>
      <c r="AQ192" s="23" t="n"/>
      <c r="BO192" s="544" t="n"/>
      <c r="BQ192" s="705" t="n"/>
      <c r="BR192" s="487" t="n"/>
      <c r="BS192" s="487" t="n"/>
      <c r="BT192" s="487" t="n"/>
    </row>
    <row r="193">
      <c r="A193" t="n">
        <v>4</v>
      </c>
      <c r="B193" s="712" t="n">
        <v>-0.05571102909154273</v>
      </c>
      <c r="C193" s="668" t="n">
        <v>0.005098949264373598</v>
      </c>
      <c r="D193" s="668" t="n">
        <v>0.04088866421618564</v>
      </c>
      <c r="E193" s="668" t="n">
        <v>0.782411757974979</v>
      </c>
      <c r="F193" s="668" t="n">
        <v>-0.05755977100452239</v>
      </c>
      <c r="G193" s="668" t="n">
        <v>0.001436560908543272</v>
      </c>
      <c r="H193" s="668" t="n">
        <v>-0.1528437741457815</v>
      </c>
      <c r="I193" s="668" t="n">
        <v>-0.2175879577379538</v>
      </c>
      <c r="J193" s="668" t="n">
        <v>-0.1435181211385837</v>
      </c>
      <c r="K193" s="668" t="n">
        <v>0.03380942837835005</v>
      </c>
      <c r="L193" s="668" t="n">
        <v>0.05442035435893679</v>
      </c>
      <c r="M193" s="668" t="n">
        <v>-0.05571094585628213</v>
      </c>
      <c r="N193" s="668" t="n">
        <v>-0.01223279021728468</v>
      </c>
      <c r="O193" s="668" t="n">
        <v>-0.01709493745837204</v>
      </c>
      <c r="P193" s="668" t="n">
        <v>0.0006975147267583304</v>
      </c>
      <c r="Q193" s="668" t="n">
        <v>0.005437583779363001</v>
      </c>
      <c r="R193" s="668" t="n">
        <v>-0.00328670684108141</v>
      </c>
      <c r="S193" s="668" t="n">
        <v>-0.01966480534370847</v>
      </c>
      <c r="T193" s="668" t="n">
        <v>-0.01050748804631617</v>
      </c>
      <c r="U193" s="668" t="n">
        <v>0.03607725099688394</v>
      </c>
      <c r="V193" s="668" t="n">
        <v>0.01566287115855219</v>
      </c>
      <c r="W193" s="668" t="n">
        <v>0.03287872522799251</v>
      </c>
      <c r="X193" s="668" t="n">
        <v>0.03499108891714754</v>
      </c>
      <c r="Y193" s="668" t="n">
        <v>0.05139395023865058</v>
      </c>
      <c r="Z193" s="668" t="n">
        <v>-0.2055359767863474</v>
      </c>
      <c r="AA193" s="668" t="n">
        <v>0.07060934124400461</v>
      </c>
      <c r="AB193" s="668" t="n">
        <v>-0.06254774777559655</v>
      </c>
      <c r="AC193" s="668" t="n">
        <v>-0.03180898697656524</v>
      </c>
      <c r="AD193" s="668" t="n">
        <v>-0.01697808419975646</v>
      </c>
      <c r="AE193" s="668" t="n">
        <v>0.0321966203682099</v>
      </c>
      <c r="AF193" s="668" t="n">
        <v>-0.05012593539400627</v>
      </c>
      <c r="AG193" s="669" t="n">
        <v>0.01222924161768134</v>
      </c>
      <c r="AH193" s="711" t="n"/>
      <c r="AI193" s="3">
        <f t="array" ref="AI193">SQRT(INDEX(_xlfn.ANCHORARRAY($B$190),A193,A193))</f>
        <v/>
      </c>
      <c r="AJ193" s="567" t="n"/>
      <c r="AK193" s="590">
        <f>$AP$191*AI193</f>
        <v/>
      </c>
      <c r="AL193" s="590">
        <f>ABS(Y122/AK193)</f>
        <v/>
      </c>
      <c r="AM193" s="590">
        <f>IF(AL193&lt;2.5,"Spełniony","Nie spełniony")</f>
        <v/>
      </c>
      <c r="AN193" s="590" t="n"/>
      <c r="AO193" s="590" t="n"/>
      <c r="AP193" s="590" t="n"/>
      <c r="AQ193" s="590" t="n"/>
      <c r="AR193" s="590" t="n"/>
      <c r="AS193" s="590" t="n"/>
      <c r="AT193" s="590" t="n"/>
      <c r="AU193" s="590" t="n"/>
      <c r="AV193" s="590" t="n"/>
      <c r="AW193" s="590" t="n"/>
      <c r="AX193" s="590" t="n"/>
      <c r="AY193" s="590" t="n"/>
      <c r="AZ193" s="590" t="n"/>
      <c r="BA193" s="590" t="n"/>
      <c r="BB193" s="590" t="n"/>
      <c r="BC193" s="590" t="n"/>
      <c r="BD193" s="590" t="n"/>
      <c r="BE193" s="590" t="n"/>
      <c r="BF193" s="590" t="n"/>
      <c r="BG193" s="590" t="n"/>
      <c r="BH193" s="590" t="n"/>
      <c r="BI193" s="590" t="n"/>
      <c r="BJ193" s="590" t="n"/>
      <c r="BK193" s="590" t="n"/>
      <c r="BL193" s="590" t="n"/>
      <c r="BM193" s="590" t="n"/>
      <c r="BN193" s="590" t="n"/>
      <c r="BO193" s="568" t="n"/>
      <c r="BQ193" s="712" t="n"/>
      <c r="BR193" s="668" t="n"/>
      <c r="BS193" s="668" t="n"/>
      <c r="BT193" s="668" t="n"/>
    </row>
    <row r="194">
      <c r="A194" t="n">
        <v>5</v>
      </c>
      <c r="B194" s="67" t="n">
        <v>-0.07259895458687843</v>
      </c>
      <c r="C194" s="25" t="n">
        <v>-0.03122870223129612</v>
      </c>
      <c r="D194" s="25" t="n">
        <v>0.03170813279447191</v>
      </c>
      <c r="E194" s="25" t="n">
        <v>-0.05755977100452235</v>
      </c>
      <c r="F194" s="25" t="n">
        <v>0.8122027051936287</v>
      </c>
      <c r="G194" s="25" t="n">
        <v>-0.0002436451632057517</v>
      </c>
      <c r="H194" s="25" t="n">
        <v>-0.0245015232575252</v>
      </c>
      <c r="I194" s="25" t="n">
        <v>-0.05755969580055752</v>
      </c>
      <c r="J194" s="25" t="n">
        <v>-0.05068898779691695</v>
      </c>
      <c r="K194" s="25" t="n">
        <v>0.03869211728956242</v>
      </c>
      <c r="L194" s="25" t="n">
        <v>0.0758985666609418</v>
      </c>
      <c r="M194" s="25" t="n">
        <v>-0.07259884612015272</v>
      </c>
      <c r="N194" s="25" t="n">
        <v>-0.07097970637445616</v>
      </c>
      <c r="O194" s="25" t="n">
        <v>0.03263177808440811</v>
      </c>
      <c r="P194" s="25" t="n">
        <v>-0.04355955306684366</v>
      </c>
      <c r="Q194" s="25" t="n">
        <v>-0.03785042139376714</v>
      </c>
      <c r="R194" s="25" t="n">
        <v>-0.07785093727603092</v>
      </c>
      <c r="S194" s="25" t="n">
        <v>-0.04508624021858276</v>
      </c>
      <c r="T194" s="25" t="n">
        <v>-0.119577829703072</v>
      </c>
      <c r="U194" s="25" t="n">
        <v>-0.007906112256961865</v>
      </c>
      <c r="V194" s="25" t="n">
        <v>-0.1117360709895804</v>
      </c>
      <c r="W194" s="25" t="n">
        <v>-0.04166792116478214</v>
      </c>
      <c r="X194" s="25" t="n">
        <v>0.03283210071394847</v>
      </c>
      <c r="Y194" s="25" t="n">
        <v>0.09102861953227656</v>
      </c>
      <c r="Z194" s="25" t="n">
        <v>0.07037518779677726</v>
      </c>
      <c r="AA194" s="25" t="n">
        <v>-0.04083191588863972</v>
      </c>
      <c r="AB194" s="25" t="n">
        <v>0.1023080305955952</v>
      </c>
      <c r="AC194" s="25" t="n">
        <v>-0.07832626715041535</v>
      </c>
      <c r="AD194" s="25" t="n">
        <v>0.006338058699457583</v>
      </c>
      <c r="AE194" s="25" t="n">
        <v>0.09780032435873322</v>
      </c>
      <c r="AF194" s="25" t="n">
        <v>-0.1654366184525417</v>
      </c>
      <c r="AG194" s="45" t="n">
        <v>0.08534924944545337</v>
      </c>
      <c r="AI194" s="3">
        <f t="array" ref="AI194">SQRT(INDEX(_xlfn.ANCHORARRAY($B$190),A194,A194))</f>
        <v/>
      </c>
      <c r="AJ194" s="23" t="n"/>
      <c r="AK194" s="3">
        <f>$AP$191*AI194</f>
        <v/>
      </c>
      <c r="AL194" s="105">
        <f>ABS(Y123/AK194)</f>
        <v/>
      </c>
      <c r="AM194" s="108">
        <f>IF(AL194&lt;2.5,"Spełniony","Nie spełniony")</f>
        <v/>
      </c>
      <c r="AN194" s="23" t="n"/>
      <c r="AO194" s="23" t="n"/>
      <c r="AP194" s="23" t="n"/>
      <c r="AQ194" s="23" t="n"/>
    </row>
    <row r="195">
      <c r="A195" t="n">
        <v>6</v>
      </c>
      <c r="B195" s="67" t="n">
        <v>-0.1286048859272833</v>
      </c>
      <c r="C195" s="25" t="n">
        <v>-0.01718151123345833</v>
      </c>
      <c r="D195" s="25" t="n">
        <v>-0.01451237683416377</v>
      </c>
      <c r="E195" s="25" t="n">
        <v>0.001436560908543237</v>
      </c>
      <c r="F195" s="25" t="n">
        <v>-0.0002436451632059008</v>
      </c>
      <c r="G195" s="25" t="n">
        <v>0.6950397377715966</v>
      </c>
      <c r="H195" s="25" t="n">
        <v>-0.2091117345229317</v>
      </c>
      <c r="I195" s="25" t="n">
        <v>0.001436559031623354</v>
      </c>
      <c r="J195" s="25" t="n">
        <v>0.02324523713362974</v>
      </c>
      <c r="K195" s="25" t="n">
        <v>-0.04472297037303963</v>
      </c>
      <c r="L195" s="25" t="n">
        <v>-0.1074210841042069</v>
      </c>
      <c r="M195" s="25" t="n">
        <v>-0.1286046937846972</v>
      </c>
      <c r="N195" s="25" t="n">
        <v>0.0261939808925794</v>
      </c>
      <c r="O195" s="25" t="n">
        <v>0.008467851828202122</v>
      </c>
      <c r="P195" s="25" t="n">
        <v>0.02088352800120574</v>
      </c>
      <c r="Q195" s="25" t="n">
        <v>0.01847167442388985</v>
      </c>
      <c r="R195" s="25" t="n">
        <v>0.002696044899369351</v>
      </c>
      <c r="S195" s="25" t="n">
        <v>-0.007429510648082172</v>
      </c>
      <c r="T195" s="25" t="n">
        <v>0.003620916405079902</v>
      </c>
      <c r="U195" s="25" t="n">
        <v>0.0296580864561107</v>
      </c>
      <c r="V195" s="25" t="n">
        <v>0.07788604210536987</v>
      </c>
      <c r="W195" s="25" t="n">
        <v>0.03780499477134389</v>
      </c>
      <c r="X195" s="25" t="n">
        <v>0.03122375210513596</v>
      </c>
      <c r="Y195" s="25" t="n">
        <v>-0.01534767162686532</v>
      </c>
      <c r="Z195" s="25" t="n">
        <v>0.1334009801392275</v>
      </c>
      <c r="AA195" s="25" t="n">
        <v>-0.2649680974942119</v>
      </c>
      <c r="AB195" s="25" t="n">
        <v>-0.1340283371572584</v>
      </c>
      <c r="AC195" s="25" t="n">
        <v>-0.03499314373499959</v>
      </c>
      <c r="AD195" s="25" t="n">
        <v>0.001249842069812733</v>
      </c>
      <c r="AE195" s="25" t="n">
        <v>-0.04348320464685226</v>
      </c>
      <c r="AF195" s="25" t="n">
        <v>0.01466495361784884</v>
      </c>
      <c r="AG195" s="45" t="n">
        <v>-0.008241548579331246</v>
      </c>
      <c r="AI195" s="3">
        <f t="array" ref="AI195">SQRT(INDEX(_xlfn.ANCHORARRAY($B$190),A195,A195))</f>
        <v/>
      </c>
      <c r="AJ195" s="23" t="n"/>
      <c r="AK195" s="3">
        <f>$AP$191*AI195</f>
        <v/>
      </c>
      <c r="AL195" s="105">
        <f>ABS(Y124/AK195)</f>
        <v/>
      </c>
      <c r="AM195" s="108">
        <f>IF(AL195&lt;2.5,"Spełniony","Nie spełniony")</f>
        <v/>
      </c>
      <c r="AN195" s="23" t="n"/>
      <c r="AO195" s="23" t="n"/>
      <c r="AP195" s="23" t="n"/>
      <c r="AQ195" s="23" t="n"/>
    </row>
    <row r="196">
      <c r="A196" t="n">
        <v>7</v>
      </c>
      <c r="B196" s="713" t="n">
        <v>0.0572091896734484</v>
      </c>
      <c r="C196" s="714" t="n">
        <v>-0.05425731394011936</v>
      </c>
      <c r="D196" s="660" t="n">
        <v>-0.01052735735653221</v>
      </c>
      <c r="E196" s="713" t="n">
        <v>-0.1528437741457817</v>
      </c>
      <c r="F196" s="715" t="n">
        <v>-0.02450152325752533</v>
      </c>
      <c r="G196" s="714" t="n">
        <v>-0.2091117345229316</v>
      </c>
      <c r="H196" s="25" t="n">
        <v>0.4480029536162393</v>
      </c>
      <c r="I196" s="25" t="n">
        <v>-0.1528435744497508</v>
      </c>
      <c r="J196" s="25" t="n">
        <v>-0.06978487278544789</v>
      </c>
      <c r="K196" s="25" t="n">
        <v>0.000488586495677179</v>
      </c>
      <c r="L196" s="25" t="n">
        <v>0.01529333682792106</v>
      </c>
      <c r="M196" s="25" t="n">
        <v>0.05720910419985532</v>
      </c>
      <c r="N196" s="25" t="n">
        <v>-0.005168871660555574</v>
      </c>
      <c r="O196" s="25" t="n">
        <v>0.005421778186445646</v>
      </c>
      <c r="P196" s="25" t="n">
        <v>-0.006963641220784078</v>
      </c>
      <c r="Q196" s="25" t="n">
        <v>0.002409925277886735</v>
      </c>
      <c r="R196" s="25" t="n">
        <v>-0.04937570180935127</v>
      </c>
      <c r="S196" s="25" t="n">
        <v>0.01692665638065224</v>
      </c>
      <c r="T196" s="25" t="n">
        <v>0.02537039698778693</v>
      </c>
      <c r="U196" s="25" t="n">
        <v>0.05511244729893849</v>
      </c>
      <c r="V196" s="25" t="n">
        <v>-0.03990293944046708</v>
      </c>
      <c r="W196" s="25" t="n">
        <v>-0.03337786592893588</v>
      </c>
      <c r="X196" s="25" t="n">
        <v>-0.009485125717439757</v>
      </c>
      <c r="Y196" s="25" t="n">
        <v>-0.08285559949075186</v>
      </c>
      <c r="Z196" s="25" t="n">
        <v>0.1215708435511032</v>
      </c>
      <c r="AA196" s="25" t="n">
        <v>0.04405068702649118</v>
      </c>
      <c r="AB196" s="25" t="n">
        <v>-0.2951647663323546</v>
      </c>
      <c r="AC196" s="25" t="n">
        <v>-0.1349867666746575</v>
      </c>
      <c r="AD196" s="25" t="n">
        <v>0.02256056501529453</v>
      </c>
      <c r="AE196" s="25" t="n">
        <v>-0.02876985099432648</v>
      </c>
      <c r="AF196" s="25" t="n">
        <v>-0.04222102692932667</v>
      </c>
      <c r="AG196" s="45" t="n">
        <v>0.01346156718990793</v>
      </c>
      <c r="AI196" s="3">
        <f t="array" ref="AI196">SQRT(INDEX(_xlfn.ANCHORARRAY($B$190),A196,A196))</f>
        <v/>
      </c>
      <c r="AJ196" s="23" t="n"/>
      <c r="AK196" s="3">
        <f>$AP$191*AI196</f>
        <v/>
      </c>
      <c r="AL196" s="105">
        <f>ABS(Y125/AK196)</f>
        <v/>
      </c>
      <c r="AM196" s="108">
        <f>IF(AL196&lt;2.5,"Spełniony","Nie spełniony")</f>
        <v/>
      </c>
      <c r="AN196" s="23" t="n"/>
      <c r="AO196" s="23" t="n"/>
      <c r="AP196" s="23" t="n"/>
      <c r="AQ196" s="23" t="n"/>
    </row>
    <row r="197" ht="17.1" customHeight="1">
      <c r="A197" t="n">
        <v>8</v>
      </c>
      <c r="B197" s="716" t="n">
        <v>-0.05571095630302744</v>
      </c>
      <c r="C197" s="717" t="n">
        <v>0.005098942602408237</v>
      </c>
      <c r="D197" s="660" t="n">
        <v>0.04088861079363703</v>
      </c>
      <c r="E197" s="716" t="n">
        <v>-0.2175879577379538</v>
      </c>
      <c r="F197" s="716" t="n">
        <v>-0.05755969580055759</v>
      </c>
      <c r="G197" s="716" t="n">
        <v>0.001436559031623402</v>
      </c>
      <c r="H197" s="477" t="n">
        <v>-0.1528435744497507</v>
      </c>
      <c r="I197" s="25" t="n">
        <v>0.7824123265487422</v>
      </c>
      <c r="J197" s="25" t="n">
        <v>-0.1435179336268625</v>
      </c>
      <c r="K197" s="25" t="n">
        <v>0.03380938420508417</v>
      </c>
      <c r="L197" s="25" t="n">
        <v>0.05442028325673565</v>
      </c>
      <c r="M197" s="25" t="n">
        <v>-0.05571087306787559</v>
      </c>
      <c r="N197" s="25" t="n">
        <v>-0.01223277423469288</v>
      </c>
      <c r="O197" s="25" t="n">
        <v>-0.01709491512320539</v>
      </c>
      <c r="P197" s="25" t="n">
        <v>0.0006975138154296512</v>
      </c>
      <c r="Q197" s="25" t="n">
        <v>0.005437576674959144</v>
      </c>
      <c r="R197" s="25" t="n">
        <v>-0.003286702546877619</v>
      </c>
      <c r="S197" s="25" t="n">
        <v>-0.01966477965091463</v>
      </c>
      <c r="T197" s="25" t="n">
        <v>-0.01050747431789531</v>
      </c>
      <c r="U197" s="25" t="n">
        <v>0.03607720386062425</v>
      </c>
      <c r="V197" s="25" t="n">
        <v>0.01566285069443291</v>
      </c>
      <c r="W197" s="25" t="n">
        <v>0.03287868227072482</v>
      </c>
      <c r="X197" s="25" t="n">
        <v>0.03499104319999867</v>
      </c>
      <c r="Y197" s="25" t="n">
        <v>0.05139388309055816</v>
      </c>
      <c r="Z197" s="25" t="n">
        <v>-0.2055357082460093</v>
      </c>
      <c r="AA197" s="25" t="n">
        <v>0.07060924899029478</v>
      </c>
      <c r="AB197" s="25" t="n">
        <v>-0.06254766605465613</v>
      </c>
      <c r="AC197" s="25" t="n">
        <v>-0.03180894541695</v>
      </c>
      <c r="AD197" s="25" t="n">
        <v>-0.01697806201726295</v>
      </c>
      <c r="AE197" s="25" t="n">
        <v>0.03219657830213729</v>
      </c>
      <c r="AF197" s="25" t="n">
        <v>-0.05012586990262201</v>
      </c>
      <c r="AG197" s="45" t="n">
        <v>0.01222922563972594</v>
      </c>
      <c r="AI197" s="3">
        <f t="array" ref="AI197">SQRT(INDEX(_xlfn.ANCHORARRAY($B$190),A197,A197))</f>
        <v/>
      </c>
      <c r="AJ197" s="23" t="n"/>
      <c r="AK197" s="3">
        <f>$AP$191*AI197</f>
        <v/>
      </c>
      <c r="AL197" s="105">
        <f>ABS(Y126/AK197)</f>
        <v/>
      </c>
      <c r="AM197" s="108">
        <f>IF(AL197&lt;2.5,"Spełniony","Nie spełniony")</f>
        <v/>
      </c>
      <c r="AN197" s="23" t="n"/>
      <c r="AO197" s="23" t="n"/>
      <c r="AP197" s="23" t="n"/>
      <c r="AQ197" s="23" t="n"/>
    </row>
    <row r="198" ht="17.1" customHeight="1">
      <c r="A198" t="n">
        <v>9</v>
      </c>
      <c r="B198" s="718" t="n">
        <v>-0.04537559224892718</v>
      </c>
      <c r="C198" s="719" t="n">
        <v>-0.1013640240773068</v>
      </c>
      <c r="D198" s="660" t="n">
        <v>-0.1770029013297575</v>
      </c>
      <c r="E198" s="720" t="n">
        <v>-0.1435181211385836</v>
      </c>
      <c r="F198" s="720" t="n">
        <v>-0.05068898779691698</v>
      </c>
      <c r="G198" s="788" t="n">
        <v>0.02324523713362979</v>
      </c>
      <c r="H198" s="722" t="n">
        <v>-0.06978487278544783</v>
      </c>
      <c r="I198" s="25" t="n">
        <v>-0.1435179336268625</v>
      </c>
      <c r="J198" s="25" t="n">
        <v>0.7021049717587629</v>
      </c>
      <c r="K198" s="25" t="n">
        <v>0.02814962661415946</v>
      </c>
      <c r="L198" s="25" t="n">
        <v>0.03351878545938362</v>
      </c>
      <c r="M198" s="25" t="n">
        <v>-0.04537552445536262</v>
      </c>
      <c r="N198" s="25" t="n">
        <v>-0.01613331073098667</v>
      </c>
      <c r="O198" s="25" t="n">
        <v>-0.01137510268009118</v>
      </c>
      <c r="P198" s="25" t="n">
        <v>0.00324890126653922</v>
      </c>
      <c r="Q198" s="25" t="n">
        <v>0.0159815891727959</v>
      </c>
      <c r="R198" s="25" t="n">
        <v>-0.04864292500816361</v>
      </c>
      <c r="S198" s="25" t="n">
        <v>-0.03096357602493121</v>
      </c>
      <c r="T198" s="25" t="n">
        <v>-0.159571536082506</v>
      </c>
      <c r="U198" s="25" t="n">
        <v>-0.08269274562676256</v>
      </c>
      <c r="V198" s="25" t="n">
        <v>0.03100721610365342</v>
      </c>
      <c r="W198" s="25" t="n">
        <v>0.04619324006139337</v>
      </c>
      <c r="X198" s="25" t="n">
        <v>0.07302695765798059</v>
      </c>
      <c r="Y198" s="25" t="n">
        <v>-0.06761972736340224</v>
      </c>
      <c r="Z198" s="25" t="n">
        <v>-0.1450629735432079</v>
      </c>
      <c r="AA198" s="25" t="n">
        <v>0.06245528708358271</v>
      </c>
      <c r="AB198" s="25" t="n">
        <v>0.08218801654488601</v>
      </c>
      <c r="AC198" s="25" t="n">
        <v>-0.04301955347106672</v>
      </c>
      <c r="AD198" s="25" t="n">
        <v>0.08130428330392885</v>
      </c>
      <c r="AE198" s="25" t="n">
        <v>-0.1448150150432609</v>
      </c>
      <c r="AF198" s="25" t="n">
        <v>0.02519726536434157</v>
      </c>
      <c r="AG198" s="45" t="n">
        <v>0.03594624271045081</v>
      </c>
      <c r="AI198" s="3">
        <f t="array" ref="AI198">SQRT(INDEX(_xlfn.ANCHORARRAY($B$190),A198,A198))</f>
        <v/>
      </c>
      <c r="AJ198" s="23" t="n"/>
      <c r="AK198" s="3">
        <f>$AP$191*AI198</f>
        <v/>
      </c>
      <c r="AL198" s="105">
        <f>ABS(Y127/AK198)</f>
        <v/>
      </c>
      <c r="AM198" s="108">
        <f>IF(AL198&lt;2.5,"Spełniony","Nie spełniony")</f>
        <v/>
      </c>
      <c r="AN198" s="23" t="n"/>
      <c r="AO198" s="23" t="n"/>
      <c r="AP198" s="23" t="n"/>
      <c r="AQ198" s="23" t="n"/>
    </row>
    <row r="199">
      <c r="A199" t="n">
        <v>10</v>
      </c>
      <c r="B199" s="723" t="n">
        <v>-0.0928359791984051</v>
      </c>
      <c r="C199" s="714" t="n">
        <v>0.009611030275552504</v>
      </c>
      <c r="D199" s="660" t="n">
        <v>-0.007046446053629111</v>
      </c>
      <c r="E199" s="720" t="n">
        <v>0.03380942837835006</v>
      </c>
      <c r="F199" s="720" t="n">
        <v>0.03869211728956243</v>
      </c>
      <c r="G199" s="788" t="n">
        <v>-0.04472297037303971</v>
      </c>
      <c r="H199" s="722" t="n">
        <v>0.0004885864956773655</v>
      </c>
      <c r="I199" s="25" t="n">
        <v>0.0338093842050843</v>
      </c>
      <c r="J199" s="25" t="n">
        <v>0.02814962661415949</v>
      </c>
      <c r="K199" s="25" t="n">
        <v>0.5322344124754217</v>
      </c>
      <c r="L199" s="25" t="n">
        <v>-0.241040002075003</v>
      </c>
      <c r="M199" s="25" t="n">
        <v>-0.09283584049648087</v>
      </c>
      <c r="N199" s="25" t="n">
        <v>-0.1174931957929711</v>
      </c>
      <c r="O199" s="25" t="n">
        <v>-0.3004534277452514</v>
      </c>
      <c r="P199" s="25" t="n">
        <v>-0.03602766232087039</v>
      </c>
      <c r="Q199" s="25" t="n">
        <v>0.0366563222649364</v>
      </c>
      <c r="R199" s="25" t="n">
        <v>0.02975849850209898</v>
      </c>
      <c r="S199" s="25" t="n">
        <v>0.03180404754121931</v>
      </c>
      <c r="T199" s="25" t="n">
        <v>0.02985310598476073</v>
      </c>
      <c r="U199" s="25" t="n">
        <v>-0.009419494735110428</v>
      </c>
      <c r="V199" s="25" t="n">
        <v>-0.1863606877085184</v>
      </c>
      <c r="W199" s="25" t="n">
        <v>0.08194612476359542</v>
      </c>
      <c r="X199" s="25" t="n">
        <v>0.006964539032938779</v>
      </c>
      <c r="Y199" s="25" t="n">
        <v>-0.03687680048761055</v>
      </c>
      <c r="Z199" s="25" t="n">
        <v>0.02327657823785619</v>
      </c>
      <c r="AA199" s="25" t="n">
        <v>0.1110502461617386</v>
      </c>
      <c r="AB199" s="25" t="n">
        <v>-0.01550300383010848</v>
      </c>
      <c r="AC199" s="25" t="n">
        <v>0.002650821463445372</v>
      </c>
      <c r="AD199" s="25" t="n">
        <v>0.02457988166297411</v>
      </c>
      <c r="AE199" s="25" t="n">
        <v>-0.01199121594826961</v>
      </c>
      <c r="AF199" s="25" t="n">
        <v>0.00408055644569927</v>
      </c>
      <c r="AG199" s="45" t="n">
        <v>-0.02387889373112709</v>
      </c>
      <c r="AI199" s="3">
        <f t="array" ref="AI199">SQRT(INDEX(_xlfn.ANCHORARRAY($B$190),A199,A199))</f>
        <v/>
      </c>
      <c r="AJ199" s="23" t="n"/>
      <c r="AK199" s="3">
        <f>$AP$191*AI199</f>
        <v/>
      </c>
      <c r="AL199" s="105">
        <f>ABS(Y128/AK199)</f>
        <v/>
      </c>
      <c r="AM199" s="108">
        <f>IF(AL199&lt;2.5,"Spełniony","Nie spełniony")</f>
        <v/>
      </c>
      <c r="AN199" s="23" t="n"/>
      <c r="AO199" s="23" t="n"/>
      <c r="AP199" s="23" t="n"/>
      <c r="AQ199" s="23" t="n"/>
    </row>
    <row r="200">
      <c r="A200" t="n">
        <v>11</v>
      </c>
      <c r="B200" s="67" t="n">
        <v>-0.2083672033197031</v>
      </c>
      <c r="C200" s="25" t="n">
        <v>-0.005695137928985235</v>
      </c>
      <c r="D200" s="25" t="n">
        <v>-0.02416890235081336</v>
      </c>
      <c r="E200" s="720" t="n">
        <v>0.05442035435893676</v>
      </c>
      <c r="F200" s="720" t="n">
        <v>0.07589856666094177</v>
      </c>
      <c r="G200" s="788" t="n">
        <v>-0.1074210841042069</v>
      </c>
      <c r="H200" s="722" t="n">
        <v>0.01529333682792099</v>
      </c>
      <c r="I200" s="25" t="n">
        <v>0.05442028325673565</v>
      </c>
      <c r="J200" s="25" t="n">
        <v>0.03351878545938364</v>
      </c>
      <c r="K200" s="25" t="n">
        <v>-0.241040002075003</v>
      </c>
      <c r="L200" s="25" t="n">
        <v>0.5296463125506461</v>
      </c>
      <c r="M200" s="25" t="n">
        <v>-0.2083668920079434</v>
      </c>
      <c r="N200" s="25" t="n">
        <v>0.06381591362357612</v>
      </c>
      <c r="O200" s="25" t="n">
        <v>0.130795011195913</v>
      </c>
      <c r="P200" s="25" t="n">
        <v>0.01206533178943224</v>
      </c>
      <c r="Q200" s="25" t="n">
        <v>-0.01990799016749887</v>
      </c>
      <c r="R200" s="25" t="n">
        <v>-0.006969318240715464</v>
      </c>
      <c r="S200" s="25" t="n">
        <v>0.02803309435398211</v>
      </c>
      <c r="T200" s="25" t="n">
        <v>0.0473736491304234</v>
      </c>
      <c r="U200" s="25" t="n">
        <v>-0.01220056068787051</v>
      </c>
      <c r="V200" s="25" t="n">
        <v>0.03551891782925892</v>
      </c>
      <c r="W200" s="25" t="n">
        <v>-0.08781747638300649</v>
      </c>
      <c r="X200" s="25" t="n">
        <v>-0.0665748450297667</v>
      </c>
      <c r="Y200" s="25" t="n">
        <v>-0.07239511269040057</v>
      </c>
      <c r="Z200" s="25" t="n">
        <v>0.01775173496004691</v>
      </c>
      <c r="AA200" s="25" t="n">
        <v>0.1735167813138679</v>
      </c>
      <c r="AB200" s="25" t="n">
        <v>-0.02106812475410561</v>
      </c>
      <c r="AC200" s="25" t="n">
        <v>0.01383752386985255</v>
      </c>
      <c r="AD200" s="25" t="n">
        <v>0.005026457001440296</v>
      </c>
      <c r="AE200" s="25" t="n">
        <v>-0.02650976691887379</v>
      </c>
      <c r="AF200" s="25" t="n">
        <v>0.05799264526074611</v>
      </c>
      <c r="AG200" s="45" t="n">
        <v>-0.01563449402355407</v>
      </c>
      <c r="AI200" s="3">
        <f t="array" ref="AI200">SQRT(INDEX(_xlfn.ANCHORARRAY($B$190),A200,A200))</f>
        <v/>
      </c>
      <c r="AJ200" s="23" t="n"/>
      <c r="AK200" s="3">
        <f>$AP$191*AI200</f>
        <v/>
      </c>
      <c r="AL200" s="105">
        <f>ABS(Y129/AK200)</f>
        <v/>
      </c>
      <c r="AM200" s="108">
        <f>IF(AL200&lt;2.5,"Spełniony","Nie spełniony")</f>
        <v/>
      </c>
      <c r="AN200" s="23" t="n"/>
      <c r="AO200" s="23" t="n"/>
      <c r="AP200" s="23" t="n"/>
      <c r="AQ200" s="23" t="n"/>
    </row>
    <row r="201">
      <c r="A201" t="n">
        <v>12</v>
      </c>
      <c r="B201" s="67" t="n">
        <v>-0.2655149284812723</v>
      </c>
      <c r="C201" s="25" t="n">
        <v>0.004586649376136179</v>
      </c>
      <c r="D201" s="25" t="n">
        <v>0.02514518639308351</v>
      </c>
      <c r="E201" s="720" t="n">
        <v>-0.0557109458562821</v>
      </c>
      <c r="F201" s="720" t="n">
        <v>-0.07259884612015274</v>
      </c>
      <c r="G201" s="788" t="n">
        <v>-0.1286046937846972</v>
      </c>
      <c r="H201" s="722" t="n">
        <v>0.05720910419985535</v>
      </c>
      <c r="I201" s="25" t="n">
        <v>-0.05571087306787555</v>
      </c>
      <c r="J201" s="25" t="n">
        <v>-0.04537552445536258</v>
      </c>
      <c r="K201" s="25" t="n">
        <v>-0.09283584049648066</v>
      </c>
      <c r="L201" s="25" t="n">
        <v>-0.2083668920079434</v>
      </c>
      <c r="M201" s="25" t="n">
        <v>0.7344854682122489</v>
      </c>
      <c r="N201" s="25" t="n">
        <v>0.007816098064625802</v>
      </c>
      <c r="O201" s="25" t="n">
        <v>0.06153288093843571</v>
      </c>
      <c r="P201" s="25" t="n">
        <v>0.003422553211566884</v>
      </c>
      <c r="Q201" s="25" t="n">
        <v>-0.01111420068252534</v>
      </c>
      <c r="R201" s="25" t="n">
        <v>-0.01140147776028266</v>
      </c>
      <c r="S201" s="25" t="n">
        <v>-0.03346613823562984</v>
      </c>
      <c r="T201" s="25" t="n">
        <v>-0.04948647839610241</v>
      </c>
      <c r="U201" s="25" t="n">
        <v>0.003678989670068604</v>
      </c>
      <c r="V201" s="25" t="n">
        <v>0.04618923594822794</v>
      </c>
      <c r="W201" s="25" t="n">
        <v>0.006365561602356101</v>
      </c>
      <c r="X201" s="25" t="n">
        <v>0.03246762315016991</v>
      </c>
      <c r="Y201" s="25" t="n">
        <v>0.07430500724277686</v>
      </c>
      <c r="Z201" s="25" t="n">
        <v>-0.06777490799358632</v>
      </c>
      <c r="AA201" s="25" t="n">
        <v>-0.09155251994994447</v>
      </c>
      <c r="AB201" s="25" t="n">
        <v>0.06626882896647872</v>
      </c>
      <c r="AC201" s="25" t="n">
        <v>0.0004156634573491934</v>
      </c>
      <c r="AD201" s="25" t="n">
        <v>-0.01658683156848967</v>
      </c>
      <c r="AE201" s="25" t="n">
        <v>0.03875551745833941</v>
      </c>
      <c r="AF201" s="25" t="n">
        <v>-0.0471504558187678</v>
      </c>
      <c r="AG201" s="45" t="n">
        <v>0.02586732265360826</v>
      </c>
      <c r="AI201" s="3">
        <f t="array" ref="AI201">SQRT(INDEX(_xlfn.ANCHORARRAY($B$190),A201,A201))</f>
        <v/>
      </c>
      <c r="AJ201" s="23" t="n"/>
      <c r="AK201" s="3">
        <f>$AP$191*AI201</f>
        <v/>
      </c>
      <c r="AL201" s="105">
        <f>ABS(Y130/AK201)</f>
        <v/>
      </c>
      <c r="AM201" s="108">
        <f>IF(AL201&lt;2.5,"Spełniony","Nie spełniony")</f>
        <v/>
      </c>
      <c r="AN201" s="23" t="n"/>
      <c r="AO201" s="23" t="n"/>
      <c r="AP201" s="23" t="n"/>
      <c r="AQ201" s="23" t="n"/>
    </row>
    <row r="202">
      <c r="A202" t="n">
        <v>13</v>
      </c>
      <c r="B202" s="67" t="n">
        <v>0.00781610974231234</v>
      </c>
      <c r="C202" s="25" t="n">
        <v>-0.03258754239121286</v>
      </c>
      <c r="D202" s="25" t="n">
        <v>-0.003913498334988047</v>
      </c>
      <c r="E202" s="720" t="n">
        <v>-0.01223279021728466</v>
      </c>
      <c r="F202" s="720" t="n">
        <v>-0.07097970637445622</v>
      </c>
      <c r="G202" s="788" t="n">
        <v>0.02619398089257961</v>
      </c>
      <c r="H202" s="722" t="n">
        <v>-0.005168871660555425</v>
      </c>
      <c r="I202" s="25" t="n">
        <v>-0.01223277423469285</v>
      </c>
      <c r="J202" s="25" t="n">
        <v>-0.01613331073098664</v>
      </c>
      <c r="K202" s="25" t="n">
        <v>-0.1174931957929713</v>
      </c>
      <c r="L202" s="25" t="n">
        <v>0.06381591362357612</v>
      </c>
      <c r="M202" s="25" t="n">
        <v>0.007816098064625854</v>
      </c>
      <c r="N202" s="25" t="n">
        <v>0.6485867595356887</v>
      </c>
      <c r="O202" s="25" t="n">
        <v>-0.2583520025551018</v>
      </c>
      <c r="P202" s="25" t="n">
        <v>-0.1994885778385148</v>
      </c>
      <c r="Q202" s="25" t="n">
        <v>-0.1253872581092393</v>
      </c>
      <c r="R202" s="25" t="n">
        <v>-0.05921722539199697</v>
      </c>
      <c r="S202" s="25" t="n">
        <v>-0.04556895124779135</v>
      </c>
      <c r="T202" s="25" t="n">
        <v>-0.07448208919018327</v>
      </c>
      <c r="U202" s="25" t="n">
        <v>0.03295303453910079</v>
      </c>
      <c r="V202" s="25" t="n">
        <v>0.06345350516973375</v>
      </c>
      <c r="W202" s="25" t="n">
        <v>-0.1283477221895419</v>
      </c>
      <c r="X202" s="25" t="n">
        <v>-0.06183677241421372</v>
      </c>
      <c r="Y202" s="25" t="n">
        <v>0.08990763032377171</v>
      </c>
      <c r="Z202" s="25" t="n">
        <v>0.03918665275137181</v>
      </c>
      <c r="AA202" s="25" t="n">
        <v>-0.002363293641121714</v>
      </c>
      <c r="AB202" s="25" t="n">
        <v>0.007594618201771985</v>
      </c>
      <c r="AC202" s="25" t="n">
        <v>0.01283784643323212</v>
      </c>
      <c r="AD202" s="25" t="n">
        <v>-0.08230582581544665</v>
      </c>
      <c r="AE202" s="25" t="n">
        <v>-0.01259869202729634</v>
      </c>
      <c r="AF202" s="25" t="n">
        <v>0.05191075862749171</v>
      </c>
      <c r="AG202" s="45" t="n">
        <v>0.1557457832470087</v>
      </c>
      <c r="AI202" s="3">
        <f t="array" ref="AI202">SQRT(INDEX(_xlfn.ANCHORARRAY($B$190),A202,A202))</f>
        <v/>
      </c>
      <c r="AJ202" s="23" t="n"/>
      <c r="AK202" s="3">
        <f>$AP$191*AI202</f>
        <v/>
      </c>
      <c r="AL202" s="105">
        <f>ABS(Y131/AK202)</f>
        <v/>
      </c>
      <c r="AM202" s="108">
        <f>IF(AL202&lt;2.5,"Spełniony","Nie spełniony")</f>
        <v/>
      </c>
      <c r="AN202" s="23" t="n"/>
      <c r="AO202" s="23" t="n"/>
      <c r="AP202" s="23" t="n"/>
      <c r="AQ202" s="23" t="n"/>
    </row>
    <row r="203">
      <c r="A203" t="n">
        <v>14</v>
      </c>
      <c r="B203" s="67" t="n">
        <v>0.06153297287199222</v>
      </c>
      <c r="C203" s="25" t="n">
        <v>0.01653066811839084</v>
      </c>
      <c r="D203" s="25" t="n">
        <v>0.007004161082915577</v>
      </c>
      <c r="E203" s="720" t="n">
        <v>-0.01709493745837199</v>
      </c>
      <c r="F203" s="720" t="n">
        <v>0.03263177808440798</v>
      </c>
      <c r="G203" s="788" t="n">
        <v>0.00846785182820211</v>
      </c>
      <c r="H203" s="722" t="n">
        <v>0.005421778186445726</v>
      </c>
      <c r="I203" s="25" t="n">
        <v>-0.01709491512320538</v>
      </c>
      <c r="J203" s="25" t="n">
        <v>-0.01137510268009116</v>
      </c>
      <c r="K203" s="25" t="n">
        <v>-0.3004534277452514</v>
      </c>
      <c r="L203" s="25" t="n">
        <v>0.130795011195913</v>
      </c>
      <c r="M203" s="25" t="n">
        <v>0.06153288093843567</v>
      </c>
      <c r="N203" s="25" t="n">
        <v>-0.2583520025551019</v>
      </c>
      <c r="O203" s="25" t="n">
        <v>0.4170316236485296</v>
      </c>
      <c r="P203" s="25" t="n">
        <v>-0.09157367074533476</v>
      </c>
      <c r="Q203" s="25" t="n">
        <v>0.05385572838046865</v>
      </c>
      <c r="R203" s="25" t="n">
        <v>0.0341400111133338</v>
      </c>
      <c r="S203" s="25" t="n">
        <v>0.05991131054364238</v>
      </c>
      <c r="T203" s="25" t="n">
        <v>0.04149602164619857</v>
      </c>
      <c r="U203" s="25" t="n">
        <v>-0.0221995235279765</v>
      </c>
      <c r="V203" s="25" t="n">
        <v>0.07457033706959304</v>
      </c>
      <c r="W203" s="25" t="n">
        <v>0.1250819568265714</v>
      </c>
      <c r="X203" s="25" t="n">
        <v>0.0007153124683282261</v>
      </c>
      <c r="Y203" s="25" t="n">
        <v>-0.0541797680838047</v>
      </c>
      <c r="Z203" s="25" t="n">
        <v>-0.05606611936833761</v>
      </c>
      <c r="AA203" s="25" t="n">
        <v>-0.09012171891235028</v>
      </c>
      <c r="AB203" s="25" t="n">
        <v>0.007993687502164535</v>
      </c>
      <c r="AC203" s="25" t="n">
        <v>-0.01416924235416476</v>
      </c>
      <c r="AD203" s="25" t="n">
        <v>0.04857595097119299</v>
      </c>
      <c r="AE203" s="25" t="n">
        <v>0.02182712898411359</v>
      </c>
      <c r="AF203" s="25" t="n">
        <v>-0.04370085478721298</v>
      </c>
      <c r="AG203" s="45" t="n">
        <v>-0.02328838774057587</v>
      </c>
      <c r="AI203" s="3">
        <f t="array" ref="AI203">SQRT(INDEX(_xlfn.ANCHORARRAY($B$190),A203,A203))</f>
        <v/>
      </c>
      <c r="AJ203" s="23" t="n"/>
      <c r="AK203" s="3">
        <f>$AP$191*AI203</f>
        <v/>
      </c>
      <c r="AL203" s="105">
        <f>ABS(Y132/AK203)</f>
        <v/>
      </c>
      <c r="AM203" s="108">
        <f>IF(AL203&lt;2.5,"Spełniony","Nie spełniony")</f>
        <v/>
      </c>
      <c r="AN203" s="23" t="n"/>
      <c r="AO203" s="23" t="n"/>
      <c r="AP203" s="23" t="n"/>
      <c r="AQ203" s="23" t="n"/>
    </row>
    <row r="204">
      <c r="A204" t="n">
        <v>15</v>
      </c>
      <c r="B204" s="67" t="n">
        <v>0.003422558325052298</v>
      </c>
      <c r="C204" s="25" t="n">
        <v>-0.007601043431728131</v>
      </c>
      <c r="D204" s="25" t="n">
        <v>0.001807323661064323</v>
      </c>
      <c r="E204" s="720" t="n">
        <v>0.0006975147267583564</v>
      </c>
      <c r="F204" s="720" t="n">
        <v>-0.04355955306684366</v>
      </c>
      <c r="G204" s="788" t="n">
        <v>0.02088352800120597</v>
      </c>
      <c r="H204" s="722" t="n">
        <v>-0.006963641220783669</v>
      </c>
      <c r="I204" s="25" t="n">
        <v>0.0006975138154296226</v>
      </c>
      <c r="J204" s="25" t="n">
        <v>0.003248901266539277</v>
      </c>
      <c r="K204" s="25" t="n">
        <v>-0.03602766232087057</v>
      </c>
      <c r="L204" s="25" t="n">
        <v>0.01206533178943221</v>
      </c>
      <c r="M204" s="25" t="n">
        <v>0.003422553211566903</v>
      </c>
      <c r="N204" s="25" t="n">
        <v>-0.1994885778385146</v>
      </c>
      <c r="O204" s="25" t="n">
        <v>-0.09157367074533472</v>
      </c>
      <c r="P204" s="25" t="n">
        <v>0.69157588704851</v>
      </c>
      <c r="Q204" s="25" t="n">
        <v>-0.001113707274312966</v>
      </c>
      <c r="R204" s="25" t="n">
        <v>-0.05064030198678695</v>
      </c>
      <c r="S204" s="25" t="n">
        <v>-0.1520470986176838</v>
      </c>
      <c r="T204" s="25" t="n">
        <v>-0.04404810914419152</v>
      </c>
      <c r="U204" s="25" t="n">
        <v>0.02251917707373215</v>
      </c>
      <c r="V204" s="25" t="n">
        <v>0.05870167242473637</v>
      </c>
      <c r="W204" s="25" t="n">
        <v>-0.2895526943706746</v>
      </c>
      <c r="X204" s="25" t="n">
        <v>0.09510897137724603</v>
      </c>
      <c r="Y204" s="25" t="n">
        <v>0.0664215396591611</v>
      </c>
      <c r="Z204" s="25" t="n">
        <v>0.03947538424309621</v>
      </c>
      <c r="AA204" s="25" t="n">
        <v>0.02984512666643483</v>
      </c>
      <c r="AB204" s="25" t="n">
        <v>-0.004334476048433256</v>
      </c>
      <c r="AC204" s="25" t="n">
        <v>0.01133203471735213</v>
      </c>
      <c r="AD204" s="25" t="n">
        <v>-0.03905277602905042</v>
      </c>
      <c r="AE204" s="25" t="n">
        <v>-0.01413420150545498</v>
      </c>
      <c r="AF204" s="25" t="n">
        <v>0.02117319300473118</v>
      </c>
      <c r="AG204" s="45" t="n">
        <v>-0.1659839207927141</v>
      </c>
      <c r="AI204" s="3">
        <f t="array" ref="AI204">SQRT(INDEX(_xlfn.ANCHORARRAY($B$190),A204,A204))</f>
        <v/>
      </c>
      <c r="AJ204" s="23" t="n"/>
      <c r="AK204" s="3">
        <f>$AP$191*AI204</f>
        <v/>
      </c>
      <c r="AL204" s="105">
        <f>ABS(Y133/AK204)</f>
        <v/>
      </c>
      <c r="AM204" s="108">
        <f>IF(AL204&lt;2.5,"Spełniony","Nie spełniony")</f>
        <v/>
      </c>
      <c r="AN204" s="23" t="n"/>
      <c r="AO204" s="23" t="n"/>
      <c r="AP204" s="23" t="n"/>
      <c r="AQ204" s="23" t="n"/>
    </row>
    <row r="205">
      <c r="A205" t="n">
        <v>16</v>
      </c>
      <c r="B205" s="67" t="n">
        <v>-0.01111421728776112</v>
      </c>
      <c r="C205" s="25" t="n">
        <v>0.009675547400277131</v>
      </c>
      <c r="D205" s="25" t="n">
        <v>0.006325386809883322</v>
      </c>
      <c r="E205" s="720" t="n">
        <v>0.00543758377936306</v>
      </c>
      <c r="F205" s="720" t="n">
        <v>-0.03785042139376719</v>
      </c>
      <c r="G205" s="788" t="n">
        <v>0.01847167442388982</v>
      </c>
      <c r="H205" s="722" t="n">
        <v>0.002409925277886615</v>
      </c>
      <c r="I205" s="25" t="n">
        <v>0.005437576674959191</v>
      </c>
      <c r="J205" s="25" t="n">
        <v>0.01598158917279593</v>
      </c>
      <c r="K205" s="25" t="n">
        <v>0.0366563222649363</v>
      </c>
      <c r="L205" s="25" t="n">
        <v>-0.01990799016749885</v>
      </c>
      <c r="M205" s="25" t="n">
        <v>-0.0111142006825253</v>
      </c>
      <c r="N205" s="25" t="n">
        <v>-0.1253872581092394</v>
      </c>
      <c r="O205" s="25" t="n">
        <v>0.05385572838046874</v>
      </c>
      <c r="P205" s="25" t="n">
        <v>-0.001113707274313078</v>
      </c>
      <c r="Q205" s="25" t="n">
        <v>0.6727598506568112</v>
      </c>
      <c r="R205" s="25" t="n">
        <v>-0.2153580034902632</v>
      </c>
      <c r="S205" s="25" t="n">
        <v>-0.1201631261101893</v>
      </c>
      <c r="T205" s="25" t="n">
        <v>-0.04543820376855388</v>
      </c>
      <c r="U205" s="25" t="n">
        <v>0.03668327546413576</v>
      </c>
      <c r="V205" s="25" t="n">
        <v>0.03268928485419126</v>
      </c>
      <c r="W205" s="25" t="n">
        <v>0.09890488962345109</v>
      </c>
      <c r="X205" s="25" t="n">
        <v>-0.3137786900277659</v>
      </c>
      <c r="Y205" s="25" t="n">
        <v>0.1018678600586363</v>
      </c>
      <c r="Z205" s="25" t="n">
        <v>0.0366907189831304</v>
      </c>
      <c r="AA205" s="25" t="n">
        <v>0.04362593650835686</v>
      </c>
      <c r="AB205" s="25" t="n">
        <v>-0.02277902896546133</v>
      </c>
      <c r="AC205" s="25" t="n">
        <v>0.0355430149255919</v>
      </c>
      <c r="AD205" s="25" t="n">
        <v>-0.04816081969468797</v>
      </c>
      <c r="AE205" s="25" t="n">
        <v>-0.03762901456087538</v>
      </c>
      <c r="AF205" s="25" t="n">
        <v>0.04251325230208882</v>
      </c>
      <c r="AG205" s="45" t="n">
        <v>0.05317563762107442</v>
      </c>
      <c r="AI205" s="3">
        <f t="array" ref="AI205">SQRT(INDEX(_xlfn.ANCHORARRAY($B$190),A205,A205))</f>
        <v/>
      </c>
      <c r="AJ205" s="23" t="n"/>
      <c r="AK205" s="3">
        <f>$AP$191*AI205</f>
        <v/>
      </c>
      <c r="AL205" s="105">
        <f>ABS(Y134/AK205)</f>
        <v/>
      </c>
      <c r="AM205" s="108">
        <f>IF(AL205&lt;2.5,"Spełniony","Nie spełniony")</f>
        <v/>
      </c>
      <c r="AN205" s="23" t="n"/>
      <c r="AO205" s="23" t="n"/>
      <c r="AP205" s="23" t="n"/>
      <c r="AQ205" s="23" t="n"/>
    </row>
    <row r="206">
      <c r="A206" t="n">
        <v>17</v>
      </c>
      <c r="B206" s="67" t="n">
        <v>-0.01140149479472643</v>
      </c>
      <c r="C206" s="25" t="n">
        <v>-0.1072162623763002</v>
      </c>
      <c r="D206" s="25" t="n">
        <v>-0.03104727735210991</v>
      </c>
      <c r="E206" s="720" t="n">
        <v>-0.003286706841081403</v>
      </c>
      <c r="F206" s="720" t="n">
        <v>-0.07785093727603093</v>
      </c>
      <c r="G206" s="788" t="n">
        <v>0.002696044899369377</v>
      </c>
      <c r="H206" s="722" t="n">
        <v>-0.04937570180935117</v>
      </c>
      <c r="I206" s="25" t="n">
        <v>-0.003286702546877619</v>
      </c>
      <c r="J206" s="25" t="n">
        <v>-0.04864292500816361</v>
      </c>
      <c r="K206" s="25" t="n">
        <v>0.029758498502099</v>
      </c>
      <c r="L206" s="25" t="n">
        <v>-0.00696931824071545</v>
      </c>
      <c r="M206" s="25" t="n">
        <v>-0.01140147776028268</v>
      </c>
      <c r="N206" s="25" t="n">
        <v>-0.05921722539199697</v>
      </c>
      <c r="O206" s="25" t="n">
        <v>0.03414001111333377</v>
      </c>
      <c r="P206" s="25" t="n">
        <v>-0.050640301986787</v>
      </c>
      <c r="Q206" s="25" t="n">
        <v>-0.2153580034902632</v>
      </c>
      <c r="R206" s="25" t="n">
        <v>0.6994572330033024</v>
      </c>
      <c r="S206" s="25" t="n">
        <v>-0.1788412043141768</v>
      </c>
      <c r="T206" s="25" t="n">
        <v>-0.05785075581306318</v>
      </c>
      <c r="U206" s="25" t="n">
        <v>-0.03174481940607915</v>
      </c>
      <c r="V206" s="25" t="n">
        <v>0.02696207302751902</v>
      </c>
      <c r="W206" s="25" t="n">
        <v>0.09311240140686428</v>
      </c>
      <c r="X206" s="25" t="n">
        <v>-0.1703231568967539</v>
      </c>
      <c r="Y206" s="25" t="n">
        <v>-0.08144026721284306</v>
      </c>
      <c r="Z206" s="25" t="n">
        <v>0.08646139446019066</v>
      </c>
      <c r="AA206" s="25" t="n">
        <v>0.04522755521502305</v>
      </c>
      <c r="AB206" s="25" t="n">
        <v>0.07673547688908966</v>
      </c>
      <c r="AC206" s="25" t="n">
        <v>-0.09080955442687542</v>
      </c>
      <c r="AD206" s="25" t="n">
        <v>-0.03527790109846721</v>
      </c>
      <c r="AE206" s="25" t="n">
        <v>0.07846698971604696</v>
      </c>
      <c r="AF206" s="25" t="n">
        <v>-0.03104007110158987</v>
      </c>
      <c r="AG206" s="45" t="n">
        <v>-0.1365835755461868</v>
      </c>
      <c r="AI206" s="3">
        <f t="array" ref="AI206">SQRT(INDEX(_xlfn.ANCHORARRAY($B$190),A206,A206))</f>
        <v/>
      </c>
      <c r="AJ206" s="23" t="n"/>
      <c r="AK206" s="3">
        <f>$AP$191*AI206</f>
        <v/>
      </c>
      <c r="AL206" s="105">
        <f>ABS(Y135/AK206)</f>
        <v/>
      </c>
      <c r="AM206" s="108">
        <f>IF(AL206&lt;2.5,"Spełniony","Nie spełniony")</f>
        <v/>
      </c>
      <c r="AN206" s="23" t="n"/>
      <c r="AO206" s="23" t="n"/>
      <c r="AP206" s="23" t="n"/>
      <c r="AQ206" s="23" t="n"/>
    </row>
    <row r="207">
      <c r="A207" t="n">
        <v>18</v>
      </c>
      <c r="B207" s="67" t="n">
        <v>-0.03346618823590718</v>
      </c>
      <c r="C207" s="25" t="n">
        <v>-0.04424580522307391</v>
      </c>
      <c r="D207" s="25" t="n">
        <v>-0.01330415663633983</v>
      </c>
      <c r="E207" s="720" t="n">
        <v>-0.01966480534370837</v>
      </c>
      <c r="F207" s="720" t="n">
        <v>-0.04508624021858279</v>
      </c>
      <c r="G207" s="788" t="n">
        <v>-0.007429510648082199</v>
      </c>
      <c r="H207" s="722" t="n">
        <v>0.01692665638065249</v>
      </c>
      <c r="I207" s="25" t="n">
        <v>-0.01966477965091455</v>
      </c>
      <c r="J207" s="25" t="n">
        <v>-0.03096357602493108</v>
      </c>
      <c r="K207" s="25" t="n">
        <v>0.03180404754121941</v>
      </c>
      <c r="L207" s="25" t="n">
        <v>0.02803309435398207</v>
      </c>
      <c r="M207" s="25" t="n">
        <v>-0.03346613823562986</v>
      </c>
      <c r="N207" s="25" t="n">
        <v>-0.04556895124779131</v>
      </c>
      <c r="O207" s="25" t="n">
        <v>0.05991131054364229</v>
      </c>
      <c r="P207" s="25" t="n">
        <v>-0.1520470986176838</v>
      </c>
      <c r="Q207" s="25" t="n">
        <v>-0.1201631261101893</v>
      </c>
      <c r="R207" s="25" t="n">
        <v>-0.1788412043141768</v>
      </c>
      <c r="S207" s="25" t="n">
        <v>0.7082574024180955</v>
      </c>
      <c r="T207" s="25" t="n">
        <v>-0.06354892916736755</v>
      </c>
      <c r="U207" s="25" t="n">
        <v>0.03491106352929275</v>
      </c>
      <c r="V207" s="25" t="n">
        <v>-0.08809452019912534</v>
      </c>
      <c r="W207" s="25" t="n">
        <v>0.03437698075048215</v>
      </c>
      <c r="X207" s="25" t="n">
        <v>0.03260459656905965</v>
      </c>
      <c r="Y207" s="25" t="n">
        <v>0.07352833247441158</v>
      </c>
      <c r="Z207" s="25" t="n">
        <v>-0.00668551497538971</v>
      </c>
      <c r="AA207" s="25" t="n">
        <v>-0.04572987461943833</v>
      </c>
      <c r="AB207" s="25" t="n">
        <v>0.008771981749374358</v>
      </c>
      <c r="AC207" s="25" t="n">
        <v>0.02813626685743255</v>
      </c>
      <c r="AD207" s="25" t="n">
        <v>-0.1095951633761858</v>
      </c>
      <c r="AE207" s="25" t="n">
        <v>-0.0212890591408809</v>
      </c>
      <c r="AF207" s="25" t="n">
        <v>0.102308034136753</v>
      </c>
      <c r="AG207" s="45" t="n">
        <v>-0.2730159833621025</v>
      </c>
      <c r="AI207" s="3">
        <f t="array" ref="AI207">SQRT(INDEX(_xlfn.ANCHORARRAY($B$190),A207,A207))</f>
        <v/>
      </c>
      <c r="AJ207" s="23" t="n"/>
      <c r="AK207" s="3">
        <f>$AP$191*AI207</f>
        <v/>
      </c>
      <c r="AL207" s="105">
        <f>ABS(Y136/AK207)</f>
        <v/>
      </c>
      <c r="AM207" s="108">
        <f>IF(AL207&lt;2.5,"Spełniony","Nie spełniony")</f>
        <v/>
      </c>
      <c r="AN207" s="23" t="n"/>
      <c r="AO207" s="23" t="n"/>
      <c r="AP207" s="23" t="n"/>
      <c r="AQ207" s="23" t="n"/>
    </row>
    <row r="208">
      <c r="A208" t="n">
        <v>19</v>
      </c>
      <c r="B208" s="67" t="n">
        <v>-0.04948655233166149</v>
      </c>
      <c r="C208" s="25" t="n">
        <v>-0.055621797974057</v>
      </c>
      <c r="D208" s="25" t="n">
        <v>-0.1758855451078052</v>
      </c>
      <c r="E208" s="720" t="n">
        <v>-0.01050748804631607</v>
      </c>
      <c r="F208" s="720" t="n">
        <v>-0.1195778297030721</v>
      </c>
      <c r="G208" s="788" t="n">
        <v>0.003620916405080042</v>
      </c>
      <c r="H208" s="722" t="n">
        <v>0.02537039698778697</v>
      </c>
      <c r="I208" s="25" t="n">
        <v>-0.01050747431789519</v>
      </c>
      <c r="J208" s="25" t="n">
        <v>-0.1595715360825059</v>
      </c>
      <c r="K208" s="25" t="n">
        <v>0.02985310598476074</v>
      </c>
      <c r="L208" s="25" t="n">
        <v>0.0473736491304234</v>
      </c>
      <c r="M208" s="25" t="n">
        <v>-0.04948647839610236</v>
      </c>
      <c r="N208" s="25" t="n">
        <v>-0.07448208919018316</v>
      </c>
      <c r="O208" s="25" t="n">
        <v>0.04149602164619876</v>
      </c>
      <c r="P208" s="25" t="n">
        <v>-0.04404810914419177</v>
      </c>
      <c r="Q208" s="25" t="n">
        <v>-0.0454382037685537</v>
      </c>
      <c r="R208" s="25" t="n">
        <v>-0.05785075581306318</v>
      </c>
      <c r="S208" s="25" t="n">
        <v>-0.06354892916736765</v>
      </c>
      <c r="T208" s="25" t="n">
        <v>0.7081325005892607</v>
      </c>
      <c r="U208" s="25" t="n">
        <v>-0.2290225769444584</v>
      </c>
      <c r="V208" s="25" t="n">
        <v>-0.09587026389028805</v>
      </c>
      <c r="W208" s="25" t="n">
        <v>-0.02734402568393172</v>
      </c>
      <c r="X208" s="25" t="n">
        <v>0.04422360979248478</v>
      </c>
      <c r="Y208" s="25" t="n">
        <v>0.06680749727941566</v>
      </c>
      <c r="Z208" s="25" t="n">
        <v>0.06074999179841675</v>
      </c>
      <c r="AA208" s="25" t="n">
        <v>-0.0485668092960974</v>
      </c>
      <c r="AB208" s="25" t="n">
        <v>0.008272791714943079</v>
      </c>
      <c r="AC208" s="25" t="n">
        <v>0.1228320024587242</v>
      </c>
      <c r="AD208" s="25" t="n">
        <v>0.07885982578756565</v>
      </c>
      <c r="AE208" s="25" t="n">
        <v>-0.025387443585242</v>
      </c>
      <c r="AF208" s="25" t="n">
        <v>-0.02097463043649268</v>
      </c>
      <c r="AG208" s="45" t="n">
        <v>0.08944894431948321</v>
      </c>
      <c r="AI208" s="3">
        <f t="array" ref="AI208">SQRT(INDEX(_xlfn.ANCHORARRAY($B$190),A208,A208))</f>
        <v/>
      </c>
      <c r="AJ208" s="23" t="n"/>
      <c r="AK208" s="3">
        <f>$AP$191*AI208</f>
        <v/>
      </c>
      <c r="AL208" s="105">
        <f>ABS(Y137/AK208)</f>
        <v/>
      </c>
      <c r="AM208" s="108">
        <f>IF(AL208&lt;2.5,"Spełniony","Nie spełniony")</f>
        <v/>
      </c>
      <c r="AN208" s="23" t="n"/>
      <c r="AO208" s="23" t="n"/>
      <c r="AP208" s="23" t="n"/>
      <c r="AQ208" s="23" t="n"/>
    </row>
    <row r="209">
      <c r="A209" t="n">
        <v>20</v>
      </c>
      <c r="B209" s="67" t="n">
        <v>0.003678995166684384</v>
      </c>
      <c r="C209" s="25" t="n">
        <v>-0.04271701676241865</v>
      </c>
      <c r="D209" s="25" t="n">
        <v>-0.1696800932772772</v>
      </c>
      <c r="E209" s="720" t="n">
        <v>0.03607725099688393</v>
      </c>
      <c r="F209" s="720" t="n">
        <v>-0.007906112256961893</v>
      </c>
      <c r="G209" s="788" t="n">
        <v>0.02965808645611081</v>
      </c>
      <c r="H209" s="722" t="n">
        <v>0.05511244729893845</v>
      </c>
      <c r="I209" s="25" t="n">
        <v>0.03607720386062427</v>
      </c>
      <c r="J209" s="25" t="n">
        <v>-0.0826927456267626</v>
      </c>
      <c r="K209" s="25" t="n">
        <v>-0.009419494735110473</v>
      </c>
      <c r="L209" s="25" t="n">
        <v>-0.01220056068787063</v>
      </c>
      <c r="M209" s="25" t="n">
        <v>0.003678989670068623</v>
      </c>
      <c r="N209" s="25" t="n">
        <v>0.03295303453910084</v>
      </c>
      <c r="O209" s="25" t="n">
        <v>-0.02219952352797653</v>
      </c>
      <c r="P209" s="25" t="n">
        <v>0.0225191770737319</v>
      </c>
      <c r="Q209" s="25" t="n">
        <v>0.03668327546413591</v>
      </c>
      <c r="R209" s="25" t="n">
        <v>-0.0317448194060792</v>
      </c>
      <c r="S209" s="25" t="n">
        <v>0.03491106352929269</v>
      </c>
      <c r="T209" s="25" t="n">
        <v>-0.2290225769444584</v>
      </c>
      <c r="U209" s="25" t="n">
        <v>0.5542737179562172</v>
      </c>
      <c r="V209" s="25" t="n">
        <v>0.04262813097134671</v>
      </c>
      <c r="W209" s="25" t="n">
        <v>0.0118892975815208</v>
      </c>
      <c r="X209" s="25" t="n">
        <v>0.003960769164166525</v>
      </c>
      <c r="Y209" s="25" t="n">
        <v>-0.1056285050798347</v>
      </c>
      <c r="Z209" s="25" t="n">
        <v>0.02906235103127441</v>
      </c>
      <c r="AA209" s="25" t="n">
        <v>0.01808795633152621</v>
      </c>
      <c r="AB209" s="25" t="n">
        <v>-0.1098995379002174</v>
      </c>
      <c r="AC209" s="25" t="n">
        <v>0.2337293776340935</v>
      </c>
      <c r="AD209" s="25" t="n">
        <v>0.1181164011853632</v>
      </c>
      <c r="AE209" s="25" t="n">
        <v>0.2120809696439618</v>
      </c>
      <c r="AF209" s="25" t="n">
        <v>-0.06462920732971142</v>
      </c>
      <c r="AG209" s="45" t="n">
        <v>-0.02293698108650938</v>
      </c>
      <c r="AI209" s="3">
        <f t="array" ref="AI209">SQRT(INDEX(_xlfn.ANCHORARRAY($B$190),A209,A209))</f>
        <v/>
      </c>
      <c r="AJ209" s="23" t="n"/>
      <c r="AK209" s="3">
        <f>$AP$191*AI209</f>
        <v/>
      </c>
      <c r="AL209" s="105">
        <f>ABS(Y138/AK209)</f>
        <v/>
      </c>
      <c r="AM209" s="108">
        <f>IF(AL209&lt;2.5,"Spełniony","Nie spełniony")</f>
        <v/>
      </c>
      <c r="AN209" s="23" t="n"/>
      <c r="AO209" s="23" t="n"/>
      <c r="AP209" s="23" t="n"/>
      <c r="AQ209" s="23" t="n"/>
    </row>
    <row r="210">
      <c r="A210" t="n">
        <v>21</v>
      </c>
      <c r="B210" s="67" t="n">
        <v>0.04618930495752276</v>
      </c>
      <c r="C210" s="25" t="n">
        <v>0.004791714670850728</v>
      </c>
      <c r="D210" s="25" t="n">
        <v>0.01562749707860342</v>
      </c>
      <c r="E210" s="720" t="n">
        <v>0.01566287115855242</v>
      </c>
      <c r="F210" s="720" t="n">
        <v>-0.1117360709895804</v>
      </c>
      <c r="G210" s="788" t="n">
        <v>0.07788604210536991</v>
      </c>
      <c r="H210" s="722" t="n">
        <v>-0.03990293944046692</v>
      </c>
      <c r="I210" s="25" t="n">
        <v>0.01566285069443327</v>
      </c>
      <c r="J210" s="25" t="n">
        <v>0.03100721610365365</v>
      </c>
      <c r="K210" s="25" t="n">
        <v>-0.1863606877085185</v>
      </c>
      <c r="L210" s="25" t="n">
        <v>0.03551891782925896</v>
      </c>
      <c r="M210" s="25" t="n">
        <v>0.04618923594822781</v>
      </c>
      <c r="N210" s="25" t="n">
        <v>0.06345350516973473</v>
      </c>
      <c r="O210" s="25" t="n">
        <v>0.07457033706959351</v>
      </c>
      <c r="P210" s="25" t="n">
        <v>0.0587016724247371</v>
      </c>
      <c r="Q210" s="25" t="n">
        <v>0.03268928485419164</v>
      </c>
      <c r="R210" s="25" t="n">
        <v>0.02696207302751898</v>
      </c>
      <c r="S210" s="25" t="n">
        <v>-0.08809452019912564</v>
      </c>
      <c r="T210" s="25" t="n">
        <v>-0.09587026389028792</v>
      </c>
      <c r="U210" s="25" t="n">
        <v>0.0426281309713467</v>
      </c>
      <c r="V210" s="25" t="n">
        <v>0.2814827331291612</v>
      </c>
      <c r="W210" s="25" t="n">
        <v>0.1504787194025891</v>
      </c>
      <c r="X210" s="25" t="n">
        <v>0.1504319527584966</v>
      </c>
      <c r="Y210" s="25" t="n">
        <v>0.1519003309274856</v>
      </c>
      <c r="Z210" s="25" t="n">
        <v>0.1371310684829288</v>
      </c>
      <c r="AA210" s="25" t="n">
        <v>0.1285751952993387</v>
      </c>
      <c r="AB210" s="25" t="n">
        <v>-0.01525532251474504</v>
      </c>
      <c r="AC210" s="25" t="n">
        <v>0.007269101299518944</v>
      </c>
      <c r="AD210" s="25" t="n">
        <v>-0.03927807286410858</v>
      </c>
      <c r="AE210" s="25" t="n">
        <v>-0.02207929385205991</v>
      </c>
      <c r="AF210" s="25" t="n">
        <v>-0.01921305850106678</v>
      </c>
      <c r="AG210" s="45" t="n">
        <v>0.01274645415589884</v>
      </c>
      <c r="AI210" s="3">
        <f t="array" ref="AI210">SQRT(INDEX(_xlfn.ANCHORARRAY($B$190),A210,A210))</f>
        <v/>
      </c>
      <c r="AJ210" s="23" t="n"/>
      <c r="AK210" s="3">
        <f>$AP$191*AI210</f>
        <v/>
      </c>
      <c r="AL210" s="105">
        <f>ABS(Y139/AK210)</f>
        <v/>
      </c>
      <c r="AM210" s="108">
        <f>IF(AL210&lt;2.5,"Spełniony","Nie spełniony")</f>
        <v/>
      </c>
      <c r="AN210" s="23" t="n"/>
      <c r="AO210" s="23" t="n"/>
      <c r="AP210" s="23" t="n"/>
      <c r="AQ210" s="23" t="n"/>
    </row>
    <row r="211">
      <c r="A211" t="n">
        <v>22</v>
      </c>
      <c r="B211" s="67" t="n">
        <v>0.006365571112860248</v>
      </c>
      <c r="C211" s="25" t="n">
        <v>0.026445574485602</v>
      </c>
      <c r="D211" s="25" t="n">
        <v>0.01353653600865346</v>
      </c>
      <c r="E211" s="720" t="n">
        <v>0.03287872522799241</v>
      </c>
      <c r="F211" s="720" t="n">
        <v>-0.0416679211647821</v>
      </c>
      <c r="G211" s="788" t="n">
        <v>0.03780499477134436</v>
      </c>
      <c r="H211" s="722" t="n">
        <v>-0.03337786592893537</v>
      </c>
      <c r="I211" s="25" t="n">
        <v>0.03287868227072465</v>
      </c>
      <c r="J211" s="25" t="n">
        <v>0.04619324006139332</v>
      </c>
      <c r="K211" s="25" t="n">
        <v>0.08194612476359503</v>
      </c>
      <c r="L211" s="25" t="n">
        <v>-0.08781747638300638</v>
      </c>
      <c r="M211" s="25" t="n">
        <v>0.006365561602356182</v>
      </c>
      <c r="N211" s="25" t="n">
        <v>-0.1283477221895418</v>
      </c>
      <c r="O211" s="25" t="n">
        <v>0.1250819568265712</v>
      </c>
      <c r="P211" s="25" t="n">
        <v>-0.2895526943706748</v>
      </c>
      <c r="Q211" s="25" t="n">
        <v>0.09890488962345126</v>
      </c>
      <c r="R211" s="25" t="n">
        <v>0.09311240140686426</v>
      </c>
      <c r="S211" s="25" t="n">
        <v>0.03437698075048209</v>
      </c>
      <c r="T211" s="25" t="n">
        <v>-0.02734402568393154</v>
      </c>
      <c r="U211" s="25" t="n">
        <v>0.01188929758152094</v>
      </c>
      <c r="V211" s="25" t="n">
        <v>0.1504787194025881</v>
      </c>
      <c r="W211" s="25" t="n">
        <v>0.4088688109917158</v>
      </c>
      <c r="X211" s="25" t="n">
        <v>0.1212135804756929</v>
      </c>
      <c r="Y211" s="25" t="n">
        <v>0.06087080469370747</v>
      </c>
      <c r="Z211" s="25" t="n">
        <v>0.1057346150533294</v>
      </c>
      <c r="AA211" s="25" t="n">
        <v>0.1528334693829663</v>
      </c>
      <c r="AB211" s="25" t="n">
        <v>-0.0215481630811405</v>
      </c>
      <c r="AC211" s="25" t="n">
        <v>-0.003900488205720436</v>
      </c>
      <c r="AD211" s="25" t="n">
        <v>0.0275111494908794</v>
      </c>
      <c r="AE211" s="25" t="n">
        <v>-0.01279057688751154</v>
      </c>
      <c r="AF211" s="25" t="n">
        <v>-0.05196813728580253</v>
      </c>
      <c r="AG211" s="45" t="n">
        <v>0.03957671137127584</v>
      </c>
      <c r="AI211" s="3">
        <f t="array" ref="AI211">SQRT(INDEX(_xlfn.ANCHORARRAY($B$190),A211,A211))</f>
        <v/>
      </c>
      <c r="AJ211" s="23" t="n"/>
      <c r="AK211" s="3">
        <f>$AP$191*AI211</f>
        <v/>
      </c>
      <c r="AL211" s="105">
        <f>ABS(Y140/AK211)</f>
        <v/>
      </c>
      <c r="AM211" s="108">
        <f>IF(AL211&lt;2.5,"Spełniony","Nie spełniony")</f>
        <v/>
      </c>
      <c r="AN211" s="23" t="n"/>
      <c r="AO211" s="23" t="n"/>
      <c r="AP211" s="23" t="n"/>
      <c r="AQ211" s="23" t="n"/>
    </row>
    <row r="212">
      <c r="A212" t="n">
        <v>23</v>
      </c>
      <c r="B212" s="67" t="n">
        <v>0.03246767165860996</v>
      </c>
      <c r="C212" s="25" t="n">
        <v>0.095672251022473</v>
      </c>
      <c r="D212" s="25" t="n">
        <v>0.03247850192413672</v>
      </c>
      <c r="E212" s="720" t="n">
        <v>0.0349910889171475</v>
      </c>
      <c r="F212" s="720" t="n">
        <v>0.03283210071394848</v>
      </c>
      <c r="G212" s="788" t="n">
        <v>0.03122375210513587</v>
      </c>
      <c r="H212" s="722" t="n">
        <v>-0.009485125717439926</v>
      </c>
      <c r="I212" s="25" t="n">
        <v>0.03499104319999864</v>
      </c>
      <c r="J212" s="25" t="n">
        <v>0.07302695765798056</v>
      </c>
      <c r="K212" s="25" t="n">
        <v>0.006964539032938789</v>
      </c>
      <c r="L212" s="25" t="n">
        <v>-0.06657484502976657</v>
      </c>
      <c r="M212" s="25" t="n">
        <v>0.03246762315016993</v>
      </c>
      <c r="N212" s="25" t="n">
        <v>-0.06183677241421386</v>
      </c>
      <c r="O212" s="25" t="n">
        <v>0.0007153124683282712</v>
      </c>
      <c r="P212" s="25" t="n">
        <v>0.09510897137724607</v>
      </c>
      <c r="Q212" s="25" t="n">
        <v>-0.313778690027766</v>
      </c>
      <c r="R212" s="25" t="n">
        <v>-0.1703231568967539</v>
      </c>
      <c r="S212" s="25" t="n">
        <v>0.03260459656905974</v>
      </c>
      <c r="T212" s="25" t="n">
        <v>0.04422360979248461</v>
      </c>
      <c r="U212" s="25" t="n">
        <v>0.003960769164166484</v>
      </c>
      <c r="V212" s="25" t="n">
        <v>0.1504319527584963</v>
      </c>
      <c r="W212" s="25" t="n">
        <v>0.1212135804756928</v>
      </c>
      <c r="X212" s="25" t="n">
        <v>0.542412577761305</v>
      </c>
      <c r="Y212" s="25" t="n">
        <v>0.04129345205988348</v>
      </c>
      <c r="Z212" s="25" t="n">
        <v>0.03597583007097777</v>
      </c>
      <c r="AA212" s="25" t="n">
        <v>0.1086726068736445</v>
      </c>
      <c r="AB212" s="25" t="n">
        <v>-0.05684217220027887</v>
      </c>
      <c r="AC212" s="25" t="n">
        <v>0.02484323566691859</v>
      </c>
      <c r="AD212" s="25" t="n">
        <v>0.09877912440770661</v>
      </c>
      <c r="AE212" s="25" t="n">
        <v>-0.03429563068177706</v>
      </c>
      <c r="AF212" s="25" t="n">
        <v>-0.08078857584297332</v>
      </c>
      <c r="AG212" s="45" t="n">
        <v>0.06832206522341815</v>
      </c>
      <c r="AI212" s="3">
        <f t="array" ref="AI212">SQRT(INDEX(_xlfn.ANCHORARRAY($B$190),A212,A212))</f>
        <v/>
      </c>
      <c r="AJ212" s="23" t="n"/>
      <c r="AK212" s="3">
        <f>$AP$191*AI212</f>
        <v/>
      </c>
      <c r="AL212" s="105">
        <f>ABS(Y141/AK212)</f>
        <v/>
      </c>
      <c r="AM212" s="108">
        <f>IF(AL212&lt;2.5,"Spełniony","Nie spełniony")</f>
        <v/>
      </c>
      <c r="AN212" s="23" t="n"/>
      <c r="AO212" s="23" t="n"/>
      <c r="AP212" s="23" t="n"/>
      <c r="AQ212" s="23" t="n"/>
    </row>
    <row r="213">
      <c r="A213" t="n">
        <v>24</v>
      </c>
      <c r="B213" s="67" t="n">
        <v>0.07430511825860246</v>
      </c>
      <c r="C213" s="25" t="n">
        <v>-0.2087087474256643</v>
      </c>
      <c r="D213" s="25" t="n">
        <v>-0.1109114935839731</v>
      </c>
      <c r="E213" s="720" t="n">
        <v>0.05139395023865049</v>
      </c>
      <c r="F213" s="720" t="n">
        <v>0.09102861953227656</v>
      </c>
      <c r="G213" s="788" t="n">
        <v>-0.01534767162686534</v>
      </c>
      <c r="H213" s="722" t="n">
        <v>-0.08285559949075194</v>
      </c>
      <c r="I213" s="25" t="n">
        <v>0.05139388309055806</v>
      </c>
      <c r="J213" s="25" t="n">
        <v>-0.06761972736340234</v>
      </c>
      <c r="K213" s="25" t="n">
        <v>-0.0368768004876107</v>
      </c>
      <c r="L213" s="25" t="n">
        <v>-0.07239511269040065</v>
      </c>
      <c r="M213" s="25" t="n">
        <v>0.0743050072427768</v>
      </c>
      <c r="N213" s="25" t="n">
        <v>0.0899076303237716</v>
      </c>
      <c r="O213" s="25" t="n">
        <v>-0.0541797680838049</v>
      </c>
      <c r="P213" s="25" t="n">
        <v>0.06642153965916117</v>
      </c>
      <c r="Q213" s="25" t="n">
        <v>0.1018678600586361</v>
      </c>
      <c r="R213" s="25" t="n">
        <v>-0.08144026721284311</v>
      </c>
      <c r="S213" s="25" t="n">
        <v>0.0735283324744116</v>
      </c>
      <c r="T213" s="25" t="n">
        <v>0.06680749727941568</v>
      </c>
      <c r="U213" s="25" t="n">
        <v>-0.1056285050798345</v>
      </c>
      <c r="V213" s="25" t="n">
        <v>0.1519003309274855</v>
      </c>
      <c r="W213" s="25" t="n">
        <v>0.06087080469370763</v>
      </c>
      <c r="X213" s="25" t="n">
        <v>0.0412934520598833</v>
      </c>
      <c r="Y213" s="25" t="n">
        <v>0.5934544836330762</v>
      </c>
      <c r="Z213" s="25" t="n">
        <v>0.06257659285514769</v>
      </c>
      <c r="AA213" s="25" t="n">
        <v>0.08990433583069977</v>
      </c>
      <c r="AB213" s="25" t="n">
        <v>0.07853046098665944</v>
      </c>
      <c r="AC213" s="25" t="n">
        <v>-0.1526523574723337</v>
      </c>
      <c r="AD213" s="25" t="n">
        <v>-0.02290237169988962</v>
      </c>
      <c r="AE213" s="25" t="n">
        <v>0.1062527083193741</v>
      </c>
      <c r="AF213" s="25" t="n">
        <v>0.06620731978193892</v>
      </c>
      <c r="AG213" s="45" t="n">
        <v>-0.05387831944011224</v>
      </c>
      <c r="AI213" s="3">
        <f t="array" ref="AI213">SQRT(INDEX(_xlfn.ANCHORARRAY($B$190),A213,A213))</f>
        <v/>
      </c>
      <c r="AJ213" s="23" t="n"/>
      <c r="AK213" s="3">
        <f>$AP$191*AI213</f>
        <v/>
      </c>
      <c r="AL213" s="105">
        <f>ABS(Y142/AK213)</f>
        <v/>
      </c>
      <c r="AM213" s="108">
        <f>IF(AL213&lt;2.5,"Spełniony","Nie spełniony")</f>
        <v/>
      </c>
      <c r="AN213" s="23" t="n"/>
      <c r="AO213" s="23" t="n"/>
      <c r="AP213" s="23" t="n"/>
      <c r="AQ213" s="23" t="n"/>
    </row>
    <row r="214">
      <c r="A214" t="n">
        <v>25</v>
      </c>
      <c r="B214" s="67" t="n">
        <v>-0.06777500925307944</v>
      </c>
      <c r="C214" s="25" t="n">
        <v>0.06646206398367056</v>
      </c>
      <c r="D214" s="25" t="n">
        <v>0.04688843886181535</v>
      </c>
      <c r="E214" s="720" t="n">
        <v>-0.2055359767863474</v>
      </c>
      <c r="F214" s="720" t="n">
        <v>0.07037518779677721</v>
      </c>
      <c r="G214" s="788" t="n">
        <v>0.1334009801392274</v>
      </c>
      <c r="H214" s="722" t="n">
        <v>0.1215708435511031</v>
      </c>
      <c r="I214" s="25" t="n">
        <v>-0.2055357082460094</v>
      </c>
      <c r="J214" s="25" t="n">
        <v>-0.1450629735432079</v>
      </c>
      <c r="K214" s="25" t="n">
        <v>0.02327657823785616</v>
      </c>
      <c r="L214" s="25" t="n">
        <v>0.01775173496004684</v>
      </c>
      <c r="M214" s="25" t="n">
        <v>-0.06777490799358636</v>
      </c>
      <c r="N214" s="25" t="n">
        <v>0.03918665275137178</v>
      </c>
      <c r="O214" s="25" t="n">
        <v>-0.05606611936833772</v>
      </c>
      <c r="P214" s="25" t="n">
        <v>0.0394753842430963</v>
      </c>
      <c r="Q214" s="25" t="n">
        <v>0.03669071898313027</v>
      </c>
      <c r="R214" s="25" t="n">
        <v>0.08646139446019066</v>
      </c>
      <c r="S214" s="25" t="n">
        <v>-0.006685514975389863</v>
      </c>
      <c r="T214" s="25" t="n">
        <v>0.0607499917984166</v>
      </c>
      <c r="U214" s="25" t="n">
        <v>0.02906235103127433</v>
      </c>
      <c r="V214" s="25" t="n">
        <v>0.1371310684829285</v>
      </c>
      <c r="W214" s="25" t="n">
        <v>0.1057346150533297</v>
      </c>
      <c r="X214" s="25" t="n">
        <v>0.03597583007097777</v>
      </c>
      <c r="Y214" s="25" t="n">
        <v>0.06257659285514783</v>
      </c>
      <c r="Z214" s="25" t="n">
        <v>0.5419514348959864</v>
      </c>
      <c r="AA214" s="25" t="n">
        <v>0.1166304586416298</v>
      </c>
      <c r="AB214" s="25" t="n">
        <v>0.005425317575540933</v>
      </c>
      <c r="AC214" s="25" t="n">
        <v>0.09505686460995773</v>
      </c>
      <c r="AD214" s="25" t="n">
        <v>-0.04608406642576607</v>
      </c>
      <c r="AE214" s="25" t="n">
        <v>-0.007114653544693636</v>
      </c>
      <c r="AF214" s="25" t="n">
        <v>0.0758397392821606</v>
      </c>
      <c r="AG214" s="45" t="n">
        <v>-0.05560227767270132</v>
      </c>
      <c r="AI214" s="3">
        <f t="array" ref="AI214">SQRT(INDEX(_xlfn.ANCHORARRAY($B$190),A214,A214))</f>
        <v/>
      </c>
      <c r="AJ214" s="23" t="n"/>
      <c r="AK214" s="3">
        <f>$AP$191*AI214</f>
        <v/>
      </c>
      <c r="AL214" s="105">
        <f>ABS(Y143/AK214)</f>
        <v/>
      </c>
      <c r="AM214" s="108">
        <f>IF(AL214&lt;2.5,"Spełniony","Nie spełniony")</f>
        <v/>
      </c>
      <c r="AN214" s="23" t="n"/>
      <c r="AO214" s="23" t="n"/>
      <c r="AP214" s="23" t="n"/>
      <c r="AQ214" s="23" t="n"/>
    </row>
    <row r="215">
      <c r="A215" t="n">
        <v>26</v>
      </c>
      <c r="B215" s="67" t="n">
        <v>-0.0915526567345159</v>
      </c>
      <c r="C215" s="25" t="n">
        <v>0.015337143263068</v>
      </c>
      <c r="D215" s="25" t="n">
        <v>0.002380519710764185</v>
      </c>
      <c r="E215" s="720" t="n">
        <v>0.0706093412440046</v>
      </c>
      <c r="F215" s="720" t="n">
        <v>-0.04083191588863978</v>
      </c>
      <c r="G215" s="788" t="n">
        <v>-0.264968097494212</v>
      </c>
      <c r="H215" s="722" t="n">
        <v>0.04405068702649122</v>
      </c>
      <c r="I215" s="25" t="n">
        <v>0.07060924899029475</v>
      </c>
      <c r="J215" s="25" t="n">
        <v>0.06245528708358268</v>
      </c>
      <c r="K215" s="25" t="n">
        <v>0.1110502461617392</v>
      </c>
      <c r="L215" s="25" t="n">
        <v>0.1735167813138681</v>
      </c>
      <c r="M215" s="25" t="n">
        <v>-0.09155251994994429</v>
      </c>
      <c r="N215" s="25" t="n">
        <v>-0.002363293641122127</v>
      </c>
      <c r="O215" s="25" t="n">
        <v>-0.09012171891235018</v>
      </c>
      <c r="P215" s="25" t="n">
        <v>0.02984512666643452</v>
      </c>
      <c r="Q215" s="25" t="n">
        <v>0.04362593650835669</v>
      </c>
      <c r="R215" s="25" t="n">
        <v>0.04522755521502307</v>
      </c>
      <c r="S215" s="25" t="n">
        <v>-0.04572987461943814</v>
      </c>
      <c r="T215" s="25" t="n">
        <v>-0.04856680929609751</v>
      </c>
      <c r="U215" s="25" t="n">
        <v>0.01808795633152604</v>
      </c>
      <c r="V215" s="25" t="n">
        <v>0.1285751952993395</v>
      </c>
      <c r="W215" s="25" t="n">
        <v>0.1528334693829656</v>
      </c>
      <c r="X215" s="25" t="n">
        <v>0.1086726068736446</v>
      </c>
      <c r="Y215" s="25" t="n">
        <v>0.08990433583069969</v>
      </c>
      <c r="Z215" s="25" t="n">
        <v>0.1166304586416298</v>
      </c>
      <c r="AA215" s="25" t="n">
        <v>0.4033839339717209</v>
      </c>
      <c r="AB215" s="25" t="n">
        <v>0.009689879233964058</v>
      </c>
      <c r="AC215" s="25" t="n">
        <v>0.02938364410165906</v>
      </c>
      <c r="AD215" s="25" t="n">
        <v>-0.01802576290882186</v>
      </c>
      <c r="AE215" s="25" t="n">
        <v>-0.02997255335333192</v>
      </c>
      <c r="AF215" s="25" t="n">
        <v>0.00992271256574323</v>
      </c>
      <c r="AG215" s="45" t="n">
        <v>-0.01116463363777944</v>
      </c>
      <c r="AI215" s="3">
        <f t="array" ref="AI215">SQRT(INDEX(_xlfn.ANCHORARRAY($B$190),A215,A215))</f>
        <v/>
      </c>
      <c r="AJ215" s="23" t="n"/>
      <c r="AK215" s="3">
        <f>$AP$191*AI215</f>
        <v/>
      </c>
      <c r="AL215" s="105">
        <f>ABS(Y144/AK215)</f>
        <v/>
      </c>
      <c r="AM215" s="108">
        <f>IF(AL215&lt;2.5,"Spełniony","Nie spełniony")</f>
        <v/>
      </c>
      <c r="AN215" s="23" t="n"/>
      <c r="AO215" s="23" t="n"/>
      <c r="AP215" s="23" t="n"/>
      <c r="AQ215" s="23" t="n"/>
    </row>
    <row r="216">
      <c r="A216" t="n">
        <v>27</v>
      </c>
      <c r="B216" s="67" t="n">
        <v>0.06626892797580587</v>
      </c>
      <c r="C216" s="25" t="n">
        <v>0.09684040367116278</v>
      </c>
      <c r="D216" s="25" t="n">
        <v>0.01637625994308676</v>
      </c>
      <c r="E216" s="720" t="n">
        <v>-0.06254774777559657</v>
      </c>
      <c r="F216" s="720" t="n">
        <v>0.102308030595595</v>
      </c>
      <c r="G216" s="788" t="n">
        <v>-0.1340283371572583</v>
      </c>
      <c r="H216" s="722" t="n">
        <v>-0.2951647663323547</v>
      </c>
      <c r="I216" s="25" t="n">
        <v>-0.06254766605465616</v>
      </c>
      <c r="J216" s="25" t="n">
        <v>0.08218801654488597</v>
      </c>
      <c r="K216" s="25" t="n">
        <v>-0.01550300383010872</v>
      </c>
      <c r="L216" s="25" t="n">
        <v>-0.02106812475410569</v>
      </c>
      <c r="M216" s="25" t="n">
        <v>0.06626882896647876</v>
      </c>
      <c r="N216" s="25" t="n">
        <v>0.00759461820177193</v>
      </c>
      <c r="O216" s="25" t="n">
        <v>0.007993687502164518</v>
      </c>
      <c r="P216" s="25" t="n">
        <v>-0.004334476048433622</v>
      </c>
      <c r="Q216" s="25" t="n">
        <v>-0.02277902896546116</v>
      </c>
      <c r="R216" s="25" t="n">
        <v>0.0767354768890896</v>
      </c>
      <c r="S216" s="25" t="n">
        <v>0.008771981749374241</v>
      </c>
      <c r="T216" s="25" t="n">
        <v>0.008272791714942912</v>
      </c>
      <c r="U216" s="25" t="n">
        <v>-0.1098995379002175</v>
      </c>
      <c r="V216" s="25" t="n">
        <v>-0.01525532251474554</v>
      </c>
      <c r="W216" s="25" t="n">
        <v>-0.0215481630811408</v>
      </c>
      <c r="X216" s="25" t="n">
        <v>-0.05684217220027871</v>
      </c>
      <c r="Y216" s="25" t="n">
        <v>0.07853046098665953</v>
      </c>
      <c r="Z216" s="25" t="n">
        <v>0.005425317575541169</v>
      </c>
      <c r="AA216" s="25" t="n">
        <v>0.009689879233964388</v>
      </c>
      <c r="AB216" s="25" t="n">
        <v>0.5132930329886249</v>
      </c>
      <c r="AC216" s="25" t="n">
        <v>0.2394130917736966</v>
      </c>
      <c r="AD216" s="25" t="n">
        <v>-0.0295437146582959</v>
      </c>
      <c r="AE216" s="25" t="n">
        <v>0.05949470735118376</v>
      </c>
      <c r="AF216" s="25" t="n">
        <v>0.09365151032446299</v>
      </c>
      <c r="AG216" s="45" t="n">
        <v>-0.03296419912139591</v>
      </c>
      <c r="AI216" s="3">
        <f t="array" ref="AI216">SQRT(INDEX(_xlfn.ANCHORARRAY($B$190),A216,A216))</f>
        <v/>
      </c>
      <c r="AJ216" s="23" t="n"/>
      <c r="AK216" s="3">
        <f>$AP$191*AI216</f>
        <v/>
      </c>
      <c r="AL216" s="105">
        <f>ABS(Y145/AK216)</f>
        <v/>
      </c>
      <c r="AM216" s="108">
        <f>IF(AL216&lt;2.5,"Spełniony","Nie spełniony")</f>
        <v/>
      </c>
      <c r="AN216" s="23" t="n"/>
      <c r="AO216" s="23" t="n"/>
      <c r="AP216" s="23" t="n"/>
      <c r="AQ216" s="23" t="n"/>
    </row>
    <row r="217">
      <c r="A217" t="n">
        <v>28</v>
      </c>
      <c r="B217" s="67" t="n">
        <v>0.0004156640783735896</v>
      </c>
      <c r="C217" s="25" t="n">
        <v>-0.1070939128231064</v>
      </c>
      <c r="D217" s="25" t="n">
        <v>0.055094321129638</v>
      </c>
      <c r="E217" s="720" t="n">
        <v>-0.03180898697656535</v>
      </c>
      <c r="F217" s="720" t="n">
        <v>-0.07832626715041527</v>
      </c>
      <c r="G217" s="788" t="n">
        <v>-0.03499314373499959</v>
      </c>
      <c r="H217" s="722" t="n">
        <v>-0.1349867666746573</v>
      </c>
      <c r="I217" s="25" t="n">
        <v>-0.03180894541695008</v>
      </c>
      <c r="J217" s="25" t="n">
        <v>-0.04301955347106675</v>
      </c>
      <c r="K217" s="25" t="n">
        <v>0.002650821463445391</v>
      </c>
      <c r="L217" s="25" t="n">
        <v>0.01383752386985265</v>
      </c>
      <c r="M217" s="25" t="n">
        <v>0.0004156634573491384</v>
      </c>
      <c r="N217" s="25" t="n">
        <v>0.01283784643323198</v>
      </c>
      <c r="O217" s="25" t="n">
        <v>-0.0141692423541649</v>
      </c>
      <c r="P217" s="25" t="n">
        <v>0.01133203471735245</v>
      </c>
      <c r="Q217" s="25" t="n">
        <v>0.03554301492559168</v>
      </c>
      <c r="R217" s="25" t="n">
        <v>-0.0908095544268754</v>
      </c>
      <c r="S217" s="25" t="n">
        <v>0.02813626685743268</v>
      </c>
      <c r="T217" s="25" t="n">
        <v>0.1228320024587243</v>
      </c>
      <c r="U217" s="25" t="n">
        <v>0.2337293776340936</v>
      </c>
      <c r="V217" s="25" t="n">
        <v>0.007269101299519201</v>
      </c>
      <c r="W217" s="25" t="n">
        <v>-0.003900488205720185</v>
      </c>
      <c r="X217" s="25" t="n">
        <v>0.02484323566691837</v>
      </c>
      <c r="Y217" s="25" t="n">
        <v>-0.1526523574723337</v>
      </c>
      <c r="Z217" s="25" t="n">
        <v>0.09505686460995746</v>
      </c>
      <c r="AA217" s="25" t="n">
        <v>0.0293836441016588</v>
      </c>
      <c r="AB217" s="25" t="n">
        <v>0.2394130917736967</v>
      </c>
      <c r="AC217" s="25" t="n">
        <v>0.6251189911280002</v>
      </c>
      <c r="AD217" s="25" t="n">
        <v>0.01120928679596123</v>
      </c>
      <c r="AE217" s="25" t="n">
        <v>-0.05178283252055266</v>
      </c>
      <c r="AF217" s="25" t="n">
        <v>-0.1246143608932703</v>
      </c>
      <c r="AG217" s="45" t="n">
        <v>0.01151227219989655</v>
      </c>
      <c r="AI217" s="3">
        <f t="array" ref="AI217">SQRT(INDEX(_xlfn.ANCHORARRAY($B$190),A217,A217))</f>
        <v/>
      </c>
      <c r="AJ217" s="23" t="n"/>
      <c r="AK217" s="3">
        <f>$AP$191*AI217</f>
        <v/>
      </c>
      <c r="AL217" s="105">
        <f>ABS(Y146/AK217)</f>
        <v/>
      </c>
      <c r="AM217" s="108">
        <f>IF(AL217&lt;2.5,"Spełniony","Nie spełniony")</f>
        <v/>
      </c>
      <c r="AN217" s="23" t="n"/>
      <c r="AO217" s="23" t="n"/>
      <c r="AP217" s="23" t="n"/>
      <c r="AQ217" s="23" t="n"/>
    </row>
    <row r="218">
      <c r="A218" t="n">
        <v>29</v>
      </c>
      <c r="B218" s="67" t="n">
        <v>-0.01658685635014124</v>
      </c>
      <c r="C218" s="25" t="n">
        <v>-0.1494705080220718</v>
      </c>
      <c r="D218" s="25" t="n">
        <v>0.1055787818347154</v>
      </c>
      <c r="E218" s="720" t="n">
        <v>-0.01697808419975641</v>
      </c>
      <c r="F218" s="720" t="n">
        <v>0.006338058699457541</v>
      </c>
      <c r="G218" s="788" t="n">
        <v>0.001249842069812657</v>
      </c>
      <c r="H218" s="722" t="n">
        <v>0.02256056501529445</v>
      </c>
      <c r="I218" s="25" t="n">
        <v>-0.01697806201726292</v>
      </c>
      <c r="J218" s="25" t="n">
        <v>0.08130428330392883</v>
      </c>
      <c r="K218" s="25" t="n">
        <v>0.02457988166297401</v>
      </c>
      <c r="L218" s="25" t="n">
        <v>0.005026457001440193</v>
      </c>
      <c r="M218" s="25" t="n">
        <v>-0.01658683156848963</v>
      </c>
      <c r="N218" s="25" t="n">
        <v>-0.0823058258154466</v>
      </c>
      <c r="O218" s="25" t="n">
        <v>0.04857595097119317</v>
      </c>
      <c r="P218" s="25" t="n">
        <v>-0.03905277602905038</v>
      </c>
      <c r="Q218" s="25" t="n">
        <v>-0.04816081969468802</v>
      </c>
      <c r="R218" s="25" t="n">
        <v>-0.03527790109846728</v>
      </c>
      <c r="S218" s="25" t="n">
        <v>-0.1095951633761858</v>
      </c>
      <c r="T218" s="25" t="n">
        <v>0.07885982578756552</v>
      </c>
      <c r="U218" s="25" t="n">
        <v>0.118116401185363</v>
      </c>
      <c r="V218" s="25" t="n">
        <v>-0.039278072864109</v>
      </c>
      <c r="W218" s="25" t="n">
        <v>0.02751114949087945</v>
      </c>
      <c r="X218" s="25" t="n">
        <v>0.09877912440770664</v>
      </c>
      <c r="Y218" s="25" t="n">
        <v>-0.0229023716998896</v>
      </c>
      <c r="Z218" s="25" t="n">
        <v>-0.04608406642576592</v>
      </c>
      <c r="AA218" s="25" t="n">
        <v>-0.01802576290882156</v>
      </c>
      <c r="AB218" s="25" t="n">
        <v>-0.02954371465829616</v>
      </c>
      <c r="AC218" s="25" t="n">
        <v>0.01120928679596145</v>
      </c>
      <c r="AD218" s="25" t="n">
        <v>0.5863214738176693</v>
      </c>
      <c r="AE218" s="25" t="n">
        <v>0.2101475185558615</v>
      </c>
      <c r="AF218" s="25" t="n">
        <v>0.2868156609632486</v>
      </c>
      <c r="AG218" s="45" t="n">
        <v>0.1062296654018851</v>
      </c>
      <c r="AI218" s="3">
        <f t="array" ref="AI218">SQRT(INDEX(_xlfn.ANCHORARRAY($B$190),A218,A218))</f>
        <v/>
      </c>
      <c r="AJ218" s="23" t="n"/>
      <c r="AK218" s="3">
        <f>$AP$191*AI218</f>
        <v/>
      </c>
      <c r="AL218" s="105">
        <f>ABS(Y147/AK218)</f>
        <v/>
      </c>
      <c r="AM218" s="108">
        <f>IF(AL218&lt;2.5,"Spełniony","Nie spełniony")</f>
        <v/>
      </c>
      <c r="AN218" s="23" t="n"/>
      <c r="AO218" s="23" t="n"/>
      <c r="AP218" s="23" t="n"/>
      <c r="AQ218" s="23" t="n"/>
    </row>
    <row r="219">
      <c r="A219" t="n">
        <v>30</v>
      </c>
      <c r="B219" s="67" t="n">
        <v>0.03875557536124426</v>
      </c>
      <c r="C219" s="25" t="n">
        <v>0.08182785595138434</v>
      </c>
      <c r="D219" s="25" t="n">
        <v>-0.188039847295175</v>
      </c>
      <c r="E219" s="720" t="n">
        <v>0.03219662036820992</v>
      </c>
      <c r="F219" s="720" t="n">
        <v>0.09780032435873318</v>
      </c>
      <c r="G219" s="788" t="n">
        <v>-0.04348320464685239</v>
      </c>
      <c r="H219" s="722" t="n">
        <v>-0.02876985099432659</v>
      </c>
      <c r="I219" s="25" t="n">
        <v>0.03219657830213729</v>
      </c>
      <c r="J219" s="25" t="n">
        <v>-0.1448150150432609</v>
      </c>
      <c r="K219" s="25" t="n">
        <v>-0.01199121594826953</v>
      </c>
      <c r="L219" s="25" t="n">
        <v>-0.02650976691887369</v>
      </c>
      <c r="M219" s="25" t="n">
        <v>0.03875551745833936</v>
      </c>
      <c r="N219" s="25" t="n">
        <v>-0.01259869202729643</v>
      </c>
      <c r="O219" s="25" t="n">
        <v>0.02182712898411365</v>
      </c>
      <c r="P219" s="25" t="n">
        <v>-0.01413420150545502</v>
      </c>
      <c r="Q219" s="25" t="n">
        <v>-0.03762901456087538</v>
      </c>
      <c r="R219" s="25" t="n">
        <v>0.07846698971604701</v>
      </c>
      <c r="S219" s="25" t="n">
        <v>-0.02128905914088093</v>
      </c>
      <c r="T219" s="25" t="n">
        <v>-0.02538744358524205</v>
      </c>
      <c r="U219" s="25" t="n">
        <v>0.2120809696439619</v>
      </c>
      <c r="V219" s="25" t="n">
        <v>-0.02207929385205991</v>
      </c>
      <c r="W219" s="25" t="n">
        <v>-0.01279057688751171</v>
      </c>
      <c r="X219" s="25" t="n">
        <v>-0.03429563068177694</v>
      </c>
      <c r="Y219" s="25" t="n">
        <v>0.1062527083193743</v>
      </c>
      <c r="Z219" s="25" t="n">
        <v>-0.007114653544693579</v>
      </c>
      <c r="AA219" s="25" t="n">
        <v>-0.02997255335333214</v>
      </c>
      <c r="AB219" s="25" t="n">
        <v>0.05949470735118369</v>
      </c>
      <c r="AC219" s="25" t="n">
        <v>-0.05178283252055266</v>
      </c>
      <c r="AD219" s="25" t="n">
        <v>0.2101475185558615</v>
      </c>
      <c r="AE219" s="25" t="n">
        <v>0.3366734888417401</v>
      </c>
      <c r="AF219" s="25" t="n">
        <v>0.1519198731597195</v>
      </c>
      <c r="AG219" s="45" t="n">
        <v>-0.008858548559261076</v>
      </c>
      <c r="AI219" s="3">
        <f t="array" ref="AI219">SQRT(INDEX(_xlfn.ANCHORARRAY($B$190),A219,A219))</f>
        <v/>
      </c>
      <c r="AJ219" s="23" t="n"/>
      <c r="AK219" s="3">
        <f>$AP$191*AI219</f>
        <v/>
      </c>
      <c r="AL219" s="105">
        <f>ABS(Y148/AK219)</f>
        <v/>
      </c>
      <c r="AM219" s="108">
        <f>IF(AL219&lt;2.5,"Spełniony","Nie spełniony")</f>
        <v/>
      </c>
      <c r="AN219" s="23" t="n"/>
      <c r="AO219" s="23" t="n"/>
      <c r="AP219" s="23" t="n"/>
      <c r="AQ219" s="23" t="n"/>
    </row>
    <row r="220">
      <c r="A220" t="n">
        <v>31</v>
      </c>
      <c r="B220" s="67" t="n">
        <v>-0.04715052626417884</v>
      </c>
      <c r="C220" s="25" t="n">
        <v>0.1346699799852332</v>
      </c>
      <c r="D220" s="25" t="n">
        <v>0.1113432564738989</v>
      </c>
      <c r="E220" s="720" t="n">
        <v>-0.05012593539400635</v>
      </c>
      <c r="F220" s="720" t="n">
        <v>-0.1654366184525415</v>
      </c>
      <c r="G220" s="788" t="n">
        <v>0.014664953617849</v>
      </c>
      <c r="H220" s="722" t="n">
        <v>-0.04222102692932643</v>
      </c>
      <c r="I220" s="25" t="n">
        <v>-0.05012586990262203</v>
      </c>
      <c r="J220" s="25" t="n">
        <v>0.02519726536434153</v>
      </c>
      <c r="K220" s="25" t="n">
        <v>0.004080556445699535</v>
      </c>
      <c r="L220" s="25" t="n">
        <v>0.05799264526074631</v>
      </c>
      <c r="M220" s="25" t="n">
        <v>-0.0471504558187678</v>
      </c>
      <c r="N220" s="25" t="n">
        <v>0.05191075862749162</v>
      </c>
      <c r="O220" s="25" t="n">
        <v>-0.04370085478721308</v>
      </c>
      <c r="P220" s="25" t="n">
        <v>0.02117319300473139</v>
      </c>
      <c r="Q220" s="25" t="n">
        <v>0.04251325230208873</v>
      </c>
      <c r="R220" s="25" t="n">
        <v>-0.03104007110158979</v>
      </c>
      <c r="S220" s="25" t="n">
        <v>0.1023080341367532</v>
      </c>
      <c r="T220" s="25" t="n">
        <v>-0.02097463043649249</v>
      </c>
      <c r="U220" s="25" t="n">
        <v>-0.0646292073297112</v>
      </c>
      <c r="V220" s="25" t="n">
        <v>-0.0192130585010661</v>
      </c>
      <c r="W220" s="25" t="n">
        <v>-0.05196813728580234</v>
      </c>
      <c r="X220" s="25" t="n">
        <v>-0.08078857584297353</v>
      </c>
      <c r="Y220" s="25" t="n">
        <v>0.06620731978193886</v>
      </c>
      <c r="Z220" s="25" t="n">
        <v>0.07583973928216037</v>
      </c>
      <c r="AA220" s="25" t="n">
        <v>0.009922712565742751</v>
      </c>
      <c r="AB220" s="25" t="n">
        <v>0.09365151032446332</v>
      </c>
      <c r="AC220" s="25" t="n">
        <v>-0.1246143608932705</v>
      </c>
      <c r="AD220" s="25" t="n">
        <v>0.2868156609632484</v>
      </c>
      <c r="AE220" s="25" t="n">
        <v>0.1519198731597194</v>
      </c>
      <c r="AF220" s="25" t="n">
        <v>0.505363632122406</v>
      </c>
      <c r="AG220" s="45" t="n">
        <v>-0.06484497632967393</v>
      </c>
      <c r="AI220" s="3">
        <f t="array" ref="AI220">SQRT(INDEX(_xlfn.ANCHORARRAY($B$190),A220,A220))</f>
        <v/>
      </c>
      <c r="AJ220" s="23" t="n"/>
      <c r="AK220" s="3">
        <f>$AP$191*AI220</f>
        <v/>
      </c>
      <c r="AL220" s="105">
        <f>ABS(Y149/AK220)</f>
        <v/>
      </c>
      <c r="AM220" s="108">
        <f>IF(AL220&lt;2.5,"Spełniony","Nie spełniony")</f>
        <v/>
      </c>
      <c r="AN220" s="23" t="n"/>
      <c r="AO220" s="23" t="n"/>
      <c r="AP220" s="23" t="n"/>
      <c r="AQ220" s="23" t="n"/>
    </row>
    <row r="221">
      <c r="A221" t="n">
        <v>32</v>
      </c>
      <c r="B221" s="68" t="n">
        <v>0.02586736130083107</v>
      </c>
      <c r="C221" s="32" t="n">
        <v>0.07489480674787354</v>
      </c>
      <c r="D221" s="32" t="n">
        <v>0.01976294139946751</v>
      </c>
      <c r="E221" s="720" t="n">
        <v>0.01222924161768125</v>
      </c>
      <c r="F221" s="720" t="n">
        <v>0.08534924944545332</v>
      </c>
      <c r="G221" s="788" t="n">
        <v>-0.008241548579331338</v>
      </c>
      <c r="H221" s="722" t="n">
        <v>0.01346156718990829</v>
      </c>
      <c r="I221" s="32" t="n">
        <v>0.01222922563972581</v>
      </c>
      <c r="J221" s="32" t="n">
        <v>0.03594624271045085</v>
      </c>
      <c r="K221" s="32" t="n">
        <v>-0.02387889373112666</v>
      </c>
      <c r="L221" s="32" t="n">
        <v>-0.01563449402355412</v>
      </c>
      <c r="M221" s="32" t="n">
        <v>0.0258673226536081</v>
      </c>
      <c r="N221" s="32" t="n">
        <v>0.1557457832470087</v>
      </c>
      <c r="O221" s="32" t="n">
        <v>-0.02328838774057611</v>
      </c>
      <c r="P221" s="32" t="n">
        <v>-0.1659839207927145</v>
      </c>
      <c r="Q221" s="32" t="n">
        <v>0.05317563762107447</v>
      </c>
      <c r="R221" s="32" t="n">
        <v>-0.1365835755461868</v>
      </c>
      <c r="S221" s="32" t="n">
        <v>-0.2730159833621026</v>
      </c>
      <c r="T221" s="32" t="n">
        <v>0.08944894431948353</v>
      </c>
      <c r="U221" s="32" t="n">
        <v>-0.02293698108650896</v>
      </c>
      <c r="V221" s="32" t="n">
        <v>0.01274645415589992</v>
      </c>
      <c r="W221" s="32" t="n">
        <v>0.03957671137127551</v>
      </c>
      <c r="X221" s="32" t="n">
        <v>0.06832206522341808</v>
      </c>
      <c r="Y221" s="32" t="n">
        <v>-0.05387831944011225</v>
      </c>
      <c r="Z221" s="32" t="n">
        <v>-0.05560227767270126</v>
      </c>
      <c r="AA221" s="32" t="n">
        <v>-0.01116463363778003</v>
      </c>
      <c r="AB221" s="32" t="n">
        <v>-0.03296419912139568</v>
      </c>
      <c r="AC221" s="32" t="n">
        <v>0.01151227219989603</v>
      </c>
      <c r="AD221" s="32" t="n">
        <v>0.1062296654018852</v>
      </c>
      <c r="AE221" s="32" t="n">
        <v>-0.008858548559261319</v>
      </c>
      <c r="AF221" s="32" t="n">
        <v>-0.06484497632967437</v>
      </c>
      <c r="AG221" s="49" t="n">
        <v>0.2843105680468274</v>
      </c>
      <c r="AI221" s="3">
        <f t="array" ref="AI221">SQRT(INDEX(_xlfn.ANCHORARRAY($B$190),A221,A221))</f>
        <v/>
      </c>
      <c r="AJ221" s="23" t="n"/>
      <c r="AK221" s="4">
        <f>$AP$191*AI221</f>
        <v/>
      </c>
      <c r="AL221" s="106">
        <f>ABS(Y150/AK221)</f>
        <v/>
      </c>
      <c r="AM221" s="109">
        <f>IF(AL221&lt;2.5,"Spełniony","Nie spełniony")</f>
        <v/>
      </c>
      <c r="AN221" s="23" t="n"/>
      <c r="AO221" s="23" t="n"/>
      <c r="AP221" s="23" t="n"/>
      <c r="AQ221" s="23" t="n"/>
    </row>
  </sheetData>
  <mergeCells count="18">
    <mergeCell ref="R130:T130"/>
    <mergeCell ref="R109:T109"/>
    <mergeCell ref="S39:S41"/>
    <mergeCell ref="B189:AG189"/>
    <mergeCell ref="B154:AG154"/>
    <mergeCell ref="AO192:AP192"/>
    <mergeCell ref="AJ154:BO154"/>
    <mergeCell ref="A147:A149"/>
    <mergeCell ref="U91:AZ91"/>
    <mergeCell ref="B75:Q75"/>
    <mergeCell ref="A126:A128"/>
    <mergeCell ref="B109:Q109"/>
    <mergeCell ref="AO189:AP189"/>
    <mergeCell ref="B130:Q130"/>
    <mergeCell ref="Y112:Y114"/>
    <mergeCell ref="AK188:AM188"/>
    <mergeCell ref="B39:Q39"/>
    <mergeCell ref="P3:R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221"/>
  <sheetViews>
    <sheetView workbookViewId="0">
      <selection activeCell="A1" sqref="A1"/>
    </sheetView>
  </sheetViews>
  <sheetFormatPr baseColWidth="10" defaultColWidth="8.83203125" defaultRowHeight="15"/>
  <cols>
    <col width="6.05078125" customWidth="1" min="1" max="1"/>
    <col width="13.98828125" customWidth="1" min="2" max="4"/>
    <col width="13" customWidth="1" min="3" max="3"/>
    <col width="11.02734375" customWidth="1" min="4" max="4"/>
    <col width="13.98828125" customWidth="1" min="5" max="5"/>
    <col width="13" customWidth="1" min="6" max="7"/>
    <col width="13" customWidth="1" min="7" max="7"/>
    <col width="11.02734375" customWidth="1" min="8" max="13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6"/>
    <col width="13" customWidth="1" min="15" max="15"/>
    <col width="13" customWidth="1" min="16" max="16"/>
    <col width="11.02734375" customWidth="1" min="17" max="23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/>
    <row r="2">
      <c r="B2" s="530" t="n"/>
      <c r="C2" s="531" t="n"/>
      <c r="D2" s="531" t="n"/>
      <c r="E2" s="532" t="n"/>
      <c r="P2" s="530" t="n"/>
      <c r="Q2" s="531" t="n"/>
      <c r="R2" s="532" t="n"/>
      <c r="S2" s="530" t="n"/>
      <c r="T2" s="531" t="n"/>
      <c r="U2" s="531" t="n"/>
      <c r="V2" s="532" t="n"/>
    </row>
    <row r="3" ht="17.1" customHeight="1">
      <c r="B3" s="534" t="inlineStr">
        <is>
          <t>c</t>
        </is>
      </c>
      <c r="C3" s="535" t="inlineStr">
        <is>
          <t>l</t>
        </is>
      </c>
      <c r="D3" s="535" t="inlineStr">
        <is>
          <t>p</t>
        </is>
      </c>
      <c r="E3" s="530" t="inlineStr">
        <is>
          <t>L obs [m]</t>
        </is>
      </c>
      <c r="F3" s="534" t="inlineStr">
        <is>
          <t>∆x</t>
        </is>
      </c>
      <c r="G3" s="536" t="inlineStr">
        <is>
          <t>∆y</t>
        </is>
      </c>
      <c r="H3" s="537" t="inlineStr">
        <is>
          <t>L przyb [m]</t>
        </is>
      </c>
      <c r="I3" s="538" t="inlineStr">
        <is>
          <t>Az [g]</t>
        </is>
      </c>
      <c r="J3" s="538" t="inlineStr">
        <is>
          <t>Sin Az</t>
        </is>
      </c>
      <c r="K3" s="539" t="inlineStr">
        <is>
          <t>Cos Az</t>
        </is>
      </c>
      <c r="L3" s="537" t="inlineStr">
        <is>
          <t>Błąd [m]</t>
        </is>
      </c>
      <c r="M3" s="538" t="inlineStr">
        <is>
          <t>l [m]</t>
        </is>
      </c>
      <c r="N3" s="538" t="n"/>
      <c r="O3" s="411" t="n"/>
      <c r="P3" s="530" t="inlineStr">
        <is>
          <t>Współrzedne przybliżone</t>
        </is>
      </c>
      <c r="Q3" s="506" t="n"/>
      <c r="R3" s="507" t="n"/>
      <c r="S3" s="530" t="n"/>
      <c r="T3" s="530" t="n"/>
      <c r="U3" s="530" t="n"/>
      <c r="V3" s="530" t="n"/>
    </row>
    <row r="4">
      <c r="B4" s="724">
        <f>'_calc_Dane'!F5</f>
        <v/>
      </c>
      <c r="C4" s="724">
        <f>'_calc_Dane'!G5</f>
        <v/>
      </c>
      <c r="D4" s="724">
        <f>'_calc_Dane'!H5</f>
        <v/>
      </c>
      <c r="E4" s="724">
        <f>'_calc_Dane'!I5</f>
        <v/>
      </c>
      <c r="F4" s="543">
        <f>'_calc_Dane'!M5-'_calc_Dane'!M11</f>
        <v/>
      </c>
      <c r="G4" s="544">
        <f>'_calc_Dane'!N5-'_calc_Dane'!N11</f>
        <v/>
      </c>
      <c r="H4" s="545">
        <f>SQRT(F4^2+G4^2)</f>
        <v/>
      </c>
      <c r="I4" s="546">
        <f>IF(ATAN2(F4,G4)*200/PI()&lt;0,ATAN2(F4,G4)*200/PI()+400)</f>
        <v/>
      </c>
      <c r="J4" s="547">
        <f>SIN(I4*PI()/200)</f>
        <v/>
      </c>
      <c r="K4" s="543">
        <f>COS(I4*PI()/200)</f>
        <v/>
      </c>
      <c r="L4" s="544">
        <f>0.001+0.000001*E4</f>
        <v/>
      </c>
      <c r="M4" s="548">
        <f>H4-E4</f>
        <v/>
      </c>
      <c r="N4" s="548" t="n"/>
      <c r="O4" s="413" t="n"/>
      <c r="P4" s="549" t="inlineStr">
        <is>
          <t>NR</t>
        </is>
      </c>
      <c r="Q4" s="550" t="inlineStr">
        <is>
          <t>Xo</t>
        </is>
      </c>
      <c r="R4" s="550" t="inlineStr">
        <is>
          <t>Yo</t>
        </is>
      </c>
      <c r="S4" s="551" t="n"/>
      <c r="T4" s="551" t="n"/>
      <c r="U4" s="551" t="n"/>
      <c r="V4" s="551" t="n"/>
      <c r="AC4" s="486" t="n"/>
      <c r="AD4" s="486" t="n"/>
      <c r="AE4" s="686" t="n"/>
      <c r="AF4" s="686" t="n"/>
    </row>
    <row r="5">
      <c r="B5" s="724">
        <f>'_calc_Dane'!F6</f>
        <v/>
      </c>
      <c r="C5" s="724">
        <f>'_calc_Dane'!G6</f>
        <v/>
      </c>
      <c r="D5" s="724">
        <f>'_calc_Dane'!H6</f>
        <v/>
      </c>
      <c r="E5" s="724">
        <f>'_calc_Dane'!I6</f>
        <v/>
      </c>
      <c r="F5" s="543">
        <f>'_calc_Dane'!M9-'_calc_Dane'!M11</f>
        <v/>
      </c>
      <c r="G5" s="544">
        <f>'_calc_Dane'!N9-'_calc_Dane'!N11</f>
        <v/>
      </c>
      <c r="H5" s="545">
        <f>SQRT(F5^2+G5^2)</f>
        <v/>
      </c>
      <c r="I5" s="546">
        <f>IF(ATAN2(F5,G5)*200/PI()&lt;0,ATAN2(F5,G5)*200/PI()+400,ATAN2(F5,G5)*200/PI())</f>
        <v/>
      </c>
      <c r="J5" s="547">
        <f>SIN(I5*PI()/200)</f>
        <v/>
      </c>
      <c r="K5" s="543">
        <f>COS(I5*PI()/200)</f>
        <v/>
      </c>
      <c r="L5" s="544">
        <f>0.001+0.000001*E5</f>
        <v/>
      </c>
      <c r="M5" s="548">
        <f>H5-E5</f>
        <v/>
      </c>
      <c r="N5" s="548" t="n"/>
      <c r="P5" s="549" t="n">
        <v>1</v>
      </c>
      <c r="Q5" s="550" t="n">
        <v>240</v>
      </c>
      <c r="R5" s="550" t="n">
        <v>120</v>
      </c>
      <c r="S5" s="551" t="n"/>
      <c r="T5" s="551" t="n"/>
      <c r="U5" s="551" t="n"/>
      <c r="V5" s="551" t="n"/>
      <c r="AC5" s="486" t="n"/>
      <c r="AD5" s="486" t="n"/>
      <c r="AE5" s="686" t="n"/>
      <c r="AF5" s="686" t="n"/>
    </row>
    <row r="6">
      <c r="B6" s="724">
        <f>'_calc_Dane'!F7</f>
        <v/>
      </c>
      <c r="C6" s="724">
        <f>'_calc_Dane'!G7</f>
        <v/>
      </c>
      <c r="D6" s="724">
        <f>'_calc_Dane'!H7</f>
        <v/>
      </c>
      <c r="E6" s="724">
        <f>'_calc_Dane'!I7</f>
        <v/>
      </c>
      <c r="F6" s="543">
        <f>'_calc_Dane'!M10-'_calc_Dane'!M11</f>
        <v/>
      </c>
      <c r="G6" s="544">
        <f>'_calc_Dane'!N10-'_calc_Dane'!N11</f>
        <v/>
      </c>
      <c r="H6" s="545">
        <f>SQRT(F6^2+G6^2)</f>
        <v/>
      </c>
      <c r="I6" s="546">
        <f>IF(ATAN2(F6,G6)*200/PI()&lt;0,ATAN2(F6,G6)*200/PI()+400,ATAN2(F6,G6)*200/PI())</f>
        <v/>
      </c>
      <c r="J6" s="547">
        <f>SIN(I6*PI()/200)</f>
        <v/>
      </c>
      <c r="K6" s="543">
        <f>COS(I6*PI()/200)</f>
        <v/>
      </c>
      <c r="L6" s="544">
        <f>0.001+0.000001*E6</f>
        <v/>
      </c>
      <c r="M6" s="548">
        <f>H6-E6</f>
        <v/>
      </c>
      <c r="N6" s="548" t="n"/>
      <c r="P6" s="549" t="n">
        <v>2</v>
      </c>
      <c r="Q6" s="550" t="n">
        <v>385</v>
      </c>
      <c r="R6" s="550" t="n">
        <v>145</v>
      </c>
      <c r="S6" s="551" t="n"/>
      <c r="T6" s="551" t="n"/>
      <c r="U6" s="551" t="n"/>
      <c r="V6" s="551" t="n"/>
      <c r="AC6" s="486" t="n"/>
      <c r="AD6" s="486" t="n"/>
      <c r="AE6" s="686" t="n"/>
      <c r="AF6" s="686" t="n"/>
    </row>
    <row r="7">
      <c r="B7" s="724">
        <f>'_calc_Dane'!F8</f>
        <v/>
      </c>
      <c r="C7" s="724">
        <f>'_calc_Dane'!G8</f>
        <v/>
      </c>
      <c r="D7" s="724">
        <f>'_calc_Dane'!H8</f>
        <v/>
      </c>
      <c r="E7" s="724">
        <f>'_calc_Dane'!I8</f>
        <v/>
      </c>
      <c r="F7" s="543">
        <f>'_calc_Dane'!M12-'_calc_Dane'!M11</f>
        <v/>
      </c>
      <c r="G7" s="544">
        <f>'_calc_Dane'!N12-'_calc_Dane'!N11</f>
        <v/>
      </c>
      <c r="H7" s="545">
        <f>SQRT(F7^2+G7^2)</f>
        <v/>
      </c>
      <c r="I7" s="546">
        <f>IF(ATAN2(F7,G7)*200/PI()&lt;0,ATAN2(F7,G7)*200/PI()+400)</f>
        <v/>
      </c>
      <c r="J7" s="547">
        <f>SIN(I7*PI()/200)</f>
        <v/>
      </c>
      <c r="K7" s="543">
        <f>COS(I7*PI()/200)</f>
        <v/>
      </c>
      <c r="L7" s="544">
        <f>0.001+0.000001*E7</f>
        <v/>
      </c>
      <c r="M7" s="548">
        <f>H7-E7</f>
        <v/>
      </c>
      <c r="N7" s="548" t="n"/>
      <c r="P7" s="549" t="n">
        <v>3</v>
      </c>
      <c r="Q7" s="550" t="n">
        <v>475</v>
      </c>
      <c r="R7" s="550" t="n">
        <v>245</v>
      </c>
      <c r="S7" s="551" t="n"/>
      <c r="T7" s="551" t="n"/>
      <c r="U7" s="551" t="n"/>
      <c r="V7" s="551" t="n"/>
      <c r="AC7" s="486" t="n"/>
      <c r="AD7" s="486" t="n"/>
      <c r="AE7" s="686" t="n"/>
      <c r="AF7" s="686" t="n"/>
    </row>
    <row r="8">
      <c r="B8" s="724">
        <f>'_calc_Dane'!F9</f>
        <v/>
      </c>
      <c r="C8" s="724">
        <f>'_calc_Dane'!G9</f>
        <v/>
      </c>
      <c r="D8" s="724">
        <f>'_calc_Dane'!H9</f>
        <v/>
      </c>
      <c r="E8" s="724">
        <f>'_calc_Dane'!I9</f>
        <v/>
      </c>
      <c r="F8" s="543">
        <f>'_calc_Dane'!M13-'_calc_Dane'!M11</f>
        <v/>
      </c>
      <c r="G8" s="544">
        <f>'_calc_Dane'!N13-'_calc_Dane'!N11</f>
        <v/>
      </c>
      <c r="H8" s="545">
        <f>SQRT(F8^2+G8^2)</f>
        <v/>
      </c>
      <c r="I8" s="546">
        <f>IF(ATAN2(F8,G8)*200/PI()&lt;0,ATAN2(F8,G8)*200/PI()+400)</f>
        <v/>
      </c>
      <c r="J8" s="547">
        <f>SIN(I8*PI()/200)</f>
        <v/>
      </c>
      <c r="K8" s="543">
        <f>COS(I8*PI()/200)</f>
        <v/>
      </c>
      <c r="L8" s="544">
        <f>0.001+0.000001*E8</f>
        <v/>
      </c>
      <c r="M8" s="548">
        <f>H8-E8</f>
        <v/>
      </c>
      <c r="N8" s="548" t="n"/>
      <c r="P8" s="549" t="n">
        <v>4</v>
      </c>
      <c r="Q8" s="550" t="n">
        <v>435</v>
      </c>
      <c r="R8" s="550" t="n">
        <v>435</v>
      </c>
      <c r="S8" s="551" t="n"/>
      <c r="T8" s="551" t="n"/>
      <c r="U8" s="551" t="n"/>
      <c r="V8" s="551" t="n"/>
      <c r="AC8" s="486" t="n"/>
      <c r="AD8" s="486" t="n"/>
      <c r="AE8" s="686" t="n"/>
      <c r="AF8" s="686" t="n"/>
    </row>
    <row r="9">
      <c r="B9" s="724">
        <f>'_calc_Dane'!F10</f>
        <v/>
      </c>
      <c r="C9" s="724">
        <f>'_calc_Dane'!G10</f>
        <v/>
      </c>
      <c r="D9" s="724">
        <f>'_calc_Dane'!H10</f>
        <v/>
      </c>
      <c r="E9" s="724">
        <f>'_calc_Dane'!I10</f>
        <v/>
      </c>
      <c r="F9" s="543">
        <f>'_calc_Dane'!M5-'_calc_Dane'!M12</f>
        <v/>
      </c>
      <c r="G9" s="544">
        <f>'_calc_Dane'!N5-'_calc_Dane'!N12</f>
        <v/>
      </c>
      <c r="H9" s="545">
        <f>SQRT(F9^2+G9^2)</f>
        <v/>
      </c>
      <c r="I9" s="546">
        <f>IF(ATAN2(F9,G9)*200/PI()&lt;0,ATAN2(F9,G9)*200/PI()+400)</f>
        <v/>
      </c>
      <c r="J9" s="547">
        <f>SIN(I9*PI()/200)</f>
        <v/>
      </c>
      <c r="K9" s="543">
        <f>COS(I9*PI()/200)</f>
        <v/>
      </c>
      <c r="L9" s="544">
        <f>0.001+0.000001*E9</f>
        <v/>
      </c>
      <c r="M9" s="548">
        <f>H9-E9</f>
        <v/>
      </c>
      <c r="N9" s="548" t="n"/>
      <c r="P9" s="549" t="n">
        <v>5</v>
      </c>
      <c r="Q9" s="550" t="n">
        <v>295</v>
      </c>
      <c r="R9" s="550" t="n">
        <v>490</v>
      </c>
      <c r="S9" s="551" t="n"/>
      <c r="T9" s="551" t="n"/>
      <c r="U9" s="551" t="n"/>
      <c r="V9" s="551" t="n"/>
      <c r="AC9" s="486" t="n"/>
      <c r="AD9" s="486" t="n"/>
      <c r="AE9" s="686" t="n"/>
      <c r="AF9" s="686" t="n"/>
    </row>
    <row r="10">
      <c r="B10" s="724">
        <f>'_calc_Dane'!F11</f>
        <v/>
      </c>
      <c r="C10" s="724">
        <f>'_calc_Dane'!G11</f>
        <v/>
      </c>
      <c r="D10" s="724">
        <f>'_calc_Dane'!H11</f>
        <v/>
      </c>
      <c r="E10" s="724">
        <f>'_calc_Dane'!I11</f>
        <v/>
      </c>
      <c r="F10" s="543">
        <f>'_calc_Dane'!M13-'_calc_Dane'!M12</f>
        <v/>
      </c>
      <c r="G10" s="544">
        <f>'_calc_Dane'!N13-'_calc_Dane'!N12</f>
        <v/>
      </c>
      <c r="H10" s="545">
        <f>SQRT(F10^2+G10^2)</f>
        <v/>
      </c>
      <c r="I10" s="546">
        <f>IF(ATAN2(F10,G10)*200/PI()&lt;0,ATAN2(F10,G10)*200/PI()+400,ATAN2(F10,G10)*200/PI())</f>
        <v/>
      </c>
      <c r="J10" s="547">
        <f>SIN(I10*PI()/200)</f>
        <v/>
      </c>
      <c r="K10" s="543">
        <f>COS(I10*PI()/200)</f>
        <v/>
      </c>
      <c r="L10" s="544">
        <f>0.001+0.000001*E10</f>
        <v/>
      </c>
      <c r="M10" s="548">
        <f>H10-E10</f>
        <v/>
      </c>
      <c r="N10" s="548" t="n"/>
      <c r="P10" s="549" t="n">
        <v>6</v>
      </c>
      <c r="Q10" s="550" t="n">
        <v>145</v>
      </c>
      <c r="R10" s="550" t="n">
        <v>560</v>
      </c>
      <c r="S10" s="551" t="n"/>
      <c r="T10" s="551" t="n"/>
      <c r="U10" s="551" t="n"/>
      <c r="V10" s="551" t="n"/>
      <c r="AC10" s="486" t="n"/>
      <c r="AD10" s="486" t="n"/>
      <c r="AE10" s="686" t="n"/>
      <c r="AF10" s="686" t="n"/>
    </row>
    <row r="11">
      <c r="B11" s="724">
        <f>'_calc_Dane'!F12</f>
        <v/>
      </c>
      <c r="C11" s="724">
        <f>'_calc_Dane'!G12</f>
        <v/>
      </c>
      <c r="D11" s="724">
        <f>'_calc_Dane'!H12</f>
        <v/>
      </c>
      <c r="E11" s="724">
        <f>'_calc_Dane'!I12</f>
        <v/>
      </c>
      <c r="F11" s="543">
        <f>'_calc_Dane'!M11-'_calc_Dane'!M12</f>
        <v/>
      </c>
      <c r="G11" s="544">
        <f>'_calc_Dane'!N11-'_calc_Dane'!N12</f>
        <v/>
      </c>
      <c r="H11" s="545">
        <f>SQRT(F11^2+G11^2)</f>
        <v/>
      </c>
      <c r="I11" s="546">
        <f>IF(ATAN2(F11,G11)*200/PI()&lt;0,ATAN2(F11,G11)*200/PI()+400,ATAN2(F11,G11)*200/PI())</f>
        <v/>
      </c>
      <c r="J11" s="547">
        <f>SIN(I11*PI()/200)</f>
        <v/>
      </c>
      <c r="K11" s="543">
        <f>COS(I11*PI()/200)</f>
        <v/>
      </c>
      <c r="L11" s="544">
        <f>0.001+0.000001*E11</f>
        <v/>
      </c>
      <c r="M11" s="548">
        <f>H11-E11</f>
        <v/>
      </c>
      <c r="N11" s="548" t="n"/>
      <c r="P11" s="549" t="n">
        <v>7</v>
      </c>
      <c r="Q11" s="550" t="n">
        <v>180</v>
      </c>
      <c r="R11" s="550" t="n">
        <v>385</v>
      </c>
      <c r="S11" s="551" t="n"/>
      <c r="T11" s="551" t="n"/>
      <c r="U11" s="551" t="n"/>
      <c r="V11" s="551" t="n"/>
      <c r="AC11" s="486" t="n"/>
      <c r="AD11" s="486" t="n"/>
      <c r="AE11" s="686" t="n"/>
      <c r="AF11" s="686" t="n"/>
    </row>
    <row r="12">
      <c r="B12" s="724">
        <f>'_calc_Dane'!F13</f>
        <v/>
      </c>
      <c r="C12" s="724">
        <f>'_calc_Dane'!G13</f>
        <v/>
      </c>
      <c r="D12" s="724">
        <f>'_calc_Dane'!H13</f>
        <v/>
      </c>
      <c r="E12" s="724">
        <f>'_calc_Dane'!I13</f>
        <v/>
      </c>
      <c r="F12" s="543">
        <f>'_calc_Dane'!M10-'_calc_Dane'!M12</f>
        <v/>
      </c>
      <c r="G12" s="544">
        <f>'_calc_Dane'!N10-'_calc_Dane'!N12</f>
        <v/>
      </c>
      <c r="H12" s="545">
        <f>SQRT(F12^2+G12^2)</f>
        <v/>
      </c>
      <c r="I12" s="546">
        <f>IF(ATAN2(F12,G12)*200/PI()&lt;0,ATAN2(F12,G12)*200/PI()+400,ATAN2(F12,G12)*200/PI())</f>
        <v/>
      </c>
      <c r="J12" s="547">
        <f>SIN(I12*PI()/200)</f>
        <v/>
      </c>
      <c r="K12" s="543">
        <f>COS(I12*PI()/200)</f>
        <v/>
      </c>
      <c r="L12" s="544">
        <f>0.001+0.000001*E12</f>
        <v/>
      </c>
      <c r="M12" s="548">
        <f>H12-E12</f>
        <v/>
      </c>
      <c r="N12" s="548" t="n"/>
      <c r="P12" s="549" t="n">
        <v>8</v>
      </c>
      <c r="Q12" s="550" t="n">
        <v>150</v>
      </c>
      <c r="R12" s="550" t="n">
        <v>240</v>
      </c>
      <c r="S12" s="551" t="n"/>
      <c r="T12" s="551" t="n"/>
      <c r="U12" s="551" t="n"/>
      <c r="V12" s="551" t="n"/>
      <c r="AC12" s="486" t="n"/>
      <c r="AD12" s="486" t="n"/>
      <c r="AE12" s="686" t="n"/>
      <c r="AF12" s="686" t="n"/>
    </row>
    <row r="13">
      <c r="B13" s="724">
        <f>'_calc_Dane'!F14</f>
        <v/>
      </c>
      <c r="C13" s="724">
        <f>'_calc_Dane'!G14</f>
        <v/>
      </c>
      <c r="D13" s="724">
        <f>'_calc_Dane'!H14</f>
        <v/>
      </c>
      <c r="E13" s="724">
        <f>'_calc_Dane'!I14</f>
        <v/>
      </c>
      <c r="F13" s="543">
        <f>'_calc_Dane'!M6-'_calc_Dane'!M5</f>
        <v/>
      </c>
      <c r="G13" s="544">
        <f>'_calc_Dane'!N6-'_calc_Dane'!N5</f>
        <v/>
      </c>
      <c r="H13" s="545">
        <f>SQRT(F13^2+G13^2)</f>
        <v/>
      </c>
      <c r="I13" s="546">
        <f>IF(ATAN2(F13,G13)*200/PI()&lt;0,ATAN2(F13,G13)*200/PI()+400,ATAN2(F13,G13)*200/PI())</f>
        <v/>
      </c>
      <c r="J13" s="547">
        <f>SIN(I13*PI()/200)</f>
        <v/>
      </c>
      <c r="K13" s="543">
        <f>COS(I13*PI()/200)</f>
        <v/>
      </c>
      <c r="L13" s="544">
        <f>0.001+0.000001*E13</f>
        <v/>
      </c>
      <c r="M13" s="548">
        <f>H13-E13</f>
        <v/>
      </c>
      <c r="N13" s="548" t="n"/>
      <c r="P13" s="13" t="n">
        <v>9</v>
      </c>
      <c r="Q13" s="14" t="n">
        <v>314</v>
      </c>
      <c r="R13" s="15" t="n">
        <v>271</v>
      </c>
    </row>
    <row r="14" ht="17.1" customHeight="1">
      <c r="B14" s="724">
        <f>'_calc_Dane'!F15</f>
        <v/>
      </c>
      <c r="C14" s="724">
        <f>'_calc_Dane'!G15</f>
        <v/>
      </c>
      <c r="D14" s="724">
        <f>'_calc_Dane'!H15</f>
        <v/>
      </c>
      <c r="E14" s="789">
        <f>'_calc_Dane'!I15</f>
        <v/>
      </c>
      <c r="F14" s="543">
        <f>'_calc_Dane'!M13-'_calc_Dane'!M5</f>
        <v/>
      </c>
      <c r="G14" s="544">
        <f>'_calc_Dane'!N13-'_calc_Dane'!N5</f>
        <v/>
      </c>
      <c r="H14" s="545">
        <f>SQRT(F14^2+G14^2)</f>
        <v/>
      </c>
      <c r="I14" s="790">
        <f>IF(ATAN2(F14,G14)*200/PI()&lt;0,ATAN2(F14,G14)*200/PI()+400,ATAN2(F14,G14)*200/PI())</f>
        <v/>
      </c>
      <c r="J14" s="547">
        <f>SIN(I14*PI()/200)</f>
        <v/>
      </c>
      <c r="K14" s="543">
        <f>COS(I14*PI()/200)</f>
        <v/>
      </c>
      <c r="L14" s="544">
        <f>0.001+0.000001*E14</f>
        <v/>
      </c>
      <c r="M14" s="548">
        <f>H14-E14</f>
        <v/>
      </c>
      <c r="N14" s="548" t="n"/>
      <c r="P14" s="554" t="n"/>
      <c r="Q14" s="555" t="n"/>
      <c r="T14" s="556" t="n"/>
      <c r="U14" s="503" t="n"/>
      <c r="V14" s="778" t="n"/>
      <c r="W14" s="558" t="n"/>
    </row>
    <row r="15" ht="17.1" customHeight="1">
      <c r="B15" s="724">
        <f>'_calc_Dane'!F16</f>
        <v/>
      </c>
      <c r="C15" s="724">
        <f>'_calc_Dane'!G16</f>
        <v/>
      </c>
      <c r="D15" s="724">
        <f>'_calc_Dane'!H16</f>
        <v/>
      </c>
      <c r="E15" s="724">
        <f>'_calc_Dane'!I16</f>
        <v/>
      </c>
      <c r="F15" s="543">
        <f>'_calc_Dane'!M11-'_calc_Dane'!M5</f>
        <v/>
      </c>
      <c r="G15" s="544">
        <f>'_calc_Dane'!N11-'_calc_Dane'!N5</f>
        <v/>
      </c>
      <c r="H15" s="545">
        <f>SQRT(F15^2+G15^2)</f>
        <v/>
      </c>
      <c r="I15" s="546">
        <f>IF(ATAN2(F15,G15)*200/PI()&lt;0,ATAN2(F15,G15)*200/PI()+400,ATAN2(F15,G15)*200/PI())</f>
        <v/>
      </c>
      <c r="J15" s="547">
        <f>SIN(I15*PI()/200)</f>
        <v/>
      </c>
      <c r="K15" s="543">
        <f>COS(I15*PI()/200)</f>
        <v/>
      </c>
      <c r="L15" s="544">
        <f>0.001+0.000001*E15</f>
        <v/>
      </c>
      <c r="M15" s="548">
        <f>H15-E15</f>
        <v/>
      </c>
      <c r="N15" s="548" t="n"/>
      <c r="P15" s="559" t="n"/>
      <c r="Q15" s="492" t="n"/>
      <c r="R15" s="492" t="n"/>
      <c r="T15" s="556" t="n"/>
      <c r="U15" s="492" t="n"/>
      <c r="V15" s="559" t="n"/>
      <c r="W15" s="550" t="n"/>
    </row>
    <row r="16" ht="17.1" customHeight="1">
      <c r="B16" s="724">
        <f>'_calc_Dane'!F17</f>
        <v/>
      </c>
      <c r="C16" s="724">
        <f>'_calc_Dane'!G17</f>
        <v/>
      </c>
      <c r="D16" s="724">
        <f>'_calc_Dane'!H17</f>
        <v/>
      </c>
      <c r="E16" s="724">
        <f>'_calc_Dane'!I17</f>
        <v/>
      </c>
      <c r="F16" s="543">
        <f>'_calc_Dane'!M12-'_calc_Dane'!M6</f>
        <v/>
      </c>
      <c r="G16" s="544">
        <f>'_calc_Dane'!N12-'_calc_Dane'!N6</f>
        <v/>
      </c>
      <c r="H16" s="545">
        <f>SQRT(F16^2+G16^2)</f>
        <v/>
      </c>
      <c r="I16" s="546">
        <f>IF(ATAN2(F16,G16)*200/PI()&lt;0,ATAN2(F16,G16)*200/PI()+400,ATAN2(F16,G16)*200/PI())</f>
        <v/>
      </c>
      <c r="J16" s="547">
        <f>SIN(I16*PI()/200)</f>
        <v/>
      </c>
      <c r="K16" s="543">
        <f>COS(I16*PI()/200)</f>
        <v/>
      </c>
      <c r="L16" s="544">
        <f>0.001+0.000001*E16</f>
        <v/>
      </c>
      <c r="M16" s="548">
        <f>H16-E16</f>
        <v/>
      </c>
      <c r="N16" s="548" t="n"/>
      <c r="P16" s="559" t="n"/>
      <c r="Q16" s="492" t="n"/>
      <c r="R16" s="492" t="n"/>
      <c r="T16" s="556" t="n"/>
      <c r="U16" s="492" t="n"/>
      <c r="V16" s="501" t="n"/>
    </row>
    <row r="17">
      <c r="B17" s="724">
        <f>'_calc_Dane'!F18</f>
        <v/>
      </c>
      <c r="C17" s="724">
        <f>'_calc_Dane'!G18</f>
        <v/>
      </c>
      <c r="D17" s="724">
        <f>'_calc_Dane'!H18</f>
        <v/>
      </c>
      <c r="E17" s="724">
        <f>'_calc_Dane'!I18</f>
        <v/>
      </c>
      <c r="F17" s="543">
        <f>'_calc_Dane'!M13-'_calc_Dane'!M6</f>
        <v/>
      </c>
      <c r="G17" s="544">
        <f>'_calc_Dane'!N13-'_calc_Dane'!N6</f>
        <v/>
      </c>
      <c r="H17" s="545">
        <f>SQRT(F17^2+G17^2)</f>
        <v/>
      </c>
      <c r="I17" s="546">
        <f>IF(ATAN2(F17,G17)*200/PI()&lt;0,ATAN2(F17,G17)*200/PI()+400,ATAN2(F17,G17)*200/PI())</f>
        <v/>
      </c>
      <c r="J17" s="547">
        <f>SIN(I17*PI()/200)</f>
        <v/>
      </c>
      <c r="K17" s="543">
        <f>COS(I17*PI()/200)</f>
        <v/>
      </c>
      <c r="L17" s="544">
        <f>0.001+0.000001*E17</f>
        <v/>
      </c>
      <c r="M17" s="548">
        <f>H17-E17</f>
        <v/>
      </c>
      <c r="N17" s="548" t="n"/>
      <c r="P17" s="501" t="n"/>
      <c r="Q17" s="501" t="n"/>
      <c r="R17" s="501" t="n"/>
    </row>
    <row r="18">
      <c r="B18" s="724">
        <f>'_calc_Dane'!F19</f>
        <v/>
      </c>
      <c r="C18" s="724">
        <f>'_calc_Dane'!G19</f>
        <v/>
      </c>
      <c r="D18" s="724">
        <f>'_calc_Dane'!H19</f>
        <v/>
      </c>
      <c r="E18" s="724">
        <f>'_calc_Dane'!I19</f>
        <v/>
      </c>
      <c r="F18" s="543">
        <f>'_calc_Dane'!M8-'_calc_Dane'!M6</f>
        <v/>
      </c>
      <c r="G18" s="544">
        <f>'_calc_Dane'!N8-'_calc_Dane'!N6</f>
        <v/>
      </c>
      <c r="H18" s="545">
        <f>SQRT(F18^2+G18^2)</f>
        <v/>
      </c>
      <c r="I18" s="546">
        <f>IF(ATAN2(F18,G18)*200/PI()&lt;0,ATAN2(F18,G18)*200/PI()+400,ATAN2(F18,G18)*200/PI())</f>
        <v/>
      </c>
      <c r="J18" s="547">
        <f>SIN(I18*PI()/200)</f>
        <v/>
      </c>
      <c r="K18" s="543">
        <f>COS(I18*PI()/200)</f>
        <v/>
      </c>
      <c r="L18" s="544">
        <f>0.001+0.000001*E18</f>
        <v/>
      </c>
      <c r="M18" s="548">
        <f>H18-E18</f>
        <v/>
      </c>
      <c r="N18" s="548" t="n"/>
      <c r="P18" s="565" t="n"/>
      <c r="Q18" s="502" t="n"/>
      <c r="R18" s="501" t="n"/>
    </row>
    <row r="19">
      <c r="B19" s="724">
        <f>'_calc_Dane'!F20</f>
        <v/>
      </c>
      <c r="C19" s="724">
        <f>'_calc_Dane'!G20</f>
        <v/>
      </c>
      <c r="D19" s="724">
        <f>'_calc_Dane'!H20</f>
        <v/>
      </c>
      <c r="E19" s="724">
        <f>'_calc_Dane'!I20</f>
        <v/>
      </c>
      <c r="F19" s="543">
        <f>'_calc_Dane'!M9-'_calc_Dane'!M8</f>
        <v/>
      </c>
      <c r="G19" s="544">
        <f>'_calc_Dane'!N9-'_calc_Dane'!N8</f>
        <v/>
      </c>
      <c r="H19" s="545">
        <f>SQRT(F19^2+G19^2)</f>
        <v/>
      </c>
      <c r="I19" s="546">
        <f>IF(ATAN2(F19,G19)*200/PI()&lt;0,ATAN2(F19,G19)*200/PI()+400,ATAN2(F19,G19)*200/PI())</f>
        <v/>
      </c>
      <c r="J19" s="547">
        <f>SIN(I19*PI()/200)</f>
        <v/>
      </c>
      <c r="K19" s="543">
        <f>COS(I19*PI()/200)</f>
        <v/>
      </c>
      <c r="L19" s="544">
        <f>0.001+0.000001*E19</f>
        <v/>
      </c>
      <c r="M19" s="548">
        <f>H19-E19</f>
        <v/>
      </c>
      <c r="N19" s="548" t="n"/>
      <c r="P19" s="501" t="n"/>
      <c r="Q19" s="501" t="n"/>
      <c r="R19" s="501" t="n"/>
    </row>
    <row r="20">
      <c r="B20" s="724">
        <f>'_calc_Dane'!F21</f>
        <v/>
      </c>
      <c r="C20" s="724">
        <f>'_calc_Dane'!G21</f>
        <v/>
      </c>
      <c r="D20" s="724">
        <f>'_calc_Dane'!H21</f>
        <v/>
      </c>
      <c r="E20" s="724">
        <f>'_calc_Dane'!I21</f>
        <v/>
      </c>
      <c r="F20" s="543">
        <f>'_calc_Dane'!M11-'_calc_Dane'!M8</f>
        <v/>
      </c>
      <c r="G20" s="544">
        <f>'_calc_Dane'!N11-'_calc_Dane'!N8</f>
        <v/>
      </c>
      <c r="H20" s="545">
        <f>SQRT(F20^2+G20^2)</f>
        <v/>
      </c>
      <c r="I20" s="546">
        <f>IF(ATAN2(F20,G20)*200/PI()&lt;0,ATAN2(F20,G20)*200/PI()+400)</f>
        <v/>
      </c>
      <c r="J20" s="547">
        <f>SIN(I20*PI()/200)</f>
        <v/>
      </c>
      <c r="K20" s="543">
        <f>COS(I20*PI()/200)</f>
        <v/>
      </c>
      <c r="L20" s="544">
        <f>0.001+0.000001*E20</f>
        <v/>
      </c>
      <c r="M20" s="548">
        <f>H20-E20</f>
        <v/>
      </c>
      <c r="N20" s="548" t="n"/>
    </row>
    <row r="21">
      <c r="B21" s="724">
        <f>'_calc_Dane'!F22</f>
        <v/>
      </c>
      <c r="C21" s="724">
        <f>'_calc_Dane'!G22</f>
        <v/>
      </c>
      <c r="D21" s="724">
        <f>'_calc_Dane'!H22</f>
        <v/>
      </c>
      <c r="E21" s="724">
        <f>'_calc_Dane'!I22</f>
        <v/>
      </c>
      <c r="F21" s="543">
        <f>'_calc_Dane'!M13-'_calc_Dane'!M8</f>
        <v/>
      </c>
      <c r="G21" s="544">
        <f>'_calc_Dane'!N13-'_calc_Dane'!N8</f>
        <v/>
      </c>
      <c r="H21" s="545">
        <f>SQRT(F21^2+G21^2)</f>
        <v/>
      </c>
      <c r="I21" s="546">
        <f>IF(ATAN2(F21,G21)*200/PI()&lt;0,ATAN2(F21,G21)*200/PI()+400)</f>
        <v/>
      </c>
      <c r="J21" s="547">
        <f>SIN(I21*PI()/200)</f>
        <v/>
      </c>
      <c r="K21" s="543">
        <f>COS(I21*PI()/200)</f>
        <v/>
      </c>
      <c r="L21" s="544">
        <f>0.001+0.000001*E21</f>
        <v/>
      </c>
      <c r="M21" s="548">
        <f>H21-E21</f>
        <v/>
      </c>
      <c r="N21" s="548" t="n"/>
    </row>
    <row r="22">
      <c r="B22" s="724">
        <f>'_calc_Dane'!F23</f>
        <v/>
      </c>
      <c r="C22" s="724">
        <f>'_calc_Dane'!G23</f>
        <v/>
      </c>
      <c r="D22" s="724">
        <f>'_calc_Dane'!H23</f>
        <v/>
      </c>
      <c r="E22" s="724">
        <f>'_calc_Dane'!I23</f>
        <v/>
      </c>
      <c r="F22" s="543">
        <f>'_calc_Dane'!M13-'_calc_Dane'!M10</f>
        <v/>
      </c>
      <c r="G22" s="544">
        <f>'_calc_Dane'!N13-'_calc_Dane'!N10</f>
        <v/>
      </c>
      <c r="H22" s="545">
        <f>SQRT(F22^2+G22^2)</f>
        <v/>
      </c>
      <c r="I22" s="546">
        <f>IF(ATAN2(F22,G22)*200/PI()&lt;0,ATAN2(F22,G22)*200/PI()+400)</f>
        <v/>
      </c>
      <c r="J22" s="547">
        <f>SIN(I22*PI()/200)</f>
        <v/>
      </c>
      <c r="K22" s="543">
        <f>COS(I22*PI()/200)</f>
        <v/>
      </c>
      <c r="L22" s="544">
        <f>0.001+0.000001*E22</f>
        <v/>
      </c>
      <c r="M22" s="548">
        <f>H22-E22</f>
        <v/>
      </c>
      <c r="N22" s="548" t="n"/>
    </row>
    <row r="23">
      <c r="B23" s="724">
        <f>'_calc_Dane'!F24</f>
        <v/>
      </c>
      <c r="C23" s="724">
        <f>'_calc_Dane'!G24</f>
        <v/>
      </c>
      <c r="D23" s="724">
        <f>'_calc_Dane'!H24</f>
        <v/>
      </c>
      <c r="E23" s="724">
        <f>'_calc_Dane'!I24</f>
        <v/>
      </c>
      <c r="F23" s="567">
        <f>'_calc_Dane'!M9-'_calc_Dane'!M10</f>
        <v/>
      </c>
      <c r="G23" s="568">
        <f>'_calc_Dane'!N9-'_calc_Dane'!N10</f>
        <v/>
      </c>
      <c r="H23" s="569">
        <f>SQRT(F23^2+G23^2)</f>
        <v/>
      </c>
      <c r="I23" s="570">
        <f>IF(ATAN2(F23,G23)*200/PI()&lt;0,ATAN2(F23,G23)*200/PI()+400)</f>
        <v/>
      </c>
      <c r="J23" s="571">
        <f>SIN(I23*PI()/200)</f>
        <v/>
      </c>
      <c r="K23" s="567">
        <f>COS(I23*PI()/200)</f>
        <v/>
      </c>
      <c r="L23" s="568">
        <f>0.001+0.000001*E23</f>
        <v/>
      </c>
      <c r="M23" s="572">
        <f>H23-E23</f>
        <v/>
      </c>
      <c r="N23" s="572" t="n"/>
    </row>
    <row r="24" ht="15.95" customHeight="1">
      <c r="B24" s="534" t="n"/>
      <c r="C24" s="535" t="n"/>
      <c r="D24" s="535" t="n"/>
      <c r="E24" s="573" t="n"/>
      <c r="F24" s="534" t="n"/>
      <c r="G24" s="536" t="n"/>
      <c r="H24" s="574" t="n"/>
      <c r="I24" s="575" t="n"/>
      <c r="J24" s="530" t="n"/>
      <c r="K24" s="530" t="n"/>
      <c r="L24" s="576" t="n"/>
      <c r="M24" s="577" t="n"/>
      <c r="N24" s="578" t="n"/>
      <c r="O24" s="538" t="n"/>
      <c r="P24" s="539" t="n"/>
      <c r="Q24" s="539" t="n"/>
      <c r="R24" s="537" t="n"/>
      <c r="S24" s="539" t="n"/>
      <c r="T24" s="579" t="n"/>
      <c r="U24" s="534" t="n"/>
      <c r="V24" s="536" t="n"/>
      <c r="W24" s="534" t="n"/>
      <c r="X24" s="536" t="n"/>
      <c r="Y24" s="538" t="n"/>
      <c r="Z24" s="537" t="n"/>
      <c r="AA24" s="538" t="n"/>
    </row>
    <row r="25" ht="18" customHeight="1">
      <c r="B25" s="727" t="inlineStr">
        <is>
          <t>c</t>
        </is>
      </c>
      <c r="C25" s="727" t="inlineStr">
        <is>
          <t>l</t>
        </is>
      </c>
      <c r="D25" s="541" t="inlineStr">
        <is>
          <t>p</t>
        </is>
      </c>
      <c r="E25" s="541" t="inlineStr">
        <is>
          <t>b obs [g]</t>
        </is>
      </c>
      <c r="F25" s="580" t="inlineStr">
        <is>
          <t>∆xcl</t>
        </is>
      </c>
      <c r="G25" s="581" t="inlineStr">
        <is>
          <t>∆ycl</t>
        </is>
      </c>
      <c r="H25" s="580" t="inlineStr">
        <is>
          <t>∆xcp</t>
        </is>
      </c>
      <c r="I25" s="555" t="inlineStr">
        <is>
          <t>∆ycp</t>
        </is>
      </c>
      <c r="J25" s="547" t="inlineStr">
        <is>
          <t>d²cl</t>
        </is>
      </c>
      <c r="K25" s="547" t="inlineStr">
        <is>
          <t>d²cp</t>
        </is>
      </c>
      <c r="L25" s="582" t="inlineStr">
        <is>
          <t>Az cl [g]</t>
        </is>
      </c>
      <c r="M25" s="582" t="inlineStr">
        <is>
          <t>Az cp [g]</t>
        </is>
      </c>
      <c r="N25" s="583" t="inlineStr">
        <is>
          <t>b przyb [g]</t>
        </is>
      </c>
      <c r="O25" s="584" t="inlineStr">
        <is>
          <t>Błąd [cc]</t>
        </is>
      </c>
      <c r="P25" s="585" t="inlineStr">
        <is>
          <t>l [g]</t>
        </is>
      </c>
      <c r="Q25" s="580" t="inlineStr">
        <is>
          <t>Acl.</t>
        </is>
      </c>
      <c r="R25" s="555" t="inlineStr">
        <is>
          <t>Bcl</t>
        </is>
      </c>
      <c r="S25" s="580" t="inlineStr">
        <is>
          <t>Acp</t>
        </is>
      </c>
      <c r="T25" s="581" t="inlineStr">
        <is>
          <t>Bcp</t>
        </is>
      </c>
      <c r="U25" s="543" t="n"/>
      <c r="V25" s="544" t="n"/>
      <c r="W25" s="543" t="n"/>
      <c r="X25" s="544" t="n"/>
      <c r="Y25" s="546" t="n"/>
      <c r="Z25" s="586" t="n"/>
      <c r="AA25" s="548" t="n"/>
    </row>
    <row r="26">
      <c r="B26" s="724">
        <f>'_calc_Dane'!F25</f>
        <v/>
      </c>
      <c r="C26" s="724">
        <f>'_calc_Dane'!G25</f>
        <v/>
      </c>
      <c r="D26" s="553">
        <f>'_calc_Dane'!H25</f>
        <v/>
      </c>
      <c r="E26" s="553">
        <f>'_calc_Dane'!I25</f>
        <v/>
      </c>
      <c r="F26" s="543">
        <f>'_calc_Dane'!M5-'_calc_Dane'!M13</f>
        <v/>
      </c>
      <c r="G26" s="35">
        <f>'_calc_Dane'!N5-'_calc_Dane'!N13</f>
        <v/>
      </c>
      <c r="H26" s="543">
        <f>'_calc_Dane'!M6-'_calc_Dane'!M13</f>
        <v/>
      </c>
      <c r="I26" s="544">
        <f>'_calc_Dane'!N6-'_calc_Dane'!N13</f>
        <v/>
      </c>
      <c r="J26" s="547">
        <f>F26^2+G26^2</f>
        <v/>
      </c>
      <c r="K26" s="547">
        <f>H26^2+I26^2</f>
        <v/>
      </c>
      <c r="L26" s="546">
        <f>IF(ATAN2(F26,G26)*200/PI()&lt;0,ATAN2(F26,G26)*200/PI()+400,ATAN2(F26,G26)*200/PI())</f>
        <v/>
      </c>
      <c r="M26" s="546">
        <f>IF(ATAN2(H26,I26)*200/PI()&lt;0,ATAN2(H26,I26)*200/PI()+400,ATAN2(H26,I26)*200/PI())</f>
        <v/>
      </c>
      <c r="N26" s="548">
        <f>IF(M26-L26&lt;0,M26-L26+400,M26-L26)</f>
        <v/>
      </c>
      <c r="O26" s="587">
        <f>'_calc_Dane'!$M$15</f>
        <v/>
      </c>
      <c r="P26" s="588">
        <f>N26-E26</f>
        <v/>
      </c>
      <c r="Q26" s="543">
        <f>F26/J26*(2000000/PI())</f>
        <v/>
      </c>
      <c r="R26" s="544">
        <f>G26/J26*2000000/PI()</f>
        <v/>
      </c>
      <c r="S26" s="543">
        <f>H26/K26*2000000/PI()</f>
        <v/>
      </c>
      <c r="T26" s="61">
        <f>I26/K26*2000000/PI()</f>
        <v/>
      </c>
      <c r="U26" s="543" t="n"/>
      <c r="V26" s="544" t="n"/>
      <c r="W26" s="543" t="n"/>
      <c r="X26" s="544" t="n"/>
      <c r="Y26" s="546" t="n"/>
      <c r="Z26" s="586" t="n"/>
      <c r="AA26" s="548" t="n"/>
    </row>
    <row r="27">
      <c r="B27" s="724">
        <f>'_calc_Dane'!F26</f>
        <v/>
      </c>
      <c r="C27" s="724">
        <f>'_calc_Dane'!G26</f>
        <v/>
      </c>
      <c r="D27" s="553">
        <f>'_calc_Dane'!H26</f>
        <v/>
      </c>
      <c r="E27" s="553">
        <f>'_calc_Dane'!I26</f>
        <v/>
      </c>
      <c r="F27" s="543">
        <f>'_calc_Dane'!M6-'_calc_Dane'!M13</f>
        <v/>
      </c>
      <c r="G27" s="1">
        <f>'_calc_Dane'!N6-'_calc_Dane'!N13</f>
        <v/>
      </c>
      <c r="H27" s="543">
        <f>'_calc_Dane'!M8-'_calc_Dane'!M13</f>
        <v/>
      </c>
      <c r="I27" s="544">
        <f>'_calc_Dane'!N8-'_calc_Dane'!N13</f>
        <v/>
      </c>
      <c r="J27" s="547">
        <f>F27^2+G27^2</f>
        <v/>
      </c>
      <c r="K27" s="547">
        <f>H27^2+I27^2</f>
        <v/>
      </c>
      <c r="L27" s="546">
        <f>IF(ATAN2(F27,G27)*200/PI()&lt;0,ATAN2(F27,G27)*200/PI()+400,ATAN2(F27,G27)*200/PI())</f>
        <v/>
      </c>
      <c r="M27" s="546">
        <f>IF(ATAN2(H27,I27)*200/PI()&lt;0,ATAN2(H27,I27)*200/PI()+400,ATAN2(H27,I27)*200/PI())</f>
        <v/>
      </c>
      <c r="N27" s="548">
        <f>IF(M27-L27&lt;0,M27-L27+400,M27-L27)</f>
        <v/>
      </c>
      <c r="O27" s="587">
        <f>'_calc_Dane'!$M$15</f>
        <v/>
      </c>
      <c r="P27" s="588">
        <f>N27-E27</f>
        <v/>
      </c>
      <c r="Q27" s="543">
        <f>F27/J27*(2000000/PI())</f>
        <v/>
      </c>
      <c r="R27" s="544">
        <f>G27/J27*2000000/PI()</f>
        <v/>
      </c>
      <c r="S27" s="543">
        <f>H27/K27*2000000/PI()</f>
        <v/>
      </c>
      <c r="T27" s="12">
        <f>I27/K27*2000000/PI()</f>
        <v/>
      </c>
      <c r="U27" s="543" t="n"/>
      <c r="V27" s="544" t="n"/>
      <c r="W27" s="543" t="n"/>
      <c r="X27" s="544" t="n"/>
      <c r="Y27" s="546" t="n"/>
      <c r="Z27" s="586" t="n"/>
      <c r="AA27" s="548" t="n"/>
    </row>
    <row r="28">
      <c r="B28" s="724">
        <f>'_calc_Dane'!F27</f>
        <v/>
      </c>
      <c r="C28" s="724">
        <f>'_calc_Dane'!G27</f>
        <v/>
      </c>
      <c r="D28" s="553">
        <f>'_calc_Dane'!H27</f>
        <v/>
      </c>
      <c r="E28" s="553">
        <f>'_calc_Dane'!I27</f>
        <v/>
      </c>
      <c r="F28" s="543">
        <f>'_calc_Dane'!M8-'_calc_Dane'!M13</f>
        <v/>
      </c>
      <c r="G28" s="1">
        <f>'_calc_Dane'!N8-'_calc_Dane'!N13</f>
        <v/>
      </c>
      <c r="H28" s="543">
        <f>'_calc_Dane'!M9-'_calc_Dane'!M13</f>
        <v/>
      </c>
      <c r="I28" s="544">
        <f>'_calc_Dane'!N9-'_calc_Dane'!N13</f>
        <v/>
      </c>
      <c r="J28" s="547">
        <f>F28^2+G28^2</f>
        <v/>
      </c>
      <c r="K28" s="547">
        <f>H28^2+I28^2</f>
        <v/>
      </c>
      <c r="L28" s="546">
        <f>IF(ATAN2(F28,G28)*200/PI()&lt;0,ATAN2(F28,G28)*200/PI()+400,ATAN2(F28,G28)*200/PI())</f>
        <v/>
      </c>
      <c r="M28" s="546">
        <f>IF(ATAN2(H28,I28)*200/PI()&lt;0,ATAN2(H28,I28)*200/PI()+400,ATAN2(H28,I28)*200/PI())</f>
        <v/>
      </c>
      <c r="N28" s="548">
        <f>IF(M28-L28&lt;0,M28-L28+400,M28-L28)</f>
        <v/>
      </c>
      <c r="O28" s="587">
        <f>'_calc_Dane'!$M$15</f>
        <v/>
      </c>
      <c r="P28" s="588">
        <f>N28-E28</f>
        <v/>
      </c>
      <c r="Q28" s="543">
        <f>F28/J28*(2000000/PI())</f>
        <v/>
      </c>
      <c r="R28" s="544">
        <f>G28/J28*2000000/PI()</f>
        <v/>
      </c>
      <c r="S28" s="543">
        <f>H28/K28*2000000/PI()</f>
        <v/>
      </c>
      <c r="T28" s="12">
        <f>I28/K28*2000000/PI()</f>
        <v/>
      </c>
      <c r="U28" s="543" t="n"/>
      <c r="V28" s="544" t="n"/>
      <c r="W28" s="543" t="n"/>
      <c r="X28" s="544" t="n"/>
      <c r="Y28" s="546" t="n"/>
      <c r="Z28" s="586" t="n"/>
      <c r="AA28" s="548" t="n"/>
    </row>
    <row r="29">
      <c r="B29" s="724">
        <f>'_calc_Dane'!F28</f>
        <v/>
      </c>
      <c r="C29" s="724">
        <f>'_calc_Dane'!G28</f>
        <v/>
      </c>
      <c r="D29" s="553">
        <f>'_calc_Dane'!H28</f>
        <v/>
      </c>
      <c r="E29" s="553">
        <f>'_calc_Dane'!I28</f>
        <v/>
      </c>
      <c r="F29" s="543">
        <f>'_calc_Dane'!M9-'_calc_Dane'!M13</f>
        <v/>
      </c>
      <c r="G29" s="1">
        <f>'_calc_Dane'!N9-'_calc_Dane'!N13</f>
        <v/>
      </c>
      <c r="H29" s="543">
        <f>'_calc_Dane'!M11-'_calc_Dane'!M13</f>
        <v/>
      </c>
      <c r="I29" s="544">
        <f>'_calc_Dane'!N11-'_calc_Dane'!N13</f>
        <v/>
      </c>
      <c r="J29" s="547">
        <f>F29^2+G29^2</f>
        <v/>
      </c>
      <c r="K29" s="547">
        <f>H29^2+I29^2</f>
        <v/>
      </c>
      <c r="L29" s="546">
        <f>IF(ATAN2(F29,G29)*200/PI()&lt;0,ATAN2(F29,G29)*200/PI()+400,ATAN2(F29,G29)*200/PI())</f>
        <v/>
      </c>
      <c r="M29" s="546">
        <f>IF(ATAN2(H29,I29)*200/PI()&lt;0,ATAN2(H29,I29)*200/PI()+400,ATAN2(H29,I29)*200/PI())</f>
        <v/>
      </c>
      <c r="N29" s="548">
        <f>IF(M29-L29&lt;0,M29-L29+400,M29-L29)</f>
        <v/>
      </c>
      <c r="O29" s="587">
        <f>'_calc_Dane'!$M$15</f>
        <v/>
      </c>
      <c r="P29" s="588">
        <f>N29-E29</f>
        <v/>
      </c>
      <c r="Q29" s="543">
        <f>F29/J29*(2000000/PI())</f>
        <v/>
      </c>
      <c r="R29" s="544">
        <f>G29/J29*2000000/PI()</f>
        <v/>
      </c>
      <c r="S29" s="543">
        <f>H29/K29*2000000/PI()</f>
        <v/>
      </c>
      <c r="T29" s="12">
        <f>I29/K29*2000000/PI()</f>
        <v/>
      </c>
      <c r="U29" s="543" t="n"/>
      <c r="V29" s="544" t="n"/>
      <c r="W29" s="543" t="n"/>
      <c r="X29" s="544" t="n"/>
      <c r="Y29" s="546" t="n"/>
      <c r="Z29" s="586" t="n"/>
      <c r="AA29" s="548" t="n"/>
    </row>
    <row r="30">
      <c r="B30" s="724">
        <f>'_calc_Dane'!F29</f>
        <v/>
      </c>
      <c r="C30" s="724">
        <f>'_calc_Dane'!G29</f>
        <v/>
      </c>
      <c r="D30" s="553">
        <f>'_calc_Dane'!H29</f>
        <v/>
      </c>
      <c r="E30" s="553">
        <f>'_calc_Dane'!I29</f>
        <v/>
      </c>
      <c r="F30" s="543">
        <f>'_calc_Dane'!M11-'_calc_Dane'!M13</f>
        <v/>
      </c>
      <c r="G30" s="1">
        <f>'_calc_Dane'!N11-'_calc_Dane'!N13</f>
        <v/>
      </c>
      <c r="H30" s="543">
        <f>'_calc_Dane'!M12-'_calc_Dane'!M13</f>
        <v/>
      </c>
      <c r="I30" s="544">
        <f>'_calc_Dane'!N12-'_calc_Dane'!N13</f>
        <v/>
      </c>
      <c r="J30" s="547">
        <f>F30^2+G30^2</f>
        <v/>
      </c>
      <c r="K30" s="547">
        <f>H30^2+I30^2</f>
        <v/>
      </c>
      <c r="L30" s="546">
        <f>IF(ATAN2(F30,G30)*200/PI()&lt;0,ATAN2(F30,G30)*200/PI()+400,ATAN2(F30,G30)*200/PI())</f>
        <v/>
      </c>
      <c r="M30" s="546">
        <f>IF(ATAN2(H30,I30)*200/PI()&lt;0,ATAN2(H30,I30)*200/PI()+400,ATAN2(H30,I30)*200/PI())</f>
        <v/>
      </c>
      <c r="N30" s="548">
        <f>IF(M30-L30&lt;0,M30-L30+400,M30-L30)</f>
        <v/>
      </c>
      <c r="O30" s="587">
        <f>'_calc_Dane'!$M$15</f>
        <v/>
      </c>
      <c r="P30" s="588">
        <f>N30-E30</f>
        <v/>
      </c>
      <c r="Q30" s="543">
        <f>F30/J30*(2000000/PI())</f>
        <v/>
      </c>
      <c r="R30" s="544">
        <f>G30/J30*2000000/PI()</f>
        <v/>
      </c>
      <c r="S30" s="543">
        <f>H30/K30*2000000/PI()</f>
        <v/>
      </c>
      <c r="T30" s="12">
        <f>I30/K30*2000000/PI()</f>
        <v/>
      </c>
      <c r="U30" s="543" t="n"/>
      <c r="V30" s="544" t="n"/>
      <c r="W30" s="543" t="n"/>
      <c r="X30" s="544" t="n"/>
      <c r="Y30" s="546" t="n"/>
      <c r="Z30" s="586" t="n"/>
      <c r="AA30" s="548" t="n"/>
    </row>
    <row r="31">
      <c r="B31" s="724">
        <f>'_calc_Dane'!F30</f>
        <v/>
      </c>
      <c r="C31" s="724">
        <f>'_calc_Dane'!G30</f>
        <v/>
      </c>
      <c r="D31" s="553">
        <f>'_calc_Dane'!H30</f>
        <v/>
      </c>
      <c r="E31" s="553">
        <f>'_calc_Dane'!I30</f>
        <v/>
      </c>
      <c r="F31" s="543">
        <f>'_calc_Dane'!M12-'_calc_Dane'!M13</f>
        <v/>
      </c>
      <c r="G31" s="1">
        <f>'_calc_Dane'!N12-'_calc_Dane'!N13</f>
        <v/>
      </c>
      <c r="H31" s="543">
        <f>'_calc_Dane'!M5-'_calc_Dane'!M13</f>
        <v/>
      </c>
      <c r="I31" s="544">
        <f>'_calc_Dane'!N5-'_calc_Dane'!N13</f>
        <v/>
      </c>
      <c r="J31" s="547">
        <f>F31^2+G31^2</f>
        <v/>
      </c>
      <c r="K31" s="547">
        <f>H31^2+I31^2</f>
        <v/>
      </c>
      <c r="L31" s="546">
        <f>IF(ATAN2(F31,G31)*200/PI()&lt;0,ATAN2(F31,G31)*200/PI()+400,ATAN2(F31,G31)*200/PI())</f>
        <v/>
      </c>
      <c r="M31" s="546">
        <f>IF(ATAN2(H31,I31)*200/PI()&lt;0,ATAN2(H31,I31)*200/PI()+400,ATAN2(H31,I31)*200/PI())</f>
        <v/>
      </c>
      <c r="N31" s="548">
        <f>IF(M31-L31&lt;0,M31-L31+400,M31-L31)</f>
        <v/>
      </c>
      <c r="O31" s="587">
        <f>'_calc_Dane'!$M$15</f>
        <v/>
      </c>
      <c r="P31" s="588">
        <f>N31-E31</f>
        <v/>
      </c>
      <c r="Q31" s="543">
        <f>F31/J31*(2000000/PI())</f>
        <v/>
      </c>
      <c r="R31" s="544">
        <f>G31/J31*2000000/PI()</f>
        <v/>
      </c>
      <c r="S31" s="543">
        <f>H31/K31*2000000/PI()</f>
        <v/>
      </c>
      <c r="T31" s="12">
        <f>I31/K31*2000000/PI()</f>
        <v/>
      </c>
      <c r="U31" s="543" t="n"/>
      <c r="V31" s="544" t="n"/>
      <c r="W31" s="543" t="n"/>
      <c r="X31" s="544" t="n"/>
      <c r="Y31" s="546" t="n"/>
      <c r="Z31" s="586" t="n"/>
      <c r="AA31" s="548" t="n"/>
    </row>
    <row r="32">
      <c r="B32" s="724">
        <f>'_calc_Dane'!F31</f>
        <v/>
      </c>
      <c r="C32" s="724">
        <f>'_calc_Dane'!G31</f>
        <v/>
      </c>
      <c r="D32" s="553">
        <f>'_calc_Dane'!H31</f>
        <v/>
      </c>
      <c r="E32" s="553">
        <f>'_calc_Dane'!I31</f>
        <v/>
      </c>
      <c r="F32" s="543">
        <f>'_calc_Dane'!M12-'_calc_Dane'!M10</f>
        <v/>
      </c>
      <c r="G32" s="1">
        <f>'_calc_Dane'!N12-'_calc_Dane'!N10</f>
        <v/>
      </c>
      <c r="H32" s="543">
        <f>'_calc_Dane'!M11-'_calc_Dane'!M10</f>
        <v/>
      </c>
      <c r="I32" s="544">
        <f>'_calc_Dane'!N11-'_calc_Dane'!N10</f>
        <v/>
      </c>
      <c r="J32" s="547">
        <f>F32^2+G32^2</f>
        <v/>
      </c>
      <c r="K32" s="547">
        <f>H32^2+I32^2</f>
        <v/>
      </c>
      <c r="L32" s="546">
        <f>IF(ATAN2(F32,G32)*200/PI()&lt;0,ATAN2(F32,G32)*200/PI()+400,ATAN2(F32,G32)*200/PI())</f>
        <v/>
      </c>
      <c r="M32" s="546">
        <f>IF(ATAN2(H32,I32)*200/PI()&lt;0,ATAN2(H32,I32)*200/PI()+400,ATAN2(H32,I32)*200/PI())</f>
        <v/>
      </c>
      <c r="N32" s="548">
        <f>IF(M32-L32&lt;0,M32-L32+400,M32-L32)</f>
        <v/>
      </c>
      <c r="O32" s="587">
        <f>'_calc_Dane'!$M$15</f>
        <v/>
      </c>
      <c r="P32" s="588">
        <f>N32-E32</f>
        <v/>
      </c>
      <c r="Q32" s="543">
        <f>F32/J32*(2000000/PI())</f>
        <v/>
      </c>
      <c r="R32" s="544">
        <f>G32/J32*2000000/PI()</f>
        <v/>
      </c>
      <c r="S32" s="543">
        <f>H32/K32*2000000/PI()</f>
        <v/>
      </c>
      <c r="T32" s="12">
        <f>I32/K32*2000000/PI()</f>
        <v/>
      </c>
      <c r="U32" s="543" t="n"/>
      <c r="V32" s="544" t="n"/>
      <c r="W32" s="543" t="n"/>
      <c r="X32" s="544" t="n"/>
      <c r="Y32" s="546" t="n"/>
      <c r="Z32" s="586" t="n"/>
      <c r="AA32" s="548" t="n"/>
    </row>
    <row r="33">
      <c r="B33" s="724">
        <f>'_calc_Dane'!F32</f>
        <v/>
      </c>
      <c r="C33" s="724">
        <f>'_calc_Dane'!G32</f>
        <v/>
      </c>
      <c r="D33" s="553">
        <f>'_calc_Dane'!H32</f>
        <v/>
      </c>
      <c r="E33" s="553">
        <f>'_calc_Dane'!I32</f>
        <v/>
      </c>
      <c r="F33" s="543">
        <f>'_calc_Dane'!M11-'_calc_Dane'!M10</f>
        <v/>
      </c>
      <c r="G33" s="1">
        <f>'_calc_Dane'!N11-'_calc_Dane'!N10</f>
        <v/>
      </c>
      <c r="H33" s="543">
        <f>'_calc_Dane'!M13-'_calc_Dane'!M10</f>
        <v/>
      </c>
      <c r="I33" s="544">
        <f>'_calc_Dane'!N13-'_calc_Dane'!N10</f>
        <v/>
      </c>
      <c r="J33" s="547">
        <f>F33^2+G33^2</f>
        <v/>
      </c>
      <c r="K33" s="547">
        <f>H33^2+I33^2</f>
        <v/>
      </c>
      <c r="L33" s="546">
        <f>IF(ATAN2(F33,G33)*200/PI()&lt;0,ATAN2(F33,G33)*200/PI()+400,ATAN2(F33,G33)*200/PI())</f>
        <v/>
      </c>
      <c r="M33" s="546">
        <f>IF(ATAN2(H33,I33)*200/PI()&lt;0,ATAN2(H33,I33)*200/PI()+400,ATAN2(H33,I33)*200/PI())</f>
        <v/>
      </c>
      <c r="N33" s="548">
        <f>IF(M33-L33&lt;0,M33-L33+400,M33-L33)</f>
        <v/>
      </c>
      <c r="O33" s="587">
        <f>'_calc_Dane'!$M$15</f>
        <v/>
      </c>
      <c r="P33" s="588">
        <f>N33-E33</f>
        <v/>
      </c>
      <c r="Q33" s="543">
        <f>F33/J33*(2000000/PI())</f>
        <v/>
      </c>
      <c r="R33" s="544">
        <f>G33/J33*2000000/PI()</f>
        <v/>
      </c>
      <c r="S33" s="543">
        <f>H33/K33*2000000/PI()</f>
        <v/>
      </c>
      <c r="T33" s="12">
        <f>I33/K33*2000000/PI()</f>
        <v/>
      </c>
      <c r="U33" s="543" t="n"/>
      <c r="V33" s="544" t="n"/>
      <c r="W33" s="543" t="n"/>
      <c r="X33" s="544" t="n"/>
      <c r="Y33" s="546" t="n"/>
      <c r="Z33" s="586" t="n"/>
      <c r="AA33" s="548" t="n"/>
    </row>
    <row r="34">
      <c r="B34" s="724">
        <f>'_calc_Dane'!F33</f>
        <v/>
      </c>
      <c r="C34" s="724">
        <f>'_calc_Dane'!G33</f>
        <v/>
      </c>
      <c r="D34" s="553">
        <f>'_calc_Dane'!H33</f>
        <v/>
      </c>
      <c r="E34" s="553">
        <f>'_calc_Dane'!I33</f>
        <v/>
      </c>
      <c r="F34" s="543">
        <f>'_calc_Dane'!M13-'_calc_Dane'!M10</f>
        <v/>
      </c>
      <c r="G34" s="1">
        <f>'_calc_Dane'!N13-'_calc_Dane'!N10</f>
        <v/>
      </c>
      <c r="H34" s="543">
        <f>'_calc_Dane'!M9-'_calc_Dane'!M10</f>
        <v/>
      </c>
      <c r="I34" s="544">
        <f>'_calc_Dane'!N9-'_calc_Dane'!N10</f>
        <v/>
      </c>
      <c r="J34" s="547">
        <f>F34^2+G34^2</f>
        <v/>
      </c>
      <c r="K34" s="547">
        <f>H34^2+I34^2</f>
        <v/>
      </c>
      <c r="L34" s="546">
        <f>IF(ATAN2(F34,G34)*200/PI()&lt;0,ATAN2(F34,G34)*200/PI()+400,ATAN2(F34,G34)*200/PI())</f>
        <v/>
      </c>
      <c r="M34" s="546">
        <f>IF(ATAN2(H34,I34)*200/PI()&lt;0,ATAN2(H34,I34)*200/PI()+400,ATAN2(H34,I34)*200/PI())</f>
        <v/>
      </c>
      <c r="N34" s="548">
        <f>IF(M34-L34&lt;0,M34-L34+400,M34-L34)</f>
        <v/>
      </c>
      <c r="O34" s="587">
        <f>'_calc_Dane'!$M$15</f>
        <v/>
      </c>
      <c r="P34" s="588">
        <f>N34-E34</f>
        <v/>
      </c>
      <c r="Q34" s="543">
        <f>F34/J34*(2000000/PI())</f>
        <v/>
      </c>
      <c r="R34" s="544">
        <f>G34/J34*2000000/PI()</f>
        <v/>
      </c>
      <c r="S34" s="543">
        <f>H34/K34*2000000/PI()</f>
        <v/>
      </c>
      <c r="T34" s="12">
        <f>I34/K34*2000000/PI()</f>
        <v/>
      </c>
      <c r="U34" s="543" t="n"/>
      <c r="V34" s="544" t="n"/>
      <c r="W34" s="543" t="n"/>
      <c r="X34" s="544" t="n"/>
      <c r="Y34" s="546" t="n"/>
      <c r="Z34" s="586" t="n"/>
      <c r="AA34" s="548" t="n"/>
    </row>
    <row r="35">
      <c r="B35" s="724">
        <f>'_calc_Dane'!F34</f>
        <v/>
      </c>
      <c r="C35" s="724">
        <f>'_calc_Dane'!G34</f>
        <v/>
      </c>
      <c r="D35" s="553">
        <f>'_calc_Dane'!H34</f>
        <v/>
      </c>
      <c r="E35" s="553">
        <f>'_calc_Dane'!I34</f>
        <v/>
      </c>
      <c r="F35" s="543">
        <f>'_calc_Dane'!M10-'_calc_Dane'!M9</f>
        <v/>
      </c>
      <c r="G35" s="1">
        <f>'_calc_Dane'!N10-'_calc_Dane'!N9</f>
        <v/>
      </c>
      <c r="H35" s="543">
        <f>'_calc_Dane'!M11-'_calc_Dane'!M9</f>
        <v/>
      </c>
      <c r="I35" s="544">
        <f>'_calc_Dane'!N11-'_calc_Dane'!N9</f>
        <v/>
      </c>
      <c r="J35" s="547">
        <f>F35^2+G35^2</f>
        <v/>
      </c>
      <c r="K35" s="547">
        <f>H35^2+I35^2</f>
        <v/>
      </c>
      <c r="L35" s="546">
        <f>IF(ATAN2(F35,G35)*200/PI()&lt;0,ATAN2(F35,G35)*200/PI()+400,ATAN2(F35,G35)*200/PI())</f>
        <v/>
      </c>
      <c r="M35" s="546">
        <f>IF(ATAN2(H35,I35)*200/PI()&lt;0,ATAN2(H35,I35)*200/PI()+400,ATAN2(H35,I35)*200/PI())</f>
        <v/>
      </c>
      <c r="N35" s="548">
        <f>IF(M35-L35&lt;0,M35-L35+400,M35-L35)</f>
        <v/>
      </c>
      <c r="O35" s="587">
        <f>'_calc_Dane'!$M$15</f>
        <v/>
      </c>
      <c r="P35" s="588">
        <f>N35-E35</f>
        <v/>
      </c>
      <c r="Q35" s="543">
        <f>F35/J35*(2000000/PI())</f>
        <v/>
      </c>
      <c r="R35" s="544">
        <f>G35/J35*2000000/PI()</f>
        <v/>
      </c>
      <c r="S35" s="543">
        <f>H35/K35*2000000/PI()</f>
        <v/>
      </c>
      <c r="T35" s="12">
        <f>I35/K35*2000000/PI()</f>
        <v/>
      </c>
      <c r="U35" s="543" t="n"/>
      <c r="V35" s="544" t="n"/>
      <c r="W35" s="543" t="n"/>
      <c r="X35" s="544" t="n"/>
      <c r="Y35" s="546" t="n"/>
      <c r="Z35" s="586" t="n"/>
      <c r="AA35" s="548" t="n"/>
    </row>
    <row r="36">
      <c r="B36" s="728">
        <f>'_calc_Dane'!F35</f>
        <v/>
      </c>
      <c r="C36" s="728">
        <f>'_calc_Dane'!G35</f>
        <v/>
      </c>
      <c r="D36" s="566">
        <f>'_calc_Dane'!H35</f>
        <v/>
      </c>
      <c r="E36" s="566">
        <f>'_calc_Dane'!I35</f>
        <v/>
      </c>
      <c r="F36" s="567">
        <f>'_calc_Dane'!M11-'_calc_Dane'!M9</f>
        <v/>
      </c>
      <c r="G36" s="590">
        <f>'_calc_Dane'!N11-'_calc_Dane'!N9</f>
        <v/>
      </c>
      <c r="H36" s="567">
        <f>'_calc_Dane'!M13-'_calc_Dane'!M9</f>
        <v/>
      </c>
      <c r="I36" s="568">
        <f>'_calc_Dane'!N13-'_calc_Dane'!N9</f>
        <v/>
      </c>
      <c r="J36" s="571">
        <f>F36^2+G36^2</f>
        <v/>
      </c>
      <c r="K36" s="571">
        <f>H36^2+I36^2</f>
        <v/>
      </c>
      <c r="L36" s="570">
        <f>IF(ATAN2(F36,G36)*200/PI()&lt;0,ATAN2(F36,G36)*200/PI()+400,ATAN2(F36,G36)*200/PI())</f>
        <v/>
      </c>
      <c r="M36" s="570">
        <f>IF(ATAN2(H36,I36)*200/PI()&lt;0,ATAN2(H36,I36)*200/PI()+400,ATAN2(H36,I36)*200/PI())</f>
        <v/>
      </c>
      <c r="N36" s="572">
        <f>IF(M36-L36&lt;0,M36-L36+400,M36-L36)</f>
        <v/>
      </c>
      <c r="O36" s="591">
        <f>'_calc_Dane'!$M$15</f>
        <v/>
      </c>
      <c r="P36" s="592">
        <f>N36-E36</f>
        <v/>
      </c>
      <c r="Q36" s="567">
        <f>F36/J36*(2000000/PI())</f>
        <v/>
      </c>
      <c r="R36" s="568">
        <f>G36/J36*2000000/PI()</f>
        <v/>
      </c>
      <c r="S36" s="567">
        <f>H36/K36*2000000/PI()</f>
        <v/>
      </c>
      <c r="T36" s="590">
        <f>I36/K36*2000000/PI()</f>
        <v/>
      </c>
      <c r="U36" s="567" t="n"/>
      <c r="V36" s="568" t="n"/>
      <c r="W36" s="567" t="n"/>
      <c r="X36" s="568" t="n"/>
      <c r="Y36" s="570" t="n"/>
      <c r="Z36" s="593" t="n"/>
      <c r="AA36" s="572" t="n"/>
    </row>
    <row r="37">
      <c r="B37" s="114">
        <f>'_calc_Dane'!F36</f>
        <v/>
      </c>
      <c r="C37" s="115">
        <f>'_calc_Dane'!G36</f>
        <v/>
      </c>
      <c r="D37" s="116">
        <f>'_calc_Dane'!H36</f>
        <v/>
      </c>
      <c r="E37" s="116">
        <f>'_calc_Dane'!I36</f>
        <v/>
      </c>
      <c r="F37" s="14">
        <f>'_calc_Dane'!M13-'_calc_Dane'!M9</f>
        <v/>
      </c>
      <c r="G37" s="14">
        <f>'_calc_Dane'!N13-'_calc_Dane'!N9</f>
        <v/>
      </c>
      <c r="H37" s="14">
        <f>'_calc_Dane'!M8-'_calc_Dane'!M9</f>
        <v/>
      </c>
      <c r="I37" s="14">
        <f>'_calc_Dane'!N8-'_calc_Dane'!N9</f>
        <v/>
      </c>
      <c r="J37" s="14">
        <f>F37^2+G37^2</f>
        <v/>
      </c>
      <c r="K37" s="14">
        <f>H37^2+I37^2</f>
        <v/>
      </c>
      <c r="L37" s="14">
        <f>IF(ATAN2(F37,G37)*200/PI()&lt;0,ATAN2(F37,G37)*200/PI()+400,ATAN2(F37,G37)*200/PI())</f>
        <v/>
      </c>
      <c r="M37" s="14">
        <f>IF(ATAN2(H37,I37)*200/PI()&lt;0,ATAN2(H37,I37)*200/PI()+400,ATAN2(H37,I37)*200/PI())</f>
        <v/>
      </c>
      <c r="N37" s="14">
        <f>IF(M37-L37&lt;0,M37-L37+400,M37-L37)</f>
        <v/>
      </c>
      <c r="O37" s="14">
        <f>'_calc_Dane'!$M$15</f>
        <v/>
      </c>
      <c r="P37" s="594">
        <f>N37-E37</f>
        <v/>
      </c>
      <c r="Q37" s="116">
        <f>F37/J37*(2000000/PI())</f>
        <v/>
      </c>
      <c r="R37" s="14">
        <f>G37/J37*2000000/PI()</f>
        <v/>
      </c>
      <c r="S37" s="14">
        <f>H37/K37*2000000/PI()</f>
        <v/>
      </c>
      <c r="T37" s="15">
        <f>I37/K37*2000000/PI()</f>
        <v/>
      </c>
    </row>
    <row r="38"/>
    <row r="39" ht="15.95" customHeight="1">
      <c r="B39" s="595" t="inlineStr">
        <is>
          <t>a</t>
        </is>
      </c>
      <c r="C39" s="596" t="n"/>
      <c r="D39" s="596" t="n"/>
      <c r="E39" s="596" t="n"/>
      <c r="F39" s="596" t="n"/>
      <c r="G39" s="596" t="n"/>
      <c r="H39" s="596" t="n"/>
      <c r="I39" s="596" t="n"/>
      <c r="J39" s="596" t="n"/>
      <c r="K39" s="596" t="n"/>
      <c r="L39" s="596" t="n"/>
      <c r="M39" s="596" t="n"/>
      <c r="N39" s="596" t="n"/>
      <c r="O39" s="596" t="n"/>
      <c r="P39" s="596" t="n"/>
      <c r="Q39" s="597" t="n"/>
      <c r="S39" s="595" t="inlineStr">
        <is>
          <t>l [m/cc]</t>
        </is>
      </c>
    </row>
    <row r="40" ht="18" customHeight="1">
      <c r="B40" s="791" t="inlineStr">
        <is>
          <t>dx</t>
        </is>
      </c>
      <c r="C40" s="599" t="inlineStr">
        <is>
          <t>dy</t>
        </is>
      </c>
      <c r="D40" s="599" t="inlineStr">
        <is>
          <t>dx</t>
        </is>
      </c>
      <c r="E40" s="599" t="inlineStr">
        <is>
          <t>dy</t>
        </is>
      </c>
      <c r="F40" s="599" t="inlineStr">
        <is>
          <t>dx</t>
        </is>
      </c>
      <c r="G40" s="599" t="inlineStr">
        <is>
          <t>dy</t>
        </is>
      </c>
      <c r="H40" s="599" t="inlineStr">
        <is>
          <t>dx</t>
        </is>
      </c>
      <c r="I40" s="599" t="inlineStr">
        <is>
          <t>dy</t>
        </is>
      </c>
      <c r="J40" s="599" t="inlineStr">
        <is>
          <t>dx</t>
        </is>
      </c>
      <c r="K40" s="599" t="inlineStr">
        <is>
          <t>dy</t>
        </is>
      </c>
      <c r="L40" s="599" t="inlineStr">
        <is>
          <t>dx</t>
        </is>
      </c>
      <c r="M40" s="599" t="inlineStr">
        <is>
          <t>dy</t>
        </is>
      </c>
      <c r="N40" s="599" t="inlineStr">
        <is>
          <t>dx</t>
        </is>
      </c>
      <c r="O40" s="599" t="inlineStr">
        <is>
          <t>dy</t>
        </is>
      </c>
      <c r="P40" s="599" t="inlineStr">
        <is>
          <t>dx</t>
        </is>
      </c>
      <c r="Q40" s="600" t="inlineStr">
        <is>
          <t>dy</t>
        </is>
      </c>
      <c r="S40" s="601" t="n"/>
    </row>
    <row r="41" ht="18" customHeight="1">
      <c r="B41" s="602" t="n">
        <v>1</v>
      </c>
      <c r="C41" s="603" t="n">
        <v>1</v>
      </c>
      <c r="D41" s="603" t="n">
        <v>2</v>
      </c>
      <c r="E41" s="603" t="n">
        <v>2</v>
      </c>
      <c r="F41" s="603" t="n">
        <v>4</v>
      </c>
      <c r="G41" s="603" t="n">
        <v>4</v>
      </c>
      <c r="H41" s="603" t="n">
        <v>5</v>
      </c>
      <c r="I41" s="603" t="n">
        <v>5</v>
      </c>
      <c r="J41" s="603" t="n">
        <v>6</v>
      </c>
      <c r="K41" s="603" t="n">
        <v>6</v>
      </c>
      <c r="L41" s="603" t="n">
        <v>7</v>
      </c>
      <c r="M41" s="603" t="n">
        <v>7</v>
      </c>
      <c r="N41" s="603" t="n">
        <v>8</v>
      </c>
      <c r="O41" s="603" t="n">
        <v>8</v>
      </c>
      <c r="P41" s="603" t="n">
        <v>9</v>
      </c>
      <c r="Q41" s="604" t="n">
        <v>9</v>
      </c>
      <c r="R41" s="792" t="n"/>
      <c r="S41" s="606" t="n"/>
      <c r="T41" s="793" t="n"/>
    </row>
    <row r="42">
      <c r="B42" s="608">
        <f>IF(B$41=$B4,IF(B$40="dx",-$K4,-$J4),IF(B$41=$C4,IF(B$40="dx",$K4,$J4),0))</f>
        <v/>
      </c>
      <c r="C42" s="609">
        <f>IF(C$41=$B4,IF(C$40="dx",-$K4,-$J4),IF(C$41=$C4,IF(C$40="dx",$K4,$J4),0))</f>
        <v/>
      </c>
      <c r="D42" s="609">
        <f>IF(D$41=$B4,IF(D$40="dx",-$K4,-$J4),IF(D$41=$C4,IF(D$40="dx",$K4,$J4),0))</f>
        <v/>
      </c>
      <c r="E42" s="609">
        <f>IF(E$41=$B4,IF(E$40="dx",-$K4,-$J4),IF(E$41=$C4,IF(E$40="dx",$K4,$J4),0))</f>
        <v/>
      </c>
      <c r="F42" s="609">
        <f>IF(F$41=$B4,IF(F$40="dx",-$K4,-$J4),IF(F$41=$C4,IF(F$40="dx",$K4,$J4),0))</f>
        <v/>
      </c>
      <c r="G42" s="609">
        <f>IF(G$41=$B4,IF(G$40="dx",-$K4,-$J4),IF(G$41=$C4,IF(G$40="dx",$K4,$J4),0))</f>
        <v/>
      </c>
      <c r="H42" s="610">
        <f>IF(H$41=$B4,IF(H$40="dx",-$K4,-$J4),IF(H$41=$C4,IF(H$40="dx",$K4,$J4),0))</f>
        <v/>
      </c>
      <c r="I42" s="610">
        <f>IF(I$41=$B4,IF(I$40="dx",-$K4,-$J4),IF(I$41=$C4,IF(I$40="dx",$K4,$J4),0))</f>
        <v/>
      </c>
      <c r="J42" s="609">
        <f>IF(J$41=$B4,IF(J$40="dx",-$K4,-$J4),IF(J$41=$C4,IF(J$40="dx",$K4,$J4),0))</f>
        <v/>
      </c>
      <c r="K42" s="609">
        <f>IF(K$41=$B4,IF(K$40="dx",-$K4,-$J4),IF(K$41=$C4,IF(K$40="dx",$K4,$J4),0))</f>
        <v/>
      </c>
      <c r="L42" s="609">
        <f>IF(L$41=$B4,IF(L$40="dx",-$K4,-$J4),IF(L$41=$C4,IF(L$40="dx",$K4,$J4),0))</f>
        <v/>
      </c>
      <c r="M42" s="609">
        <f>IF(M$41=$B4,IF(M$40="dx",-$K4,-$J4),IF(M$41=$C4,IF(M$40="dx",$K4,$J4),0))</f>
        <v/>
      </c>
      <c r="N42" s="609">
        <f>IF(N$41=$B4,IF(N$40="dx",-$K4,-$J4),IF(N$41=$C4,IF(N$40="dx",$K4,$J4),0))</f>
        <v/>
      </c>
      <c r="O42" s="609">
        <f>IF(O$41=$B4,IF(O$40="dx",-$K4,-$J4),IF(O$41=$C4,IF(O$40="dx",$K4,$J4),0))</f>
        <v/>
      </c>
      <c r="P42" s="609">
        <f>IF(P$41=$B4,IF(P$40="dx",-$K4,-$J4),IF(P$41=$C4,IF(P$40="dx",$K4,$J4),0))</f>
        <v/>
      </c>
      <c r="Q42" s="611">
        <f>IF(Q$41=$B4,IF(Q$40="dx",-$K4,-$J4),IF(Q$41=$C4,IF(Q$40="dx",$K4,$J4),0))</f>
        <v/>
      </c>
      <c r="R42" s="568" t="n"/>
      <c r="S42" s="72">
        <f>M4</f>
        <v/>
      </c>
      <c r="T42" s="571" t="n"/>
    </row>
    <row r="43">
      <c r="A43" s="612" t="n"/>
      <c r="B43" s="613">
        <f>IF(B$41=$B5,IF(B$40="dx",-$K5,-$J5),IF(B$41=$C5,IF(B$40="dx",$K5,$J5),0))</f>
        <v/>
      </c>
      <c r="C43" s="614">
        <f>IF(C$41=$B5,IF(C$40="dx",-$K5,-$J5),IF(C$41=$C5,IF(C$40="dx",$K5,$J5),0))</f>
        <v/>
      </c>
      <c r="D43" s="614">
        <f>IF(D$41=$B5,IF(D$40="dx",-$K5,-$J5),IF(D$41=$C5,IF(D$40="dx",$K5,$J5),0))</f>
        <v/>
      </c>
      <c r="E43" s="614">
        <f>IF(E$41=$B5,IF(E$40="dx",-$K5,-$J5),IF(E$41=$C5,IF(E$40="dx",$K5,$J5),0))</f>
        <v/>
      </c>
      <c r="F43" s="614">
        <f>IF(F$41=$B5,IF(F$40="dx",-$K5,-$J5),IF(F$41=$C5,IF(F$40="dx",$K5,$J5),0))</f>
        <v/>
      </c>
      <c r="G43" s="614">
        <f>IF(G$41=$B5,IF(G$40="dx",-$K5,-$J5),IF(G$41=$C5,IF(G$40="dx",$K5,$J5),0))</f>
        <v/>
      </c>
      <c r="H43" s="614">
        <f>IF(H$41=$B5,IF(H$40="dx",-$K5,-$J5),IF(H$41=$C5,IF(H$40="dx",$K5,$J5),0))</f>
        <v/>
      </c>
      <c r="I43" s="614">
        <f>IF(I$41=$B5,IF(I$40="dx",-$K5,-$J5),IF(I$41=$C5,IF(I$40="dx",$K5,$J5),0))</f>
        <v/>
      </c>
      <c r="J43" s="614">
        <f>IF(J$41=$B5,IF(J$40="dx",-$K5,-$J5),IF(J$41=$C5,IF(J$40="dx",$K5,$J5),0))</f>
        <v/>
      </c>
      <c r="K43" s="614">
        <f>IF(K$41=$B5,IF(K$40="dx",-$K5,-$J5),IF(K$41=$C5,IF(K$40="dx",$K5,$J5),0))</f>
        <v/>
      </c>
      <c r="L43" s="614">
        <f>IF(L$41=$B5,IF(L$40="dx",-$K5,-$J5),IF(L$41=$C5,IF(L$40="dx",$K5,$J5),0))</f>
        <v/>
      </c>
      <c r="M43" s="614">
        <f>IF(M$41=$B5,IF(M$40="dx",-$K5,-$J5),IF(M$41=$C5,IF(M$40="dx",$K5,$J5),0))</f>
        <v/>
      </c>
      <c r="N43" s="614">
        <f>IF(N$41=$B5,IF(N$40="dx",-$K5,-$J5),IF(N$41=$C5,IF(N$40="dx",$K5,$J5),0))</f>
        <v/>
      </c>
      <c r="O43" s="614">
        <f>IF(O$41=$B5,IF(O$40="dx",-$K5,-$J5),IF(O$41=$C5,IF(O$40="dx",$K5,$J5),0))</f>
        <v/>
      </c>
      <c r="P43" s="614">
        <f>IF(P$41=$B5,IF(P$40="dx",-$K5,-$J5),IF(P$41=$C5,IF(P$40="dx",$K5,$J5),0))</f>
        <v/>
      </c>
      <c r="Q43" s="615">
        <f>IF(Q$41=$B5,IF(Q$40="dx",-$K5,-$J5),IF(Q$41=$C5,IF(Q$40="dx",$K5,$J5),0))</f>
        <v/>
      </c>
      <c r="R43" s="616" t="n"/>
      <c r="S43" s="72">
        <f>M5</f>
        <v/>
      </c>
      <c r="T43" s="617" t="n"/>
    </row>
    <row r="44">
      <c r="A44" s="612" t="n"/>
      <c r="B44" s="618">
        <f>IF(B$41=$B6,IF(B$40="dx",-$K6,-$J6),IF(B$41=$C6,IF(B$40="dx",$K6,$J6),0))</f>
        <v/>
      </c>
      <c r="C44" s="552">
        <f>IF(C$41=$B6,IF(C$40="dx",-$K6,-$J6),IF(C$41=$C6,IF(C$40="dx",$K6,$J6),0))</f>
        <v/>
      </c>
      <c r="D44" s="552">
        <f>IF(D$41=$B6,IF(D$40="dx",-$K6,-$J6),IF(D$41=$C6,IF(D$40="dx",$K6,$J6),0))</f>
        <v/>
      </c>
      <c r="E44" s="552">
        <f>IF(E$41=$B6,IF(E$40="dx",-$K6,-$J6),IF(E$41=$C6,IF(E$40="dx",$K6,$J6),0))</f>
        <v/>
      </c>
      <c r="F44" s="552">
        <f>IF(F$41=$B6,IF(F$40="dx",-$K6,-$J6),IF(F$41=$C6,IF(F$40="dx",$K6,$J6),0))</f>
        <v/>
      </c>
      <c r="G44" s="552">
        <f>IF(G$41=$B6,IF(G$40="dx",-$K6,-$J6),IF(G$41=$C6,IF(G$40="dx",$K6,$J6),0))</f>
        <v/>
      </c>
      <c r="H44" s="552">
        <f>IF(H$41=$B6,IF(H$40="dx",-$K6,-$J6),IF(H$41=$C6,IF(H$40="dx",$K6,$J6),0))</f>
        <v/>
      </c>
      <c r="I44" s="552">
        <f>IF(I$41=$B6,IF(I$40="dx",-$K6,-$J6),IF(I$41=$C6,IF(I$40="dx",$K6,$J6),0))</f>
        <v/>
      </c>
      <c r="J44" s="552">
        <f>IF(J$41=$B6,IF(J$40="dx",-$K6,-$J6),IF(J$41=$C6,IF(J$40="dx",$K6,$J6),0))</f>
        <v/>
      </c>
      <c r="K44" s="552">
        <f>IF(K$41=$B6,IF(K$40="dx",-$K6,-$J6),IF(K$41=$C6,IF(K$40="dx",$K6,$J6),0))</f>
        <v/>
      </c>
      <c r="L44" s="552">
        <f>IF(L$41=$B6,IF(L$40="dx",-$K6,-$J6),IF(L$41=$C6,IF(L$40="dx",$K6,$J6),0))</f>
        <v/>
      </c>
      <c r="M44" s="552">
        <f>IF(M$41=$B6,IF(M$40="dx",-$K6,-$J6),IF(M$41=$C6,IF(M$40="dx",$K6,$J6),0))</f>
        <v/>
      </c>
      <c r="N44" s="552">
        <f>IF(N$41=$B6,IF(N$40="dx",-$K6,-$J6),IF(N$41=$C6,IF(N$40="dx",$K6,$J6),0))</f>
        <v/>
      </c>
      <c r="O44" s="552">
        <f>IF(O$41=$B6,IF(O$40="dx",-$K6,-$J6),IF(O$41=$C6,IF(O$40="dx",$K6,$J6),0))</f>
        <v/>
      </c>
      <c r="P44" s="552">
        <f>IF(P$41=$B6,IF(P$40="dx",-$K6,-$J6),IF(P$41=$C6,IF(P$40="dx",$K6,$J6),0))</f>
        <v/>
      </c>
      <c r="Q44" s="619">
        <f>IF(Q$41=$B6,IF(Q$40="dx",-$K6,-$J6),IF(Q$41=$C6,IF(Q$40="dx",$K6,$J6),0))</f>
        <v/>
      </c>
      <c r="R44" s="620" t="n"/>
      <c r="S44" s="72">
        <f>M6</f>
        <v/>
      </c>
      <c r="T44" s="542" t="n"/>
    </row>
    <row r="45">
      <c r="A45" s="612" t="n"/>
      <c r="B45" s="618">
        <f>IF(B$41=$B7,IF(B$40="dx",-$K7,-$J7),IF(B$41=$C7,IF(B$40="dx",$K7,$J7),0))</f>
        <v/>
      </c>
      <c r="C45" s="552">
        <f>IF(C$41=$B7,IF(C$40="dx",-$K7,-$J7),IF(C$41=$C7,IF(C$40="dx",$K7,$J7),0))</f>
        <v/>
      </c>
      <c r="D45" s="552">
        <f>IF(D$41=$B7,IF(D$40="dx",-$K7,-$J7),IF(D$41=$C7,IF(D$40="dx",$K7,$J7),0))</f>
        <v/>
      </c>
      <c r="E45" s="552">
        <f>IF(E$41=$B7,IF(E$40="dx",-$K7,-$J7),IF(E$41=$C7,IF(E$40="dx",$K7,$J7),0))</f>
        <v/>
      </c>
      <c r="F45" s="552">
        <f>IF(F$41=$B7,IF(F$40="dx",-$K7,-$J7),IF(F$41=$C7,IF(F$40="dx",$K7,$J7),0))</f>
        <v/>
      </c>
      <c r="G45" s="552">
        <f>IF(G$41=$B7,IF(G$40="dx",-$K7,-$J7),IF(G$41=$C7,IF(G$40="dx",$K7,$J7),0))</f>
        <v/>
      </c>
      <c r="H45" s="552">
        <f>IF(H$41=$B7,IF(H$40="dx",-$K7,-$J7),IF(H$41=$C7,IF(H$40="dx",$K7,$J7),0))</f>
        <v/>
      </c>
      <c r="I45" s="552">
        <f>IF(I$41=$B7,IF(I$40="dx",-$K7,-$J7),IF(I$41=$C7,IF(I$40="dx",$K7,$J7),0))</f>
        <v/>
      </c>
      <c r="J45" s="552">
        <f>IF(J$41=$B7,IF(J$40="dx",-$K7,-$J7),IF(J$41=$C7,IF(J$40="dx",$K7,$J7),0))</f>
        <v/>
      </c>
      <c r="K45" s="552">
        <f>IF(K$41=$B7,IF(K$40="dx",-$K7,-$J7),IF(K$41=$C7,IF(K$40="dx",$K7,$J7),0))</f>
        <v/>
      </c>
      <c r="L45" s="552">
        <f>IF(L$41=$B7,IF(L$40="dx",-$K7,-$J7),IF(L$41=$C7,IF(L$40="dx",$K7,$J7),0))</f>
        <v/>
      </c>
      <c r="M45" s="552">
        <f>IF(M$41=$B7,IF(M$40="dx",-$K7,-$J7),IF(M$41=$C7,IF(M$40="dx",$K7,$J7),0))</f>
        <v/>
      </c>
      <c r="N45" s="552">
        <f>IF(N$41=$B7,IF(N$40="dx",-$K7,-$J7),IF(N$41=$C7,IF(N$40="dx",$K7,$J7),0))</f>
        <v/>
      </c>
      <c r="O45" s="552">
        <f>IF(O$41=$B7,IF(O$40="dx",-$K7,-$J7),IF(O$41=$C7,IF(O$40="dx",$K7,$J7),0))</f>
        <v/>
      </c>
      <c r="P45" s="552">
        <f>IF(P$41=$B7,IF(P$40="dx",-$K7,-$J7),IF(P$41=$C7,IF(P$40="dx",$K7,$J7),0))</f>
        <v/>
      </c>
      <c r="Q45" s="619">
        <f>IF(Q$41=$B7,IF(Q$40="dx",-$K7,-$J7),IF(Q$41=$C7,IF(Q$40="dx",$K7,$J7),0))</f>
        <v/>
      </c>
      <c r="R45" s="620" t="n"/>
      <c r="S45" s="72">
        <f>M7</f>
        <v/>
      </c>
      <c r="T45" s="542" t="n"/>
    </row>
    <row r="46">
      <c r="A46" s="612" t="n"/>
      <c r="B46" s="618">
        <f>IF(B$41=$B8,IF(B$40="dx",-$K8,-$J8),IF(B$41=$C8,IF(B$40="dx",$K8,$J8),0))</f>
        <v/>
      </c>
      <c r="C46" s="552">
        <f>IF(C$41=$B8,IF(C$40="dx",-$K8,-$J8),IF(C$41=$C8,IF(C$40="dx",$K8,$J8),0))</f>
        <v/>
      </c>
      <c r="D46" s="552">
        <f>IF(D$41=$B8,IF(D$40="dx",-$K8,-$J8),IF(D$41=$C8,IF(D$40="dx",$K8,$J8),0))</f>
        <v/>
      </c>
      <c r="E46" s="552">
        <f>IF(E$41=$B8,IF(E$40="dx",-$K8,-$J8),IF(E$41=$C8,IF(E$40="dx",$K8,$J8),0))</f>
        <v/>
      </c>
      <c r="F46" s="552">
        <f>IF(F$41=$B8,IF(F$40="dx",-$K8,-$J8),IF(F$41=$C8,IF(F$40="dx",$K8,$J8),0))</f>
        <v/>
      </c>
      <c r="G46" s="552">
        <f>IF(G$41=$B8,IF(G$40="dx",-$K8,-$J8),IF(G$41=$C8,IF(G$40="dx",$K8,$J8),0))</f>
        <v/>
      </c>
      <c r="H46" s="552">
        <f>IF(H$41=$B8,IF(H$40="dx",-$K8,-$J8),IF(H$41=$C8,IF(H$40="dx",$K8,$J8),0))</f>
        <v/>
      </c>
      <c r="I46" s="552">
        <f>IF(I$41=$B8,IF(I$40="dx",-$K8,-$J8),IF(I$41=$C8,IF(I$40="dx",$K8,$J8),0))</f>
        <v/>
      </c>
      <c r="J46" s="552">
        <f>IF(J$41=$B8,IF(J$40="dx",-$K8,-$J8),IF(J$41=$C8,IF(J$40="dx",$K8,$J8),0))</f>
        <v/>
      </c>
      <c r="K46" s="552">
        <f>IF(K$41=$B8,IF(K$40="dx",-$K8,-$J8),IF(K$41=$C8,IF(K$40="dx",$K8,$J8),0))</f>
        <v/>
      </c>
      <c r="L46" s="552">
        <f>IF(L$41=$B8,IF(L$40="dx",-$K8,-$J8),IF(L$41=$C8,IF(L$40="dx",$K8,$J8),0))</f>
        <v/>
      </c>
      <c r="M46" s="552">
        <f>IF(M$41=$B8,IF(M$40="dx",-$K8,-$J8),IF(M$41=$C8,IF(M$40="dx",$K8,$J8),0))</f>
        <v/>
      </c>
      <c r="N46" s="552">
        <f>IF(N$41=$B8,IF(N$40="dx",-$K8,-$J8),IF(N$41=$C8,IF(N$40="dx",$K8,$J8),0))</f>
        <v/>
      </c>
      <c r="O46" s="552">
        <f>IF(O$41=$B8,IF(O$40="dx",-$K8,-$J8),IF(O$41=$C8,IF(O$40="dx",$K8,$J8),0))</f>
        <v/>
      </c>
      <c r="P46" s="552">
        <f>IF(P$41=$B8,IF(P$40="dx",-$K8,-$J8),IF(P$41=$C8,IF(P$40="dx",$K8,$J8),0))</f>
        <v/>
      </c>
      <c r="Q46" s="619">
        <f>IF(Q$41=$B8,IF(Q$40="dx",-$K8,-$J8),IF(Q$41=$C8,IF(Q$40="dx",$K8,$J8),0))</f>
        <v/>
      </c>
      <c r="R46" s="620" t="n"/>
      <c r="S46" s="72">
        <f>M8</f>
        <v/>
      </c>
      <c r="T46" s="542" t="n"/>
    </row>
    <row r="47">
      <c r="A47" s="612" t="n"/>
      <c r="B47" s="618">
        <f>IF(B$41=$B9,IF(B$40="dx",-$K9,-$J9),IF(B$41=$C9,IF(B$40="dx",$K9,$J9),0))</f>
        <v/>
      </c>
      <c r="C47" s="552">
        <f>IF(C$41=$B9,IF(C$40="dx",-$K9,-$J9),IF(C$41=$C9,IF(C$40="dx",$K9,$J9),0))</f>
        <v/>
      </c>
      <c r="D47" s="552">
        <f>IF(D$41=$B9,IF(D$40="dx",-$K9,-$J9),IF(D$41=$C9,IF(D$40="dx",$K9,$J9),0))</f>
        <v/>
      </c>
      <c r="E47" s="552">
        <f>IF(E$41=$B9,IF(E$40="dx",-$K9,-$J9),IF(E$41=$C9,IF(E$40="dx",$K9,$J9),0))</f>
        <v/>
      </c>
      <c r="F47" s="552">
        <f>IF(F$41=$B9,IF(F$40="dx",-$K9,-$J9),IF(F$41=$C9,IF(F$40="dx",$K9,$J9),0))</f>
        <v/>
      </c>
      <c r="G47" s="552">
        <f>IF(G$41=$B9,IF(G$40="dx",-$K9,-$J9),IF(G$41=$C9,IF(G$40="dx",$K9,$J9),0))</f>
        <v/>
      </c>
      <c r="H47" s="552">
        <f>IF(H$41=$B9,IF(H$40="dx",-$K9,-$J9),IF(H$41=$C9,IF(H$40="dx",$K9,$J9),0))</f>
        <v/>
      </c>
      <c r="I47" s="552">
        <f>IF(I$41=$B9,IF(I$40="dx",-$K9,-$J9),IF(I$41=$C9,IF(I$40="dx",$K9,$J9),0))</f>
        <v/>
      </c>
      <c r="J47" s="552">
        <f>IF(J$41=$B9,IF(J$40="dx",-$K9,-$J9),IF(J$41=$C9,IF(J$40="dx",$K9,$J9),0))</f>
        <v/>
      </c>
      <c r="K47" s="552">
        <f>IF(K$41=$B9,IF(K$40="dx",-$K9,-$J9),IF(K$41=$C9,IF(K$40="dx",$K9,$J9),0))</f>
        <v/>
      </c>
      <c r="L47" s="552">
        <f>IF(L$41=$B9,IF(L$40="dx",-$K9,-$J9),IF(L$41=$C9,IF(L$40="dx",$K9,$J9),0))</f>
        <v/>
      </c>
      <c r="M47" s="552">
        <f>IF(M$41=$B9,IF(M$40="dx",-$K9,-$J9),IF(M$41=$C9,IF(M$40="dx",$K9,$J9),0))</f>
        <v/>
      </c>
      <c r="N47" s="552">
        <f>IF(N$41=$B9,IF(N$40="dx",-$K9,-$J9),IF(N$41=$C9,IF(N$40="dx",$K9,$J9),0))</f>
        <v/>
      </c>
      <c r="O47" s="552">
        <f>IF(O$41=$B9,IF(O$40="dx",-$K9,-$J9),IF(O$41=$C9,IF(O$40="dx",$K9,$J9),0))</f>
        <v/>
      </c>
      <c r="P47" s="552">
        <f>IF(P$41=$B9,IF(P$40="dx",-$K9,-$J9),IF(P$41=$C9,IF(P$40="dx",$K9,$J9),0))</f>
        <v/>
      </c>
      <c r="Q47" s="619">
        <f>IF(Q$41=$B9,IF(Q$40="dx",-$K9,-$J9),IF(Q$41=$C9,IF(Q$40="dx",$K9,$J9),0))</f>
        <v/>
      </c>
      <c r="R47" s="620" t="n"/>
      <c r="S47" s="72">
        <f>M9</f>
        <v/>
      </c>
      <c r="T47" s="542" t="n"/>
    </row>
    <row r="48">
      <c r="A48" s="612" t="n"/>
      <c r="B48" s="618">
        <f>IF(B$41=$B10,IF(B$40="dx",-$K10,-$J10),IF(B$41=$C10,IF(B$40="dx",$K10,$J10),0))</f>
        <v/>
      </c>
      <c r="C48" s="552">
        <f>IF(C$41=$B10,IF(C$40="dx",-$K10,-$J10),IF(C$41=$C10,IF(C$40="dx",$K10,$J10),0))</f>
        <v/>
      </c>
      <c r="D48" s="552">
        <f>IF(D$41=$B10,IF(D$40="dx",-$K10,-$J10),IF(D$41=$C10,IF(D$40="dx",$K10,$J10),0))</f>
        <v/>
      </c>
      <c r="E48" s="552">
        <f>IF(E$41=$B10,IF(E$40="dx",-$K10,-$J10),IF(E$41=$C10,IF(E$40="dx",$K10,$J10),0))</f>
        <v/>
      </c>
      <c r="F48" s="552">
        <f>IF(F$41=$B10,IF(F$40="dx",-$K10,-$J10),IF(F$41=$C10,IF(F$40="dx",$K10,$J10),0))</f>
        <v/>
      </c>
      <c r="G48" s="552">
        <f>IF(G$41=$B10,IF(G$40="dx",-$K10,-$J10),IF(G$41=$C10,IF(G$40="dx",$K10,$J10),0))</f>
        <v/>
      </c>
      <c r="H48" s="552">
        <f>IF(H$41=$B10,IF(H$40="dx",-$K10,-$J10),IF(H$41=$C10,IF(H$40="dx",$K10,$J10),0))</f>
        <v/>
      </c>
      <c r="I48" s="552">
        <f>IF(I$41=$B10,IF(I$40="dx",-$K10,-$J10),IF(I$41=$C10,IF(I$40="dx",$K10,$J10),0))</f>
        <v/>
      </c>
      <c r="J48" s="552">
        <f>IF(J$41=$B10,IF(J$40="dx",-$K10,-$J10),IF(J$41=$C10,IF(J$40="dx",$K10,$J10),0))</f>
        <v/>
      </c>
      <c r="K48" s="552">
        <f>IF(K$41=$B10,IF(K$40="dx",-$K10,-$J10),IF(K$41=$C10,IF(K$40="dx",$K10,$J10),0))</f>
        <v/>
      </c>
      <c r="L48" s="552">
        <f>IF(L$41=$B10,IF(L$40="dx",-$K10,-$J10),IF(L$41=$C10,IF(L$40="dx",$K10,$J10),0))</f>
        <v/>
      </c>
      <c r="M48" s="552">
        <f>IF(M$41=$B10,IF(M$40="dx",-$K10,-$J10),IF(M$41=$C10,IF(M$40="dx",$K10,$J10),0))</f>
        <v/>
      </c>
      <c r="N48" s="552">
        <f>IF(N$41=$B10,IF(N$40="dx",-$K10,-$J10),IF(N$41=$C10,IF(N$40="dx",$K10,$J10),0))</f>
        <v/>
      </c>
      <c r="O48" s="552">
        <f>IF(O$41=$B10,IF(O$40="dx",-$K10,-$J10),IF(O$41=$C10,IF(O$40="dx",$K10,$J10),0))</f>
        <v/>
      </c>
      <c r="P48" s="552">
        <f>IF(P$41=$B10,IF(P$40="dx",-$K10,-$J10),IF(P$41=$C10,IF(P$40="dx",$K10,$J10),0))</f>
        <v/>
      </c>
      <c r="Q48" s="619">
        <f>IF(Q$41=$B10,IF(Q$40="dx",-$K10,-$J10),IF(Q$41=$C10,IF(Q$40="dx",$K10,$J10),0))</f>
        <v/>
      </c>
      <c r="R48" s="620" t="n"/>
      <c r="S48" s="72">
        <f>M10</f>
        <v/>
      </c>
      <c r="T48" s="542" t="n"/>
    </row>
    <row r="49">
      <c r="A49" s="612" t="n"/>
      <c r="B49" s="618">
        <f>IF(B$41=$B11,IF(B$40="dx",-$K11,-$J11),IF(B$41=$C11,IF(B$40="dx",$K11,$J11),0))</f>
        <v/>
      </c>
      <c r="C49" s="552">
        <f>IF(C$41=$B11,IF(C$40="dx",-$K11,-$J11),IF(C$41=$C11,IF(C$40="dx",$K11,$J11),0))</f>
        <v/>
      </c>
      <c r="D49" s="552">
        <f>IF(D$41=$B11,IF(D$40="dx",-$K11,-$J11),IF(D$41=$C11,IF(D$40="dx",$K11,$J11),0))</f>
        <v/>
      </c>
      <c r="E49" s="552">
        <f>IF(E$41=$B11,IF(E$40="dx",-$K11,-$J11),IF(E$41=$C11,IF(E$40="dx",$K11,$J11),0))</f>
        <v/>
      </c>
      <c r="F49" s="552">
        <f>IF(F$41=$B11,IF(F$40="dx",-$K11,-$J11),IF(F$41=$C11,IF(F$40="dx",$K11,$J11),0))</f>
        <v/>
      </c>
      <c r="G49" s="552">
        <f>IF(G$41=$B11,IF(G$40="dx",-$K11,-$J11),IF(G$41=$C11,IF(G$40="dx",$K11,$J11),0))</f>
        <v/>
      </c>
      <c r="H49" s="552">
        <f>IF(H$41=$B11,IF(H$40="dx",-$K11,-$J11),IF(H$41=$C11,IF(H$40="dx",$K11,$J11),0))</f>
        <v/>
      </c>
      <c r="I49" s="552">
        <f>IF(I$41=$B11,IF(I$40="dx",-$K11,-$J11),IF(I$41=$C11,IF(I$40="dx",$K11,$J11),0))</f>
        <v/>
      </c>
      <c r="J49" s="552">
        <f>IF(J$41=$B11,IF(J$40="dx",-$K11,-$J11),IF(J$41=$C11,IF(J$40="dx",$K11,$J11),0))</f>
        <v/>
      </c>
      <c r="K49" s="552">
        <f>IF(K$41=$B11,IF(K$40="dx",-$K11,-$J11),IF(K$41=$C11,IF(K$40="dx",$K11,$J11),0))</f>
        <v/>
      </c>
      <c r="L49" s="552">
        <f>IF(L$41=$B11,IF(L$40="dx",-$K11,-$J11),IF(L$41=$C11,IF(L$40="dx",$K11,$J11),0))</f>
        <v/>
      </c>
      <c r="M49" s="552">
        <f>IF(M$41=$B11,IF(M$40="dx",-$K11,-$J11),IF(M$41=$C11,IF(M$40="dx",$K11,$J11),0))</f>
        <v/>
      </c>
      <c r="N49" s="552">
        <f>IF(N$41=$B11,IF(N$40="dx",-$K11,-$J11),IF(N$41=$C11,IF(N$40="dx",$K11,$J11),0))</f>
        <v/>
      </c>
      <c r="O49" s="552">
        <f>IF(O$41=$B11,IF(O$40="dx",-$K11,-$J11),IF(O$41=$C11,IF(O$40="dx",$K11,$J11),0))</f>
        <v/>
      </c>
      <c r="P49" s="552">
        <f>IF(P$41=$B11,IF(P$40="dx",-$K11,-$J11),IF(P$41=$C11,IF(P$40="dx",$K11,$J11),0))</f>
        <v/>
      </c>
      <c r="Q49" s="619">
        <f>IF(Q$41=$B11,IF(Q$40="dx",-$K11,-$J11),IF(Q$41=$C11,IF(Q$40="dx",$K11,$J11),0))</f>
        <v/>
      </c>
      <c r="R49" s="620" t="n"/>
      <c r="S49" s="72">
        <f>M11</f>
        <v/>
      </c>
      <c r="T49" s="542" t="n"/>
    </row>
    <row r="50">
      <c r="A50" s="612" t="n"/>
      <c r="B50" s="618">
        <f>IF(B$41=$B12,IF(B$40="dx",-$K12,-$J12),IF(B$41=$C12,IF(B$40="dx",$K12,$J12),0))</f>
        <v/>
      </c>
      <c r="C50" s="552">
        <f>IF(C$41=$B12,IF(C$40="dx",-$K12,-$J12),IF(C$41=$C12,IF(C$40="dx",$K12,$J12),0))</f>
        <v/>
      </c>
      <c r="D50" s="552">
        <f>IF(D$41=$B12,IF(D$40="dx",-$K12,-$J12),IF(D$41=$C12,IF(D$40="dx",$K12,$J12),0))</f>
        <v/>
      </c>
      <c r="E50" s="552">
        <f>IF(E$41=$B12,IF(E$40="dx",-$K12,-$J12),IF(E$41=$C12,IF(E$40="dx",$K12,$J12),0))</f>
        <v/>
      </c>
      <c r="F50" s="552">
        <f>IF(F$41=$B12,IF(F$40="dx",-$K12,-$J12),IF(F$41=$C12,IF(F$40="dx",$K12,$J12),0))</f>
        <v/>
      </c>
      <c r="G50" s="552">
        <f>IF(G$41=$B12,IF(G$40="dx",-$K12,-$J12),IF(G$41=$C12,IF(G$40="dx",$K12,$J12),0))</f>
        <v/>
      </c>
      <c r="H50" s="552">
        <f>IF(H$41=$B12,IF(H$40="dx",-$K12,-$J12),IF(H$41=$C12,IF(H$40="dx",$K12,$J12),0))</f>
        <v/>
      </c>
      <c r="I50" s="552">
        <f>IF(I$41=$B12,IF(I$40="dx",-$K12,-$J12),IF(I$41=$C12,IF(I$40="dx",$K12,$J12),0))</f>
        <v/>
      </c>
      <c r="J50" s="552">
        <f>IF(J$41=$B12,IF(J$40="dx",-$K12,-$J12),IF(J$41=$C12,IF(J$40="dx",$K12,$J12),0))</f>
        <v/>
      </c>
      <c r="K50" s="552">
        <f>IF(K$41=$B12,IF(K$40="dx",-$K12,-$J12),IF(K$41=$C12,IF(K$40="dx",$K12,$J12),0))</f>
        <v/>
      </c>
      <c r="L50" s="552">
        <f>IF(L$41=$B12,IF(L$40="dx",-$K12,-$J12),IF(L$41=$C12,IF(L$40="dx",$K12,$J12),0))</f>
        <v/>
      </c>
      <c r="M50" s="552">
        <f>IF(M$41=$B12,IF(M$40="dx",-$K12,-$J12),IF(M$41=$C12,IF(M$40="dx",$K12,$J12),0))</f>
        <v/>
      </c>
      <c r="N50" s="552">
        <f>IF(N$41=$B12,IF(N$40="dx",-$K12,-$J12),IF(N$41=$C12,IF(N$40="dx",$K12,$J12),0))</f>
        <v/>
      </c>
      <c r="O50" s="552">
        <f>IF(O$41=$B12,IF(O$40="dx",-$K12,-$J12),IF(O$41=$C12,IF(O$40="dx",$K12,$J12),0))</f>
        <v/>
      </c>
      <c r="P50" s="552">
        <f>IF(P$41=$B12,IF(P$40="dx",-$K12,-$J12),IF(P$41=$C12,IF(P$40="dx",$K12,$J12),0))</f>
        <v/>
      </c>
      <c r="Q50" s="619">
        <f>IF(Q$41=$B12,IF(Q$40="dx",-$K12,-$J12),IF(Q$41=$C12,IF(Q$40="dx",$K12,$J12),0))</f>
        <v/>
      </c>
      <c r="R50" s="620" t="n"/>
      <c r="S50" s="72">
        <f>M12</f>
        <v/>
      </c>
      <c r="T50" s="542" t="n"/>
    </row>
    <row r="51">
      <c r="A51" s="612" t="n"/>
      <c r="B51" s="618">
        <f>IF(B$41=$B13,IF(B$40="dx",-$K13,-$J13),IF(B$41=$C13,IF(B$40="dx",$K13,$J13),0))</f>
        <v/>
      </c>
      <c r="C51" s="552">
        <f>IF(C$41=$B13,IF(C$40="dx",-$K13,-$J13),IF(C$41=$C13,IF(C$40="dx",$K13,$J13),0))</f>
        <v/>
      </c>
      <c r="D51" s="552">
        <f>IF(D$41=$B13,IF(D$40="dx",-$K13,-$J13),IF(D$41=$C13,IF(D$40="dx",$K13,$J13),0))</f>
        <v/>
      </c>
      <c r="E51" s="552">
        <f>IF(E$41=$B13,IF(E$40="dx",-$K13,-$J13),IF(E$41=$C13,IF(E$40="dx",$K13,$J13),0))</f>
        <v/>
      </c>
      <c r="F51" s="552">
        <f>IF(F$41=$B13,IF(F$40="dx",-$K13,-$J13),IF(F$41=$C13,IF(F$40="dx",$K13,$J13),0))</f>
        <v/>
      </c>
      <c r="G51" s="552">
        <f>IF(G$41=$B13,IF(G$40="dx",-$K13,-$J13),IF(G$41=$C13,IF(G$40="dx",$K13,$J13),0))</f>
        <v/>
      </c>
      <c r="H51" s="552">
        <f>IF(H$41=$B13,IF(H$40="dx",-$K13,-$J13),IF(H$41=$C13,IF(H$40="dx",$K13,$J13),0))</f>
        <v/>
      </c>
      <c r="I51" s="552">
        <f>IF(I$41=$B13,IF(I$40="dx",-$K13,-$J13),IF(I$41=$C13,IF(I$40="dx",$K13,$J13),0))</f>
        <v/>
      </c>
      <c r="J51" s="552">
        <f>IF(J$41=$B13,IF(J$40="dx",-$K13,-$J13),IF(J$41=$C13,IF(J$40="dx",$K13,$J13),0))</f>
        <v/>
      </c>
      <c r="K51" s="552">
        <f>IF(K$41=$B13,IF(K$40="dx",-$K13,-$J13),IF(K$41=$C13,IF(K$40="dx",$K13,$J13),0))</f>
        <v/>
      </c>
      <c r="L51" s="552">
        <f>IF(L$41=$B13,IF(L$40="dx",-$K13,-$J13),IF(L$41=$C13,IF(L$40="dx",$K13,$J13),0))</f>
        <v/>
      </c>
      <c r="M51" s="552">
        <f>IF(M$41=$B13,IF(M$40="dx",-$K13,-$J13),IF(M$41=$C13,IF(M$40="dx",$K13,$J13),0))</f>
        <v/>
      </c>
      <c r="N51" s="552">
        <f>IF(N$41=$B13,IF(N$40="dx",-$K13,-$J13),IF(N$41=$C13,IF(N$40="dx",$K13,$J13),0))</f>
        <v/>
      </c>
      <c r="O51" s="552">
        <f>IF(O$41=$B13,IF(O$40="dx",-$K13,-$J13),IF(O$41=$C13,IF(O$40="dx",$K13,$J13),0))</f>
        <v/>
      </c>
      <c r="P51" s="552">
        <f>IF(P$41=$B13,IF(P$40="dx",-$K13,-$J13),IF(P$41=$C13,IF(P$40="dx",$K13,$J13),0))</f>
        <v/>
      </c>
      <c r="Q51" s="619">
        <f>IF(Q$41=$B13,IF(Q$40="dx",-$K13,-$J13),IF(Q$41=$C13,IF(Q$40="dx",$K13,$J13),0))</f>
        <v/>
      </c>
      <c r="R51" s="620" t="n"/>
      <c r="S51" s="72">
        <f>M13</f>
        <v/>
      </c>
      <c r="T51" s="542" t="n"/>
    </row>
    <row r="52">
      <c r="A52" s="612" t="n"/>
      <c r="B52" s="618">
        <f>IF(B$41=$B14,IF(B$40="dx",-$K14,-$J14),IF(B$41=$C14,IF(B$40="dx",$K14,$J14),0))</f>
        <v/>
      </c>
      <c r="C52" s="552">
        <f>IF(C$41=$B14,IF(C$40="dx",-$K14,-$J14),IF(C$41=$C14,IF(C$40="dx",$K14,$J14),0))</f>
        <v/>
      </c>
      <c r="D52" s="552">
        <f>IF(D$41=$B14,IF(D$40="dx",-$K14,-$J14),IF(D$41=$C14,IF(D$40="dx",$K14,$J14),0))</f>
        <v/>
      </c>
      <c r="E52" s="552">
        <f>IF(E$41=$B14,IF(E$40="dx",-$K14,-$J14),IF(E$41=$C14,IF(E$40="dx",$K14,$J14),0))</f>
        <v/>
      </c>
      <c r="F52" s="552">
        <f>IF(F$41=$B14,IF(F$40="dx",-$K14,-$J14),IF(F$41=$C14,IF(F$40="dx",$K14,$J14),0))</f>
        <v/>
      </c>
      <c r="G52" s="552">
        <f>IF(G$41=$B14,IF(G$40="dx",-$K14,-$J14),IF(G$41=$C14,IF(G$40="dx",$K14,$J14),0))</f>
        <v/>
      </c>
      <c r="H52" s="552">
        <f>IF(H$41=$B14,IF(H$40="dx",-$K14,-$J14),IF(H$41=$C14,IF(H$40="dx",$K14,$J14),0))</f>
        <v/>
      </c>
      <c r="I52" s="552">
        <f>IF(I$41=$B14,IF(I$40="dx",-$K14,-$J14),IF(I$41=$C14,IF(I$40="dx",$K14,$J14),0))</f>
        <v/>
      </c>
      <c r="J52" s="552">
        <f>IF(J$41=$B14,IF(J$40="dx",-$K14,-$J14),IF(J$41=$C14,IF(J$40="dx",$K14,$J14),0))</f>
        <v/>
      </c>
      <c r="K52" s="552">
        <f>IF(K$41=$B14,IF(K$40="dx",-$K14,-$J14),IF(K$41=$C14,IF(K$40="dx",$K14,$J14),0))</f>
        <v/>
      </c>
      <c r="L52" s="552">
        <f>IF(L$41=$B14,IF(L$40="dx",-$K14,-$J14),IF(L$41=$C14,IF(L$40="dx",$K14,$J14),0))</f>
        <v/>
      </c>
      <c r="M52" s="552">
        <f>IF(M$41=$B14,IF(M$40="dx",-$K14,-$J14),IF(M$41=$C14,IF(M$40="dx",$K14,$J14),0))</f>
        <v/>
      </c>
      <c r="N52" s="552">
        <f>IF(N$41=$B14,IF(N$40="dx",-$K14,-$J14),IF(N$41=$C14,IF(N$40="dx",$K14,$J14),0))</f>
        <v/>
      </c>
      <c r="O52" s="552">
        <f>IF(O$41=$B14,IF(O$40="dx",-$K14,-$J14),IF(O$41=$C14,IF(O$40="dx",$K14,$J14),0))</f>
        <v/>
      </c>
      <c r="P52" s="552">
        <f>IF(P$41=$B14,IF(P$40="dx",-$K14,-$J14),IF(P$41=$C14,IF(P$40="dx",$K14,$J14),0))</f>
        <v/>
      </c>
      <c r="Q52" s="619">
        <f>IF(Q$41=$B14,IF(Q$40="dx",-$K14,-$J14),IF(Q$41=$C14,IF(Q$40="dx",$K14,$J14),0))</f>
        <v/>
      </c>
      <c r="R52" s="620" t="n"/>
      <c r="S52" s="72">
        <f>M14</f>
        <v/>
      </c>
      <c r="T52" s="542" t="n"/>
    </row>
    <row r="53">
      <c r="A53" s="612" t="n"/>
      <c r="B53" s="618">
        <f>IF(B$41=$B15,IF(B$40="dx",-$K15,-$J15),IF(B$41=$C15,IF(B$40="dx",$K15,$J15),0))</f>
        <v/>
      </c>
      <c r="C53" s="552">
        <f>IF(C$41=$B15,IF(C$40="dx",-$K15,-$J15),IF(C$41=$C15,IF(C$40="dx",$K15,$J15),0))</f>
        <v/>
      </c>
      <c r="D53" s="552">
        <f>IF(D$41=$B15,IF(D$40="dx",-$K15,-$J15),IF(D$41=$C15,IF(D$40="dx",$K15,$J15),0))</f>
        <v/>
      </c>
      <c r="E53" s="552">
        <f>IF(E$41=$B15,IF(E$40="dx",-$K15,-$J15),IF(E$41=$C15,IF(E$40="dx",$K15,$J15),0))</f>
        <v/>
      </c>
      <c r="F53" s="552">
        <f>IF(F$41=$B15,IF(F$40="dx",-$K15,-$J15),IF(F$41=$C15,IF(F$40="dx",$K15,$J15),0))</f>
        <v/>
      </c>
      <c r="G53" s="552">
        <f>IF(G$41=$B15,IF(G$40="dx",-$K15,-$J15),IF(G$41=$C15,IF(G$40="dx",$K15,$J15),0))</f>
        <v/>
      </c>
      <c r="H53" s="552">
        <f>IF(H$41=$B15,IF(H$40="dx",-$K15,-$J15),IF(H$41=$C15,IF(H$40="dx",$K15,$J15),0))</f>
        <v/>
      </c>
      <c r="I53" s="552">
        <f>IF(I$41=$B15,IF(I$40="dx",-$K15,-$J15),IF(I$41=$C15,IF(I$40="dx",$K15,$J15),0))</f>
        <v/>
      </c>
      <c r="J53" s="552">
        <f>IF(J$41=$B15,IF(J$40="dx",-$K15,-$J15),IF(J$41=$C15,IF(J$40="dx",$K15,$J15),0))</f>
        <v/>
      </c>
      <c r="K53" s="552">
        <f>IF(K$41=$B15,IF(K$40="dx",-$K15,-$J15),IF(K$41=$C15,IF(K$40="dx",$K15,$J15),0))</f>
        <v/>
      </c>
      <c r="L53" s="552">
        <f>IF(L$41=$B15,IF(L$40="dx",-$K15,-$J15),IF(L$41=$C15,IF(L$40="dx",$K15,$J15),0))</f>
        <v/>
      </c>
      <c r="M53" s="552">
        <f>IF(M$41=$B15,IF(M$40="dx",-$K15,-$J15),IF(M$41=$C15,IF(M$40="dx",$K15,$J15),0))</f>
        <v/>
      </c>
      <c r="N53" s="552">
        <f>IF(N$41=$B15,IF(N$40="dx",-$K15,-$J15),IF(N$41=$C15,IF(N$40="dx",$K15,$J15),0))</f>
        <v/>
      </c>
      <c r="O53" s="552">
        <f>IF(O$41=$B15,IF(O$40="dx",-$K15,-$J15),IF(O$41=$C15,IF(O$40="dx",$K15,$J15),0))</f>
        <v/>
      </c>
      <c r="P53" s="552">
        <f>IF(P$41=$B15,IF(P$40="dx",-$K15,-$J15),IF(P$41=$C15,IF(P$40="dx",$K15,$J15),0))</f>
        <v/>
      </c>
      <c r="Q53" s="619">
        <f>IF(Q$41=$B15,IF(Q$40="dx",-$K15,-$J15),IF(Q$41=$C15,IF(Q$40="dx",$K15,$J15),0))</f>
        <v/>
      </c>
      <c r="R53" s="620" t="n"/>
      <c r="S53" s="72">
        <f>M15</f>
        <v/>
      </c>
      <c r="T53" s="542" t="n"/>
    </row>
    <row r="54">
      <c r="A54" s="612" t="n"/>
      <c r="B54" s="618">
        <f>IF(B$41=$B16,IF(B$40="dx",-$K16,-$J16),IF(B$41=$C16,IF(B$40="dx",$K16,$J16),0))</f>
        <v/>
      </c>
      <c r="C54" s="552">
        <f>IF(C$41=$B16,IF(C$40="dx",-$K16,-$J16),IF(C$41=$C16,IF(C$40="dx",$K16,$J16),0))</f>
        <v/>
      </c>
      <c r="D54" s="552">
        <f>IF(D$41=$B16,IF(D$40="dx",-$K16,-$J16),IF(D$41=$C16,IF(D$40="dx",$K16,$J16),0))</f>
        <v/>
      </c>
      <c r="E54" s="552">
        <f>IF(E$41=$B16,IF(E$40="dx",-$K16,-$J16),IF(E$41=$C16,IF(E$40="dx",$K16,$J16),0))</f>
        <v/>
      </c>
      <c r="F54" s="552">
        <f>IF(F$41=$B16,IF(F$40="dx",-$K16,-$J16),IF(F$41=$C16,IF(F$40="dx",$K16,$J16),0))</f>
        <v/>
      </c>
      <c r="G54" s="552">
        <f>IF(G$41=$B16,IF(G$40="dx",-$K16,-$J16),IF(G$41=$C16,IF(G$40="dx",$K16,$J16),0))</f>
        <v/>
      </c>
      <c r="H54" s="552">
        <f>IF(H$41=$B16,IF(H$40="dx",-$K16,-$J16),IF(H$41=$C16,IF(H$40="dx",$K16,$J16),0))</f>
        <v/>
      </c>
      <c r="I54" s="552">
        <f>IF(I$41=$B16,IF(I$40="dx",-$K16,-$J16),IF(I$41=$C16,IF(I$40="dx",$K16,$J16),0))</f>
        <v/>
      </c>
      <c r="J54" s="552">
        <f>IF(J$41=$B16,IF(J$40="dx",-$K16,-$J16),IF(J$41=$C16,IF(J$40="dx",$K16,$J16),0))</f>
        <v/>
      </c>
      <c r="K54" s="552">
        <f>IF(K$41=$B16,IF(K$40="dx",-$K16,-$J16),IF(K$41=$C16,IF(K$40="dx",$K16,$J16),0))</f>
        <v/>
      </c>
      <c r="L54" s="552">
        <f>IF(L$41=$B16,IF(L$40="dx",-$K16,-$J16),IF(L$41=$C16,IF(L$40="dx",$K16,$J16),0))</f>
        <v/>
      </c>
      <c r="M54" s="552">
        <f>IF(M$41=$B16,IF(M$40="dx",-$K16,-$J16),IF(M$41=$C16,IF(M$40="dx",$K16,$J16),0))</f>
        <v/>
      </c>
      <c r="N54" s="552">
        <f>IF(N$41=$B16,IF(N$40="dx",-$K16,-$J16),IF(N$41=$C16,IF(N$40="dx",$K16,$J16),0))</f>
        <v/>
      </c>
      <c r="O54" s="552">
        <f>IF(O$41=$B16,IF(O$40="dx",-$K16,-$J16),IF(O$41=$C16,IF(O$40="dx",$K16,$J16),0))</f>
        <v/>
      </c>
      <c r="P54" s="552">
        <f>IF(P$41=$B16,IF(P$40="dx",-$K16,-$J16),IF(P$41=$C16,IF(P$40="dx",$K16,$J16),0))</f>
        <v/>
      </c>
      <c r="Q54" s="619">
        <f>IF(Q$41=$B16,IF(Q$40="dx",-$K16,-$J16),IF(Q$41=$C16,IF(Q$40="dx",$K16,$J16),0))</f>
        <v/>
      </c>
      <c r="R54" s="620" t="n"/>
      <c r="S54" s="72">
        <f>M16</f>
        <v/>
      </c>
      <c r="T54" s="542" t="n"/>
    </row>
    <row r="55">
      <c r="A55" s="612" t="n"/>
      <c r="B55" s="618">
        <f>IF(B$41=$B17,IF(B$40="dx",-$K17,-$J17),IF(B$41=$C17,IF(B$40="dx",$K17,$J17),0))</f>
        <v/>
      </c>
      <c r="C55" s="552">
        <f>IF(C$41=$B17,IF(C$40="dx",-$K17,-$J17),IF(C$41=$C17,IF(C$40="dx",$K17,$J17),0))</f>
        <v/>
      </c>
      <c r="D55" s="552">
        <f>IF(D$41=$B17,IF(D$40="dx",-$K17,-$J17),IF(D$41=$C17,IF(D$40="dx",$K17,$J17),0))</f>
        <v/>
      </c>
      <c r="E55" s="552">
        <f>IF(E$41=$B17,IF(E$40="dx",-$K17,-$J17),IF(E$41=$C17,IF(E$40="dx",$K17,$J17),0))</f>
        <v/>
      </c>
      <c r="F55" s="552">
        <f>IF(F$41=$B17,IF(F$40="dx",-$K17,-$J17),IF(F$41=$C17,IF(F$40="dx",$K17,$J17),0))</f>
        <v/>
      </c>
      <c r="G55" s="552">
        <f>IF(G$41=$B17,IF(G$40="dx",-$K17,-$J17),IF(G$41=$C17,IF(G$40="dx",$K17,$J17),0))</f>
        <v/>
      </c>
      <c r="H55" s="552">
        <f>IF(H$41=$B17,IF(H$40="dx",-$K17,-$J17),IF(H$41=$C17,IF(H$40="dx",$K17,$J17),0))</f>
        <v/>
      </c>
      <c r="I55" s="552">
        <f>IF(I$41=$B17,IF(I$40="dx",-$K17,-$J17),IF(I$41=$C17,IF(I$40="dx",$K17,$J17),0))</f>
        <v/>
      </c>
      <c r="J55" s="552">
        <f>IF(J$41=$B17,IF(J$40="dx",-$K17,-$J17),IF(J$41=$C17,IF(J$40="dx",$K17,$J17),0))</f>
        <v/>
      </c>
      <c r="K55" s="552">
        <f>IF(K$41=$B17,IF(K$40="dx",-$K17,-$J17),IF(K$41=$C17,IF(K$40="dx",$K17,$J17),0))</f>
        <v/>
      </c>
      <c r="L55" s="552">
        <f>IF(L$41=$B17,IF(L$40="dx",-$K17,-$J17),IF(L$41=$C17,IF(L$40="dx",$K17,$J17),0))</f>
        <v/>
      </c>
      <c r="M55" s="552">
        <f>IF(M$41=$B17,IF(M$40="dx",-$K17,-$J17),IF(M$41=$C17,IF(M$40="dx",$K17,$J17),0))</f>
        <v/>
      </c>
      <c r="N55" s="552">
        <f>IF(N$41=$B17,IF(N$40="dx",-$K17,-$J17),IF(N$41=$C17,IF(N$40="dx",$K17,$J17),0))</f>
        <v/>
      </c>
      <c r="O55" s="552">
        <f>IF(O$41=$B17,IF(O$40="dx",-$K17,-$J17),IF(O$41=$C17,IF(O$40="dx",$K17,$J17),0))</f>
        <v/>
      </c>
      <c r="P55" s="552">
        <f>IF(P$41=$B17,IF(P$40="dx",-$K17,-$J17),IF(P$41=$C17,IF(P$40="dx",$K17,$J17),0))</f>
        <v/>
      </c>
      <c r="Q55" s="619">
        <f>IF(Q$41=$B17,IF(Q$40="dx",-$K17,-$J17),IF(Q$41=$C17,IF(Q$40="dx",$K17,$J17),0))</f>
        <v/>
      </c>
      <c r="R55" s="620" t="n"/>
      <c r="S55" s="72">
        <f>M17</f>
        <v/>
      </c>
      <c r="T55" s="542" t="n"/>
    </row>
    <row r="56">
      <c r="A56" s="612" t="n"/>
      <c r="B56" s="618">
        <f>IF(B$41=$B18,IF(B$40="dx",-$K18,-$J18),IF(B$41=$C18,IF(B$40="dx",$K18,$J18),0))</f>
        <v/>
      </c>
      <c r="C56" s="552">
        <f>IF(C$41=$B18,IF(C$40="dx",-$K18,-$J18),IF(C$41=$C18,IF(C$40="dx",$K18,$J18),0))</f>
        <v/>
      </c>
      <c r="D56" s="552">
        <f>IF(D$41=$B18,IF(D$40="dx",-$K18,-$J18),IF(D$41=$C18,IF(D$40="dx",$K18,$J18),0))</f>
        <v/>
      </c>
      <c r="E56" s="552">
        <f>IF(E$41=$B18,IF(E$40="dx",-$K18,-$J18),IF(E$41=$C18,IF(E$40="dx",$K18,$J18),0))</f>
        <v/>
      </c>
      <c r="F56" s="552">
        <f>IF(F$41=$B18,IF(F$40="dx",-$K18,-$J18),IF(F$41=$C18,IF(F$40="dx",$K18,$J18),0))</f>
        <v/>
      </c>
      <c r="G56" s="552">
        <f>IF(G$41=$B18,IF(G$40="dx",-$K18,-$J18),IF(G$41=$C18,IF(G$40="dx",$K18,$J18),0))</f>
        <v/>
      </c>
      <c r="H56" s="552">
        <f>IF(H$41=$B18,IF(H$40="dx",-$K18,-$J18),IF(H$41=$C18,IF(H$40="dx",$K18,$J18),0))</f>
        <v/>
      </c>
      <c r="I56" s="552">
        <f>IF(I$41=$B18,IF(I$40="dx",-$K18,-$J18),IF(I$41=$C18,IF(I$40="dx",$K18,$J18),0))</f>
        <v/>
      </c>
      <c r="J56" s="552">
        <f>IF(J$41=$B18,IF(J$40="dx",-$K18,-$J18),IF(J$41=$C18,IF(J$40="dx",$K18,$J18),0))</f>
        <v/>
      </c>
      <c r="K56" s="552">
        <f>IF(K$41=$B18,IF(K$40="dx",-$K18,-$J18),IF(K$41=$C18,IF(K$40="dx",$K18,$J18),0))</f>
        <v/>
      </c>
      <c r="L56" s="552">
        <f>IF(L$41=$B18,IF(L$40="dx",-$K18,-$J18),IF(L$41=$C18,IF(L$40="dx",$K18,$J18),0))</f>
        <v/>
      </c>
      <c r="M56" s="552">
        <f>IF(M$41=$B18,IF(M$40="dx",-$K18,-$J18),IF(M$41=$C18,IF(M$40="dx",$K18,$J18),0))</f>
        <v/>
      </c>
      <c r="N56" s="552">
        <f>IF(N$41=$B18,IF(N$40="dx",-$K18,-$J18),IF(N$41=$C18,IF(N$40="dx",$K18,$J18),0))</f>
        <v/>
      </c>
      <c r="O56" s="552">
        <f>IF(O$41=$B18,IF(O$40="dx",-$K18,-$J18),IF(O$41=$C18,IF(O$40="dx",$K18,$J18),0))</f>
        <v/>
      </c>
      <c r="P56" s="552">
        <f>IF(P$41=$B18,IF(P$40="dx",-$K18,-$J18),IF(P$41=$C18,IF(P$40="dx",$K18,$J18),0))</f>
        <v/>
      </c>
      <c r="Q56" s="619">
        <f>IF(Q$41=$B18,IF(Q$40="dx",-$K18,-$J18),IF(Q$41=$C18,IF(Q$40="dx",$K18,$J18),0))</f>
        <v/>
      </c>
      <c r="R56" s="620" t="n"/>
      <c r="S56" s="72">
        <f>M18</f>
        <v/>
      </c>
      <c r="T56" s="542" t="n"/>
    </row>
    <row r="57">
      <c r="A57" s="612" t="n"/>
      <c r="B57" s="618">
        <f>IF(B$41=$B19,IF(B$40="dx",-$K19,-$J19),IF(B$41=$C19,IF(B$40="dx",$K19,$J19),0))</f>
        <v/>
      </c>
      <c r="C57" s="552">
        <f>IF(C$41=$B19,IF(C$40="dx",-$K19,-$J19),IF(C$41=$C19,IF(C$40="dx",$K19,$J19),0))</f>
        <v/>
      </c>
      <c r="D57" s="552">
        <f>IF(D$41=$B19,IF(D$40="dx",-$K19,-$J19),IF(D$41=$C19,IF(D$40="dx",$K19,$J19),0))</f>
        <v/>
      </c>
      <c r="E57" s="552">
        <f>IF(E$41=$B19,IF(E$40="dx",-$K19,-$J19),IF(E$41=$C19,IF(E$40="dx",$K19,$J19),0))</f>
        <v/>
      </c>
      <c r="F57" s="552">
        <f>IF(F$41=$B19,IF(F$40="dx",-$K19,-$J19),IF(F$41=$C19,IF(F$40="dx",$K19,$J19),0))</f>
        <v/>
      </c>
      <c r="G57" s="552">
        <f>IF(G$41=$B19,IF(G$40="dx",-$K19,-$J19),IF(G$41=$C19,IF(G$40="dx",$K19,$J19),0))</f>
        <v/>
      </c>
      <c r="H57" s="552">
        <f>IF(H$41=$B19,IF(H$40="dx",-$K19,-$J19),IF(H$41=$C19,IF(H$40="dx",$K19,$J19),0))</f>
        <v/>
      </c>
      <c r="I57" s="552">
        <f>IF(I$41=$B19,IF(I$40="dx",-$K19,-$J19),IF(I$41=$C19,IF(I$40="dx",$K19,$J19),0))</f>
        <v/>
      </c>
      <c r="J57" s="552">
        <f>IF(J$41=$B19,IF(J$40="dx",-$K19,-$J19),IF(J$41=$C19,IF(J$40="dx",$K19,$J19),0))</f>
        <v/>
      </c>
      <c r="K57" s="552">
        <f>IF(K$41=$B19,IF(K$40="dx",-$K19,-$J19),IF(K$41=$C19,IF(K$40="dx",$K19,$J19),0))</f>
        <v/>
      </c>
      <c r="L57" s="552">
        <f>IF(L$41=$B19,IF(L$40="dx",-$K19,-$J19),IF(L$41=$C19,IF(L$40="dx",$K19,$J19),0))</f>
        <v/>
      </c>
      <c r="M57" s="552">
        <f>IF(M$41=$B19,IF(M$40="dx",-$K19,-$J19),IF(M$41=$C19,IF(M$40="dx",$K19,$J19),0))</f>
        <v/>
      </c>
      <c r="N57" s="552">
        <f>IF(N$41=$B19,IF(N$40="dx",-$K19,-$J19),IF(N$41=$C19,IF(N$40="dx",$K19,$J19),0))</f>
        <v/>
      </c>
      <c r="O57" s="552">
        <f>IF(O$41=$B19,IF(O$40="dx",-$K19,-$J19),IF(O$41=$C19,IF(O$40="dx",$K19,$J19),0))</f>
        <v/>
      </c>
      <c r="P57" s="552">
        <f>IF(P$41=$B19,IF(P$40="dx",-$K19,-$J19),IF(P$41=$C19,IF(P$40="dx",$K19,$J19),0))</f>
        <v/>
      </c>
      <c r="Q57" s="619">
        <f>IF(Q$41=$B19,IF(Q$40="dx",-$K19,-$J19),IF(Q$41=$C19,IF(Q$40="dx",$K19,$J19),0))</f>
        <v/>
      </c>
      <c r="R57" s="620" t="n"/>
      <c r="S57" s="72">
        <f>M19</f>
        <v/>
      </c>
      <c r="T57" s="542" t="n"/>
    </row>
    <row r="58">
      <c r="A58" s="612" t="n"/>
      <c r="B58" s="618">
        <f>IF(B$41=$B20,IF(B$40="dx",-$K20,-$J20),IF(B$41=$C20,IF(B$40="dx",$K20,$J20),0))</f>
        <v/>
      </c>
      <c r="C58" s="552">
        <f>IF(C$41=$B20,IF(C$40="dx",-$K20,-$J20),IF(C$41=$C20,IF(C$40="dx",$K20,$J20),0))</f>
        <v/>
      </c>
      <c r="D58" s="552">
        <f>IF(D$41=$B20,IF(D$40="dx",-$K20,-$J20),IF(D$41=$C20,IF(D$40="dx",$K20,$J20),0))</f>
        <v/>
      </c>
      <c r="E58" s="552">
        <f>IF(E$41=$B20,IF(E$40="dx",-$K20,-$J20),IF(E$41=$C20,IF(E$40="dx",$K20,$J20),0))</f>
        <v/>
      </c>
      <c r="F58" s="552">
        <f>IF(F$41=$B20,IF(F$40="dx",-$K20,-$J20),IF(F$41=$C20,IF(F$40="dx",$K20,$J20),0))</f>
        <v/>
      </c>
      <c r="G58" s="552">
        <f>IF(G$41=$B20,IF(G$40="dx",-$K20,-$J20),IF(G$41=$C20,IF(G$40="dx",$K20,$J20),0))</f>
        <v/>
      </c>
      <c r="H58" s="552">
        <f>IF(H$41=$B20,IF(H$40="dx",-$K20,-$J20),IF(H$41=$C20,IF(H$40="dx",$K20,$J20),0))</f>
        <v/>
      </c>
      <c r="I58" s="552">
        <f>IF(I$41=$B20,IF(I$40="dx",-$K20,-$J20),IF(I$41=$C20,IF(I$40="dx",$K20,$J20),0))</f>
        <v/>
      </c>
      <c r="J58" s="552">
        <f>IF(J$41=$B20,IF(J$40="dx",-$K20,-$J20),IF(J$41=$C20,IF(J$40="dx",$K20,$J20),0))</f>
        <v/>
      </c>
      <c r="K58" s="552">
        <f>IF(K$41=$B20,IF(K$40="dx",-$K20,-$J20),IF(K$41=$C20,IF(K$40="dx",$K20,$J20),0))</f>
        <v/>
      </c>
      <c r="L58" s="552">
        <f>IF(L$41=$B20,IF(L$40="dx",-$K20,-$J20),IF(L$41=$C20,IF(L$40="dx",$K20,$J20),0))</f>
        <v/>
      </c>
      <c r="M58" s="552">
        <f>IF(M$41=$B20,IF(M$40="dx",-$K20,-$J20),IF(M$41=$C20,IF(M$40="dx",$K20,$J20),0))</f>
        <v/>
      </c>
      <c r="N58" s="552">
        <f>IF(N$41=$B20,IF(N$40="dx",-$K20,-$J20),IF(N$41=$C20,IF(N$40="dx",$K20,$J20),0))</f>
        <v/>
      </c>
      <c r="O58" s="552">
        <f>IF(O$41=$B20,IF(O$40="dx",-$K20,-$J20),IF(O$41=$C20,IF(O$40="dx",$K20,$J20),0))</f>
        <v/>
      </c>
      <c r="P58" s="552">
        <f>IF(P$41=$B20,IF(P$40="dx",-$K20,-$J20),IF(P$41=$C20,IF(P$40="dx",$K20,$J20),0))</f>
        <v/>
      </c>
      <c r="Q58" s="619">
        <f>IF(Q$41=$B20,IF(Q$40="dx",-$K20,-$J20),IF(Q$41=$C20,IF(Q$40="dx",$K20,$J20),0))</f>
        <v/>
      </c>
      <c r="R58" s="620" t="n"/>
      <c r="S58" s="72">
        <f>M20</f>
        <v/>
      </c>
      <c r="T58" s="542" t="n"/>
    </row>
    <row r="59">
      <c r="A59" s="612" t="n"/>
      <c r="B59" s="618">
        <f>IF(B$41=$B21,IF(B$40="dx",-$K21,-$J21),IF(B$41=$C21,IF(B$40="dx",$K21,$J21),0))</f>
        <v/>
      </c>
      <c r="C59" s="552">
        <f>IF(C$41=$B21,IF(C$40="dx",-$K21,-$J21),IF(C$41=$C21,IF(C$40="dx",$K21,$J21),0))</f>
        <v/>
      </c>
      <c r="D59" s="552">
        <f>IF(D$41=$B21,IF(D$40="dx",-$K21,-$J21),IF(D$41=$C21,IF(D$40="dx",$K21,$J21),0))</f>
        <v/>
      </c>
      <c r="E59" s="552">
        <f>IF(E$41=$B21,IF(E$40="dx",-$K21,-$J21),IF(E$41=$C21,IF(E$40="dx",$K21,$J21),0))</f>
        <v/>
      </c>
      <c r="F59" s="552">
        <f>IF(F$41=$B21,IF(F$40="dx",-$K21,-$J21),IF(F$41=$C21,IF(F$40="dx",$K21,$J21),0))</f>
        <v/>
      </c>
      <c r="G59" s="552">
        <f>IF(G$41=$B21,IF(G$40="dx",-$K21,-$J21),IF(G$41=$C21,IF(G$40="dx",$K21,$J21),0))</f>
        <v/>
      </c>
      <c r="H59" s="552">
        <f>IF(H$41=$B21,IF(H$40="dx",-$K21,-$J21),IF(H$41=$C21,IF(H$40="dx",$K21,$J21),0))</f>
        <v/>
      </c>
      <c r="I59" s="552">
        <f>IF(I$41=$B21,IF(I$40="dx",-$K21,-$J21),IF(I$41=$C21,IF(I$40="dx",$K21,$J21),0))</f>
        <v/>
      </c>
      <c r="J59" s="552">
        <f>IF(J$41=$B21,IF(J$40="dx",-$K21,-$J21),IF(J$41=$C21,IF(J$40="dx",$K21,$J21),0))</f>
        <v/>
      </c>
      <c r="K59" s="552">
        <f>IF(K$41=$B21,IF(K$40="dx",-$K21,-$J21),IF(K$41=$C21,IF(K$40="dx",$K21,$J21),0))</f>
        <v/>
      </c>
      <c r="L59" s="552">
        <f>IF(L$41=$B21,IF(L$40="dx",-$K21,-$J21),IF(L$41=$C21,IF(L$40="dx",$K21,$J21),0))</f>
        <v/>
      </c>
      <c r="M59" s="552">
        <f>IF(M$41=$B21,IF(M$40="dx",-$K21,-$J21),IF(M$41=$C21,IF(M$40="dx",$K21,$J21),0))</f>
        <v/>
      </c>
      <c r="N59" s="552">
        <f>IF(N$41=$B21,IF(N$40="dx",-$K21,-$J21),IF(N$41=$C21,IF(N$40="dx",$K21,$J21),0))</f>
        <v/>
      </c>
      <c r="O59" s="552">
        <f>IF(O$41=$B21,IF(O$40="dx",-$K21,-$J21),IF(O$41=$C21,IF(O$40="dx",$K21,$J21),0))</f>
        <v/>
      </c>
      <c r="P59" s="552">
        <f>IF(P$41=$B21,IF(P$40="dx",-$K21,-$J21),IF(P$41=$C21,IF(P$40="dx",$K21,$J21),0))</f>
        <v/>
      </c>
      <c r="Q59" s="619">
        <f>IF(Q$41=$B21,IF(Q$40="dx",-$K21,-$J21),IF(Q$41=$C21,IF(Q$40="dx",$K21,$J21),0))</f>
        <v/>
      </c>
      <c r="R59" s="620" t="n"/>
      <c r="S59" s="72">
        <f>M21</f>
        <v/>
      </c>
      <c r="T59" s="542" t="n"/>
    </row>
    <row r="60">
      <c r="A60" s="612" t="n"/>
      <c r="B60" s="618">
        <f>IF(B$41=$B22,IF(B$40="dx",-$K22,-$J22),IF(B$41=$C22,IF(B$40="dx",$K22,$J22),0))</f>
        <v/>
      </c>
      <c r="C60" s="552">
        <f>IF(C$41=$B22,IF(C$40="dx",-$K22,-$J22),IF(C$41=$C22,IF(C$40="dx",$K22,$J22),0))</f>
        <v/>
      </c>
      <c r="D60" s="552">
        <f>IF(D$41=$B22,IF(D$40="dx",-$K22,-$J22),IF(D$41=$C22,IF(D$40="dx",$K22,$J22),0))</f>
        <v/>
      </c>
      <c r="E60" s="552">
        <f>IF(E$41=$B22,IF(E$40="dx",-$K22,-$J22),IF(E$41=$C22,IF(E$40="dx",$K22,$J22),0))</f>
        <v/>
      </c>
      <c r="F60" s="552">
        <f>IF(F$41=$B22,IF(F$40="dx",-$K22,-$J22),IF(F$41=$C22,IF(F$40="dx",$K22,$J22),0))</f>
        <v/>
      </c>
      <c r="G60" s="552">
        <f>IF(G$41=$B22,IF(G$40="dx",-$K22,-$J22),IF(G$41=$C22,IF(G$40="dx",$K22,$J22),0))</f>
        <v/>
      </c>
      <c r="H60" s="552">
        <f>IF(H$41=$B22,IF(H$40="dx",-$K22,-$J22),IF(H$41=$C22,IF(H$40="dx",$K22,$J22),0))</f>
        <v/>
      </c>
      <c r="I60" s="552">
        <f>IF(I$41=$B22,IF(I$40="dx",-$K22,-$J22),IF(I$41=$C22,IF(I$40="dx",$K22,$J22),0))</f>
        <v/>
      </c>
      <c r="J60" s="552">
        <f>IF(J$41=$B22,IF(J$40="dx",-$K22,-$J22),IF(J$41=$C22,IF(J$40="dx",$K22,$J22),0))</f>
        <v/>
      </c>
      <c r="K60" s="552">
        <f>IF(K$41=$B22,IF(K$40="dx",-$K22,-$J22),IF(K$41=$C22,IF(K$40="dx",$K22,$J22),0))</f>
        <v/>
      </c>
      <c r="L60" s="552">
        <f>IF(L$41=$B22,IF(L$40="dx",-$K22,-$J22),IF(L$41=$C22,IF(L$40="dx",$K22,$J22),0))</f>
        <v/>
      </c>
      <c r="M60" s="552">
        <f>IF(M$41=$B22,IF(M$40="dx",-$K22,-$J22),IF(M$41=$C22,IF(M$40="dx",$K22,$J22),0))</f>
        <v/>
      </c>
      <c r="N60" s="552">
        <f>IF(N$41=$B22,IF(N$40="dx",-$K22,-$J22),IF(N$41=$C22,IF(N$40="dx",$K22,$J22),0))</f>
        <v/>
      </c>
      <c r="O60" s="552">
        <f>IF(O$41=$B22,IF(O$40="dx",-$K22,-$J22),IF(O$41=$C22,IF(O$40="dx",$K22,$J22),0))</f>
        <v/>
      </c>
      <c r="P60" s="552">
        <f>IF(P$41=$B22,IF(P$40="dx",-$K22,-$J22),IF(P$41=$C22,IF(P$40="dx",$K22,$J22),0))</f>
        <v/>
      </c>
      <c r="Q60" s="619">
        <f>IF(Q$41=$B22,IF(Q$40="dx",-$K22,-$J22),IF(Q$41=$C22,IF(Q$40="dx",$K22,$J22),0))</f>
        <v/>
      </c>
      <c r="R60" s="620" t="n"/>
      <c r="S60" s="72">
        <f>M22</f>
        <v/>
      </c>
      <c r="T60" s="542" t="n"/>
    </row>
    <row r="61">
      <c r="A61" s="612" t="n"/>
      <c r="B61" s="618">
        <f>IF(B$41=$B23,IF(B$40="dx",-$K23,-$J23),IF(B$41=$C23,IF(B$40="dx",$K23,$J23),0))</f>
        <v/>
      </c>
      <c r="C61" s="552">
        <f>IF(C$41=$B23,IF(C$40="dx",-$K23,-$J23),IF(C$41=$C23,IF(C$40="dx",$K23,$J23),0))</f>
        <v/>
      </c>
      <c r="D61" s="552">
        <f>IF(D$41=$B23,IF(D$40="dx",-$K23,-$J23),IF(D$41=$C23,IF(D$40="dx",$K23,$J23),0))</f>
        <v/>
      </c>
      <c r="E61" s="552">
        <f>IF(E$41=$B23,IF(E$40="dx",-$K23,-$J23),IF(E$41=$C23,IF(E$40="dx",$K23,$J23),0))</f>
        <v/>
      </c>
      <c r="F61" s="552">
        <f>IF(F$41=$B23,IF(F$40="dx",-$K23,-$J23),IF(F$41=$C23,IF(F$40="dx",$K23,$J23),0))</f>
        <v/>
      </c>
      <c r="G61" s="552">
        <f>IF(G$41=$B23,IF(G$40="dx",-$K23,-$J23),IF(G$41=$C23,IF(G$40="dx",$K23,$J23),0))</f>
        <v/>
      </c>
      <c r="H61" s="552">
        <f>IF(H$41=$B23,IF(H$40="dx",-$K23,-$J23),IF(H$41=$C23,IF(H$40="dx",$K23,$J23),0))</f>
        <v/>
      </c>
      <c r="I61" s="552">
        <f>IF(I$41=$B23,IF(I$40="dx",-$K23,-$J23),IF(I$41=$C23,IF(I$40="dx",$K23,$J23),0))</f>
        <v/>
      </c>
      <c r="J61" s="552">
        <f>IF(J$41=$B23,IF(J$40="dx",-$K23,-$J23),IF(J$41=$C23,IF(J$40="dx",$K23,$J23),0))</f>
        <v/>
      </c>
      <c r="K61" s="552">
        <f>IF(K$41=$B23,IF(K$40="dx",-$K23,-$J23),IF(K$41=$C23,IF(K$40="dx",$K23,$J23),0))</f>
        <v/>
      </c>
      <c r="L61" s="552">
        <f>IF(L$41=$B23,IF(L$40="dx",-$K23,-$J23),IF(L$41=$C23,IF(L$40="dx",$K23,$J23),0))</f>
        <v/>
      </c>
      <c r="M61" s="552">
        <f>IF(M$41=$B23,IF(M$40="dx",-$K23,-$J23),IF(M$41=$C23,IF(M$40="dx",$K23,$J23),0))</f>
        <v/>
      </c>
      <c r="N61" s="552">
        <f>IF(N$41=$B23,IF(N$40="dx",-$K23,-$J23),IF(N$41=$C23,IF(N$40="dx",$K23,$J23),0))</f>
        <v/>
      </c>
      <c r="O61" s="552">
        <f>IF(O$41=$B23,IF(O$40="dx",-$K23,-$J23),IF(O$41=$C23,IF(O$40="dx",$K23,$J23),0))</f>
        <v/>
      </c>
      <c r="P61" s="552">
        <f>IF(P$41=$B23,IF(P$40="dx",-$K23,-$J23),IF(P$41=$C23,IF(P$40="dx",$K23,$J23),0))</f>
        <v/>
      </c>
      <c r="Q61" s="619">
        <f>IF(Q$41=$B23,IF(Q$40="dx",-$K23,-$J23),IF(Q$41=$C23,IF(Q$40="dx",$K23,$J23),0))</f>
        <v/>
      </c>
      <c r="R61" s="620" t="n"/>
      <c r="S61" s="72">
        <f>M23</f>
        <v/>
      </c>
      <c r="T61" s="542" t="n"/>
    </row>
    <row r="62">
      <c r="A62" s="612" t="n"/>
      <c r="B62" s="621">
        <f>IF(B$41=$C26,IF(B$40="dx",$R26,-$Q26),IF(B$41=$D26,IF(B$40="dx",-$T26,$S26),IF(B$41=$B26,IF(B$40="dx",($T26-$R26),($Q26-$S26)),0)))</f>
        <v/>
      </c>
      <c r="C62" s="622">
        <f>IF(C$41=$C26,IF(C$40="dx",$R26,-$Q26),IF(C$41=$D26,IF(C$40="dx",-$T26,$S26),IF(C$41=$B26,IF(C$40="dx",($T26-$R26),($Q26-$S26)),0)))</f>
        <v/>
      </c>
      <c r="D62" s="622">
        <f>IF(D$41=$C26,IF(D$40="dx",$R26,-$Q26),IF(D$41=$D26,IF(D$40="dx",-$T26,$S26),IF(D$41=$B26,IF(D$40="dx",($T26-$R26),($Q26-$S26)),0)))</f>
        <v/>
      </c>
      <c r="E62" s="622">
        <f>IF(E$41=$C26,IF(E$40="dx",$R26,-$Q26),IF(E$41=$D26,IF(E$40="dx",-$T26,$S26),IF(E$41=$B26,IF(E$40="dx",($T26-$R26),($Q26-$S26)),0)))</f>
        <v/>
      </c>
      <c r="F62" s="622">
        <f>IF(F$41=$C26,IF(F$40="dx",$R26,-$Q26),IF(F$41=$D26,IF(F$40="dx",-$T26,$S26),IF(F$41=$B26,IF(F$40="dx",($T26-$R26),($Q26-$S26)),0)))</f>
        <v/>
      </c>
      <c r="G62" s="622">
        <f>IF(G$41=$C26,IF(G$40="dx",$R26,-$Q26),IF(G$41=$D26,IF(G$40="dx",-$T26,$S26),IF(G$41=$B26,IF(G$40="dx",($T26-$R26),($Q26-$S26)),0)))</f>
        <v/>
      </c>
      <c r="H62" s="622">
        <f>IF(H$41=$C26,IF(H$40="dx",$R26,-$Q26),IF(H$41=$D26,IF(H$40="dx",-$T26,$S26),IF(H$41=$B26,IF(H$40="dx",($T26-$R26),($Q26-$S26)),0)))</f>
        <v/>
      </c>
      <c r="I62" s="622">
        <f>IF(I$41=$C26,IF(I$40="dx",$R26,-$Q26),IF(I$41=$D26,IF(I$40="dx",-$T26,$S26),IF(I$41=$B26,IF(I$40="dx",($T26-$R26),($Q26-$S26)),0)))</f>
        <v/>
      </c>
      <c r="J62" s="622">
        <f>IF(J$41=$C26,IF(J$40="dx",$R26,-$Q26),IF(J$41=$D26,IF(J$40="dx",-$T26,$S26),IF(J$41=$B26,IF(J$40="dx",($T26-$R26),($Q26-$S26)),0)))</f>
        <v/>
      </c>
      <c r="K62" s="622">
        <f>IF(K$41=$C26,IF(K$40="dx",$R26,-$Q26),IF(K$41=$D26,IF(K$40="dx",-$T26,$S26),IF(K$41=$B26,IF(K$40="dx",($T26-$R26),($Q26-$S26)),0)))</f>
        <v/>
      </c>
      <c r="L62" s="622">
        <f>IF(L$41=$C26,IF(L$40="dx",$R26,-$Q26),IF(L$41=$D26,IF(L$40="dx",-$T26,$S26),IF(L$41=$B26,IF(L$40="dx",($T26-$R26),($Q26-$S26)),0)))</f>
        <v/>
      </c>
      <c r="M62" s="622">
        <f>IF(M$41=$C26,IF(M$40="dx",$R26,-$Q26),IF(M$41=$D26,IF(M$40="dx",-$T26,$S26),IF(M$41=$B26,IF(M$40="dx",($T26-$R26),($Q26-$S26)),0)))</f>
        <v/>
      </c>
      <c r="N62" s="622">
        <f>IF(N$41=$C26,IF(N$40="dx",$R26,-$Q26),IF(N$41=$D26,IF(N$40="dx",-$T26,$S26),IF(N$41=$B26,IF(N$40="dx",($T26-$R26),($Q26-$S26)),0)))</f>
        <v/>
      </c>
      <c r="O62" s="622">
        <f>IF(O$41=$C26,IF(O$40="dx",$R26,-$Q26),IF(O$41=$D26,IF(O$40="dx",-$T26,$S26),IF(O$41=$B26,IF(O$40="dx",($T26-$R26),($Q26-$S26)),0)))</f>
        <v/>
      </c>
      <c r="P62" s="622">
        <f>IF(P$41=$C26,IF(P$40="dx",$R26,-$Q26),IF(P$41=$D26,IF(P$40="dx",-$T26,$S26),IF(P$41=$B26,IF(P$40="dx",($T26-$R26),($Q26-$S26)),0)))</f>
        <v/>
      </c>
      <c r="Q62" s="623">
        <f>IF(Q$41=$C26,IF(Q$40="dx",$R26,-$Q26),IF(Q$41=$D26,IF(Q$40="dx",-$T26,$S26),IF(Q$41=$B26,IF(Q$40="dx",($T26-$R26),($Q26-$S26)),0)))</f>
        <v/>
      </c>
      <c r="R62" s="624" t="n"/>
      <c r="S62" s="89">
        <f>P26*10000</f>
        <v/>
      </c>
      <c r="T62" s="589" t="n"/>
    </row>
    <row r="63">
      <c r="A63" s="612" t="n"/>
      <c r="B63" s="618">
        <f>IF(B$41=$C27,IF(B$40="dx",$R27,-$Q27),IF(B$41=$D27,IF(B$40="dx",-$T27,$S27),IF(B$41=$B27,IF(B$40="dx",($T27-$R27),($Q27-$S27)),0)))</f>
        <v/>
      </c>
      <c r="C63" s="552">
        <f>IF(C$41=$C27,IF(C$40="dx",$R27,-$Q27),IF(C$41=$D27,IF(C$40="dx",-$T27,$S27),IF(C$41=$B27,IF(C$40="dx",($T27-$R27),($Q27-$S27)),0)))</f>
        <v/>
      </c>
      <c r="D63" s="552">
        <f>IF(D$41=$C27,IF(D$40="dx",$R27,-$Q27),IF(D$41=$D27,IF(D$40="dx",-$T27,$S27),IF(D$41=$B27,IF(D$40="dx",($T27-$R27),($Q27-$S27)),0)))</f>
        <v/>
      </c>
      <c r="E63" s="552">
        <f>IF(E$41=$C27,IF(E$40="dx",$R27,-$Q27),IF(E$41=$D27,IF(E$40="dx",-$T27,$S27),IF(E$41=$B27,IF(E$40="dx",($T27-$R27),($Q27-$S27)),0)))</f>
        <v/>
      </c>
      <c r="F63" s="1">
        <f>IF(F$41=$C27,IF(F$40="dx",$R27,-$Q27),IF(F$41=$D27,IF(F$40="dx",-$T27,$S27),IF(F$41=$B27,IF(F$40="dx",($T27-$R27),($Q27-$S27)),0)))</f>
        <v/>
      </c>
      <c r="G63" s="1">
        <f>IF(G$41=$C27,IF(G$40="dx",$R27,-$Q27),IF(G$41=$D27,IF(G$40="dx",-$T27,$S27),IF(G$41=$B27,IF(G$40="dx",($T27-$R27),($Q27-$S27)),0)))</f>
        <v/>
      </c>
      <c r="H63" s="1">
        <f>IF(H$41=$C27,IF(H$40="dx",$R27,-$Q27),IF(H$41=$D27,IF(H$40="dx",-$T27,$S27),IF(H$41=$B27,IF(H$40="dx",($T27-$R27),($Q27-$S27)),0)))</f>
        <v/>
      </c>
      <c r="I63" s="1">
        <f>IF(I$41=$C27,IF(I$40="dx",$R27,-$Q27),IF(I$41=$D27,IF(I$40="dx",-$T27,$S27),IF(I$41=$B27,IF(I$40="dx",($T27-$R27),($Q27-$S27)),0)))</f>
        <v/>
      </c>
      <c r="J63" s="1">
        <f>IF(J$41=$C27,IF(J$40="dx",$R27,-$Q27),IF(J$41=$D27,IF(J$40="dx",-$T27,$S27),IF(J$41=$B27,IF(J$40="dx",($T27-$R27),($Q27-$S27)),0)))</f>
        <v/>
      </c>
      <c r="K63" s="1">
        <f>IF(K$41=$C27,IF(K$40="dx",$R27,-$Q27),IF(K$41=$D27,IF(K$40="dx",-$T27,$S27),IF(K$41=$B27,IF(K$40="dx",($T27-$R27),($Q27-$S27)),0)))</f>
        <v/>
      </c>
      <c r="L63" s="1">
        <f>IF(L$41=$C27,IF(L$40="dx",$R27,-$Q27),IF(L$41=$D27,IF(L$40="dx",-$T27,$S27),IF(L$41=$B27,IF(L$40="dx",($T27-$R27),($Q27-$S27)),0)))</f>
        <v/>
      </c>
      <c r="M63" s="1">
        <f>IF(M$41=$C27,IF(M$40="dx",$R27,-$Q27),IF(M$41=$D27,IF(M$40="dx",-$T27,$S27),IF(M$41=$B27,IF(M$40="dx",($T27-$R27),($Q27-$S27)),0)))</f>
        <v/>
      </c>
      <c r="N63" s="1">
        <f>IF(N$41=$C27,IF(N$40="dx",$R27,-$Q27),IF(N$41=$D27,IF(N$40="dx",-$T27,$S27),IF(N$41=$B27,IF(N$40="dx",($T27-$R27),($Q27-$S27)),0)))</f>
        <v/>
      </c>
      <c r="O63" s="1">
        <f>IF(O$41=$C27,IF(O$40="dx",$R27,-$Q27),IF(O$41=$D27,IF(O$40="dx",-$T27,$S27),IF(O$41=$B27,IF(O$40="dx",($T27-$R27),($Q27-$S27)),0)))</f>
        <v/>
      </c>
      <c r="P63" s="552">
        <f>IF(P$41=$C27,IF(P$40="dx",$R27,-$Q27),IF(P$41=$D27,IF(P$40="dx",-$T27,$S27),IF(P$41=$B27,IF(P$40="dx",($T27-$R27),($Q27-$S27)),0)))</f>
        <v/>
      </c>
      <c r="Q63" s="619">
        <f>IF(Q$41=$C27,IF(Q$40="dx",$R27,-$Q27),IF(Q$41=$D27,IF(Q$40="dx",-$T27,$S27),IF(Q$41=$B27,IF(Q$40="dx",($T27-$R27),($Q27-$S27)),0)))</f>
        <v/>
      </c>
      <c r="R63" s="625" t="n"/>
      <c r="S63" s="90">
        <f>P27*10000</f>
        <v/>
      </c>
      <c r="T63" s="626" t="n"/>
    </row>
    <row r="64">
      <c r="A64" s="612" t="n"/>
      <c r="B64" s="627">
        <f>IF(B$41=$C28,IF(B$40="dx",$R28,-$Q28),IF(B$41=$D28,IF(B$40="dx",-$T28,$S28),IF(B$41=$B28,IF(B$40="dx",($T28-$R28),($Q28-$S28)),0)))</f>
        <v/>
      </c>
      <c r="C64" s="1">
        <f>IF(C$41=$C28,IF(C$40="dx",$R28,-$Q28),IF(C$41=$D28,IF(C$40="dx",-$T28,$S28),IF(C$41=$B28,IF(C$40="dx",($T28-$R28),($Q28-$S28)),0)))</f>
        <v/>
      </c>
      <c r="D64" s="552">
        <f>IF(D$41=$C28,IF(D$40="dx",$R28,-$Q28),IF(D$41=$D28,IF(D$40="dx",-$T28,$S28),IF(D$41=$B28,IF(D$40="dx",($T28-$R28),($Q28-$S28)),0)))</f>
        <v/>
      </c>
      <c r="E64" s="552">
        <f>IF(E$41=$C28,IF(E$40="dx",$R28,-$Q28),IF(E$41=$D28,IF(E$40="dx",-$T28,$S28),IF(E$41=$B28,IF(E$40="dx",($T28-$R28),($Q28-$S28)),0)))</f>
        <v/>
      </c>
      <c r="F64" s="552">
        <f>IF(F$41=$C28,IF(F$40="dx",$R28,-$Q28),IF(F$41=$D28,IF(F$40="dx",-$T28,$S28),IF(F$41=$B28,IF(F$40="dx",($T28-$R28),($Q28-$S28)),0)))</f>
        <v/>
      </c>
      <c r="G64" s="552">
        <f>IF(G$41=$C28,IF(G$40="dx",$R28,-$Q28),IF(G$41=$D28,IF(G$40="dx",-$T28,$S28),IF(G$41=$B28,IF(G$40="dx",($T28-$R28),($Q28-$S28)),0)))</f>
        <v/>
      </c>
      <c r="H64" s="1">
        <f>IF(H$41=$C28,IF(H$40="dx",$R28,-$Q28),IF(H$41=$D28,IF(H$40="dx",-$T28,$S28),IF(H$41=$B28,IF(H$40="dx",($T28-$R28),($Q28-$S28)),0)))</f>
        <v/>
      </c>
      <c r="I64" s="1">
        <f>IF(I$41=$C28,IF(I$40="dx",$R28,-$Q28),IF(I$41=$D28,IF(I$40="dx",-$T28,$S28),IF(I$41=$B28,IF(I$40="dx",($T28-$R28),($Q28-$S28)),0)))</f>
        <v/>
      </c>
      <c r="J64" s="1">
        <f>IF(J$41=$C28,IF(J$40="dx",$R28,-$Q28),IF(J$41=$D28,IF(J$40="dx",-$T28,$S28),IF(J$41=$B28,IF(J$40="dx",($T28-$R28),($Q28-$S28)),0)))</f>
        <v/>
      </c>
      <c r="K64" s="1">
        <f>IF(K$41=$C28,IF(K$40="dx",$R28,-$Q28),IF(K$41=$D28,IF(K$40="dx",-$T28,$S28),IF(K$41=$B28,IF(K$40="dx",($T28-$R28),($Q28-$S28)),0)))</f>
        <v/>
      </c>
      <c r="L64" s="1">
        <f>IF(L$41=$C28,IF(L$40="dx",$R28,-$Q28),IF(L$41=$D28,IF(L$40="dx",-$T28,$S28),IF(L$41=$B28,IF(L$40="dx",($T28-$R28),($Q28-$S28)),0)))</f>
        <v/>
      </c>
      <c r="M64" s="1">
        <f>IF(M$41=$C28,IF(M$40="dx",$R28,-$Q28),IF(M$41=$D28,IF(M$40="dx",-$T28,$S28),IF(M$41=$B28,IF(M$40="dx",($T28-$R28),($Q28-$S28)),0)))</f>
        <v/>
      </c>
      <c r="N64" s="1">
        <f>IF(N$41=$C28,IF(N$40="dx",$R28,-$Q28),IF(N$41=$D28,IF(N$40="dx",-$T28,$S28),IF(N$41=$B28,IF(N$40="dx",($T28-$R28),($Q28-$S28)),0)))</f>
        <v/>
      </c>
      <c r="O64" s="1">
        <f>IF(O$41=$C28,IF(O$40="dx",$R28,-$Q28),IF(O$41=$D28,IF(O$40="dx",-$T28,$S28),IF(O$41=$B28,IF(O$40="dx",($T28-$R28),($Q28-$S28)),0)))</f>
        <v/>
      </c>
      <c r="P64" s="552">
        <f>IF(P$41=$C28,IF(P$40="dx",$R28,-$Q28),IF(P$41=$D28,IF(P$40="dx",-$T28,$S28),IF(P$41=$B28,IF(P$40="dx",($T28-$R28),($Q28-$S28)),0)))</f>
        <v/>
      </c>
      <c r="Q64" s="619">
        <f>IF(Q$41=$C28,IF(Q$40="dx",$R28,-$Q28),IF(Q$41=$D28,IF(Q$40="dx",-$T28,$S28),IF(Q$41=$B28,IF(Q$40="dx",($T28-$R28),($Q28-$S28)),0)))</f>
        <v/>
      </c>
      <c r="R64" s="628" t="n"/>
      <c r="S64" s="90">
        <f>P28*10000</f>
        <v/>
      </c>
      <c r="T64" s="629" t="n"/>
    </row>
    <row r="65">
      <c r="B65" s="627">
        <f>IF(B$41=$C29,IF(B$40="dx",$R29,-$Q29),IF(B$41=$D29,IF(B$40="dx",-$T29,$S29),IF(B$41=$B29,IF(B$40="dx",($T29-$R29),($Q29-$S29)),0)))</f>
        <v/>
      </c>
      <c r="C65" s="1">
        <f>IF(C$41=$C29,IF(C$40="dx",$R29,-$Q29),IF(C$41=$D29,IF(C$40="dx",-$T29,$S29),IF(C$41=$B29,IF(C$40="dx",($T29-$R29),($Q29-$S29)),0)))</f>
        <v/>
      </c>
      <c r="D65" s="1">
        <f>IF(D$41=$C29,IF(D$40="dx",$R29,-$Q29),IF(D$41=$D29,IF(D$40="dx",-$T29,$S29),IF(D$41=$B29,IF(D$40="dx",($T29-$R29),($Q29-$S29)),0)))</f>
        <v/>
      </c>
      <c r="E65" s="1">
        <f>IF(E$41=$C29,IF(E$40="dx",$R29,-$Q29),IF(E$41=$D29,IF(E$40="dx",-$T29,$S29),IF(E$41=$B29,IF(E$40="dx",($T29-$R29),($Q29-$S29)),0)))</f>
        <v/>
      </c>
      <c r="F65" s="552">
        <f>IF(F$41=$C29,IF(F$40="dx",$R29,-$Q29),IF(F$41=$D29,IF(F$40="dx",-$T29,$S29),IF(F$41=$B29,IF(F$40="dx",($T29-$R29),($Q29-$S29)),0)))</f>
        <v/>
      </c>
      <c r="G65" s="552">
        <f>IF(G$41=$C29,IF(G$40="dx",$R29,-$Q29),IF(G$41=$D29,IF(G$40="dx",-$T29,$S29),IF(G$41=$B29,IF(G$40="dx",($T29-$R29),($Q29-$S29)),0)))</f>
        <v/>
      </c>
      <c r="H65" s="552">
        <f>IF(H$41=$C29,IF(H$40="dx",$R29,-$Q29),IF(H$41=$D29,IF(H$40="dx",-$T29,$S29),IF(H$41=$B29,IF(H$40="dx",($T29-$R29),($Q29-$S29)),0)))</f>
        <v/>
      </c>
      <c r="I65" s="552">
        <f>IF(I$41=$C29,IF(I$40="dx",$R29,-$Q29),IF(I$41=$D29,IF(I$40="dx",-$T29,$S29),IF(I$41=$B29,IF(I$40="dx",($T29-$R29),($Q29-$S29)),0)))</f>
        <v/>
      </c>
      <c r="J65" s="1">
        <f>IF(J$41=$C29,IF(J$40="dx",$R29,-$Q29),IF(J$41=$D29,IF(J$40="dx",-$T29,$S29),IF(J$41=$B29,IF(J$40="dx",($T29-$R29),($Q29-$S29)),0)))</f>
        <v/>
      </c>
      <c r="K65" s="1">
        <f>IF(K$41=$C29,IF(K$40="dx",$R29,-$Q29),IF(K$41=$D29,IF(K$40="dx",-$T29,$S29),IF(K$41=$B29,IF(K$40="dx",($T29-$R29),($Q29-$S29)),0)))</f>
        <v/>
      </c>
      <c r="L65" s="1">
        <f>IF(L$41=$C29,IF(L$40="dx",$R29,-$Q29),IF(L$41=$D29,IF(L$40="dx",-$T29,$S29),IF(L$41=$B29,IF(L$40="dx",($T29-$R29),($Q29-$S29)),0)))</f>
        <v/>
      </c>
      <c r="M65" s="1">
        <f>IF(M$41=$C29,IF(M$40="dx",$R29,-$Q29),IF(M$41=$D29,IF(M$40="dx",-$T29,$S29),IF(M$41=$B29,IF(M$40="dx",($T29-$R29),($Q29-$S29)),0)))</f>
        <v/>
      </c>
      <c r="N65" s="1">
        <f>IF(N$41=$C29,IF(N$40="dx",$R29,-$Q29),IF(N$41=$D29,IF(N$40="dx",-$T29,$S29),IF(N$41=$B29,IF(N$40="dx",($T29-$R29),($Q29-$S29)),0)))</f>
        <v/>
      </c>
      <c r="O65" s="1">
        <f>IF(O$41=$C29,IF(O$40="dx",$R29,-$Q29),IF(O$41=$D29,IF(O$40="dx",-$T29,$S29),IF(O$41=$B29,IF(O$40="dx",($T29-$R29),($Q29-$S29)),0)))</f>
        <v/>
      </c>
      <c r="P65" s="552">
        <f>IF(P$41=$C29,IF(P$40="dx",$R29,-$Q29),IF(P$41=$D29,IF(P$40="dx",-$T29,$S29),IF(P$41=$B29,IF(P$40="dx",($T29-$R29),($Q29-$S29)),0)))</f>
        <v/>
      </c>
      <c r="Q65" s="619">
        <f>IF(Q$41=$C29,IF(Q$40="dx",$R29,-$Q29),IF(Q$41=$D29,IF(Q$40="dx",-$T29,$S29),IF(Q$41=$B29,IF(Q$40="dx",($T29-$R29),($Q29-$S29)),0)))</f>
        <v/>
      </c>
      <c r="R65" s="628" t="n"/>
      <c r="S65" s="90">
        <f>P29*10000</f>
        <v/>
      </c>
      <c r="T65" s="629" t="n"/>
    </row>
    <row r="66">
      <c r="B66" s="627">
        <f>IF(B$41=$C30,IF(B$40="dx",$R30,-$Q30),IF(B$41=$D30,IF(B$40="dx",-$T30,$S30),IF(B$41=$B30,IF(B$40="dx",($T30-$R30),($Q30-$S30)),0)))</f>
        <v/>
      </c>
      <c r="C66" s="1">
        <f>IF(C$41=$C30,IF(C$40="dx",$R30,-$Q30),IF(C$41=$D30,IF(C$40="dx",-$T30,$S30),IF(C$41=$B30,IF(C$40="dx",($T30-$R30),($Q30-$S30)),0)))</f>
        <v/>
      </c>
      <c r="D66" s="1">
        <f>IF(D$41=$C30,IF(D$40="dx",$R30,-$Q30),IF(D$41=$D30,IF(D$40="dx",-$T30,$S30),IF(D$41=$B30,IF(D$40="dx",($T30-$R30),($Q30-$S30)),0)))</f>
        <v/>
      </c>
      <c r="E66" s="1">
        <f>IF(E$41=$C30,IF(E$40="dx",$R30,-$Q30),IF(E$41=$D30,IF(E$40="dx",-$T30,$S30),IF(E$41=$B30,IF(E$40="dx",($T30-$R30),($Q30-$S30)),0)))</f>
        <v/>
      </c>
      <c r="F66" s="1">
        <f>IF(F$41=$C30,IF(F$40="dx",$R30,-$Q30),IF(F$41=$D30,IF(F$40="dx",-$T30,$S30),IF(F$41=$B30,IF(F$40="dx",($T30-$R30),($Q30-$S30)),0)))</f>
        <v/>
      </c>
      <c r="G66" s="1">
        <f>IF(G$41=$C30,IF(G$40="dx",$R30,-$Q30),IF(G$41=$D30,IF(G$40="dx",-$T30,$S30),IF(G$41=$B30,IF(G$40="dx",($T30-$R30),($Q30-$S30)),0)))</f>
        <v/>
      </c>
      <c r="H66" s="552">
        <f>IF(H$41=$C30,IF(H$40="dx",$R30,-$Q30),IF(H$41=$D30,IF(H$40="dx",-$T30,$S30),IF(H$41=$B30,IF(H$40="dx",($T30-$R30),($Q30-$S30)),0)))</f>
        <v/>
      </c>
      <c r="I66" s="552">
        <f>IF(I$41=$C30,IF(I$40="dx",$R30,-$Q30),IF(I$41=$D30,IF(I$40="dx",-$T30,$S30),IF(I$41=$B30,IF(I$40="dx",($T30-$R30),($Q30-$S30)),0)))</f>
        <v/>
      </c>
      <c r="J66" s="1">
        <f>IF(J$41=$C30,IF(J$40="dx",$R30,-$Q30),IF(J$41=$D30,IF(J$40="dx",-$T30,$S30),IF(J$41=$B30,IF(J$40="dx",($T30-$R30),($Q30-$S30)),0)))</f>
        <v/>
      </c>
      <c r="K66" s="1">
        <f>IF(K$41=$C30,IF(K$40="dx",$R30,-$Q30),IF(K$41=$D30,IF(K$40="dx",-$T30,$S30),IF(K$41=$B30,IF(K$40="dx",($T30-$R30),($Q30-$S30)),0)))</f>
        <v/>
      </c>
      <c r="L66" s="552">
        <f>IF(L$41=$C30,IF(L$40="dx",$R30,-$Q30),IF(L$41=$D30,IF(L$40="dx",-$T30,$S30),IF(L$41=$B30,IF(L$40="dx",($T30-$R30),($Q30-$S30)),0)))</f>
        <v/>
      </c>
      <c r="M66" s="552">
        <f>IF(M$41=$C30,IF(M$40="dx",$R30,-$Q30),IF(M$41=$D30,IF(M$40="dx",-$T30,$S30),IF(M$41=$B30,IF(M$40="dx",($T30-$R30),($Q30-$S30)),0)))</f>
        <v/>
      </c>
      <c r="N66" s="1">
        <f>IF(N$41=$C30,IF(N$40="dx",$R30,-$Q30),IF(N$41=$D30,IF(N$40="dx",-$T30,$S30),IF(N$41=$B30,IF(N$40="dx",($T30-$R30),($Q30-$S30)),0)))</f>
        <v/>
      </c>
      <c r="O66" s="1">
        <f>IF(O$41=$C30,IF(O$40="dx",$R30,-$Q30),IF(O$41=$D30,IF(O$40="dx",-$T30,$S30),IF(O$41=$B30,IF(O$40="dx",($T30-$R30),($Q30-$S30)),0)))</f>
        <v/>
      </c>
      <c r="P66" s="552">
        <f>IF(P$41=$C30,IF(P$40="dx",$R30,-$Q30),IF(P$41=$D30,IF(P$40="dx",-$T30,$S30),IF(P$41=$B30,IF(P$40="dx",($T30-$R30),($Q30-$S30)),0)))</f>
        <v/>
      </c>
      <c r="Q66" s="619">
        <f>IF(Q$41=$C30,IF(Q$40="dx",$R30,-$Q30),IF(Q$41=$D30,IF(Q$40="dx",-$T30,$S30),IF(Q$41=$B30,IF(Q$40="dx",($T30-$R30),($Q30-$S30)),0)))</f>
        <v/>
      </c>
      <c r="R66" s="628" t="n"/>
      <c r="S66" s="90">
        <f>P30*10000</f>
        <v/>
      </c>
      <c r="T66" s="629" t="n"/>
    </row>
    <row r="67">
      <c r="B67" s="627">
        <f>IF(B$41=$C31,IF(B$40="dx",$R31,-$Q31),IF(B$41=$D31,IF(B$40="dx",-$T31,$S31),IF(B$41=$B31,IF(B$40="dx",($T31-$R31),($Q31-$S31)),0)))</f>
        <v/>
      </c>
      <c r="C67" s="1">
        <f>IF(C$41=$C31,IF(C$40="dx",$R31,-$Q31),IF(C$41=$D31,IF(C$40="dx",-$T31,$S31),IF(C$41=$B31,IF(C$40="dx",($T31-$R31),($Q31-$S31)),0)))</f>
        <v/>
      </c>
      <c r="D67" s="1">
        <f>IF(D$41=$C31,IF(D$40="dx",$R31,-$Q31),IF(D$41=$D31,IF(D$40="dx",-$T31,$S31),IF(D$41=$B31,IF(D$40="dx",($T31-$R31),($Q31-$S31)),0)))</f>
        <v/>
      </c>
      <c r="E67" s="1">
        <f>IF(E$41=$C31,IF(E$40="dx",$R31,-$Q31),IF(E$41=$D31,IF(E$40="dx",-$T31,$S31),IF(E$41=$B31,IF(E$40="dx",($T31-$R31),($Q31-$S31)),0)))</f>
        <v/>
      </c>
      <c r="F67" s="1">
        <f>IF(F$41=$C31,IF(F$40="dx",$R31,-$Q31),IF(F$41=$D31,IF(F$40="dx",-$T31,$S31),IF(F$41=$B31,IF(F$40="dx",($T31-$R31),($Q31-$S31)),0)))</f>
        <v/>
      </c>
      <c r="G67" s="1">
        <f>IF(G$41=$C31,IF(G$40="dx",$R31,-$Q31),IF(G$41=$D31,IF(G$40="dx",-$T31,$S31),IF(G$41=$B31,IF(G$40="dx",($T31-$R31),($Q31-$S31)),0)))</f>
        <v/>
      </c>
      <c r="H67" s="1">
        <f>IF(H$41=$C31,IF(H$40="dx",$R31,-$Q31),IF(H$41=$D31,IF(H$40="dx",-$T31,$S31),IF(H$41=$B31,IF(H$40="dx",($T31-$R31),($Q31-$S31)),0)))</f>
        <v/>
      </c>
      <c r="I67" s="1">
        <f>IF(I$41=$C31,IF(I$40="dx",$R31,-$Q31),IF(I$41=$D31,IF(I$40="dx",-$T31,$S31),IF(I$41=$B31,IF(I$40="dx",($T31-$R31),($Q31-$S31)),0)))</f>
        <v/>
      </c>
      <c r="J67" s="1">
        <f>IF(J$41=$C31,IF(J$40="dx",$R31,-$Q31),IF(J$41=$D31,IF(J$40="dx",-$T31,$S31),IF(J$41=$B31,IF(J$40="dx",($T31-$R31),($Q31-$S31)),0)))</f>
        <v/>
      </c>
      <c r="K67" s="1">
        <f>IF(K$41=$C31,IF(K$40="dx",$R31,-$Q31),IF(K$41=$D31,IF(K$40="dx",-$T31,$S31),IF(K$41=$B31,IF(K$40="dx",($T31-$R31),($Q31-$S31)),0)))</f>
        <v/>
      </c>
      <c r="L67" s="552">
        <f>IF(L$41=$C31,IF(L$40="dx",$R31,-$Q31),IF(L$41=$D31,IF(L$40="dx",-$T31,$S31),IF(L$41=$B31,IF(L$40="dx",($T31-$R31),($Q31-$S31)),0)))</f>
        <v/>
      </c>
      <c r="M67" s="552">
        <f>IF(M$41=$C31,IF(M$40="dx",$R31,-$Q31),IF(M$41=$D31,IF(M$40="dx",-$T31,$S31),IF(M$41=$B31,IF(M$40="dx",($T31-$R31),($Q31-$S31)),0)))</f>
        <v/>
      </c>
      <c r="N67" s="552">
        <f>IF(N$41=$C31,IF(N$40="dx",$R31,-$Q31),IF(N$41=$D31,IF(N$40="dx",-$T31,$S31),IF(N$41=$B31,IF(N$40="dx",($T31-$R31),($Q31-$S31)),0)))</f>
        <v/>
      </c>
      <c r="O67" s="552">
        <f>IF(O$41=$C31,IF(O$40="dx",$R31,-$Q31),IF(O$41=$D31,IF(O$40="dx",-$T31,$S31),IF(O$41=$B31,IF(O$40="dx",($T31-$R31),($Q31-$S31)),0)))</f>
        <v/>
      </c>
      <c r="P67" s="552">
        <f>IF(P$41=$C31,IF(P$40="dx",$R31,-$Q31),IF(P$41=$D31,IF(P$40="dx",-$T31,$S31),IF(P$41=$B31,IF(P$40="dx",($T31-$R31),($Q31-$S31)),0)))</f>
        <v/>
      </c>
      <c r="Q67" s="619">
        <f>IF(Q$41=$C31,IF(Q$40="dx",$R31,-$Q31),IF(Q$41=$D31,IF(Q$40="dx",-$T31,$S31),IF(Q$41=$B31,IF(Q$40="dx",($T31-$R31),($Q31-$S31)),0)))</f>
        <v/>
      </c>
      <c r="R67" s="628" t="n"/>
      <c r="S67" s="90">
        <f>P31*10000</f>
        <v/>
      </c>
      <c r="T67" s="629" t="n"/>
    </row>
    <row r="68">
      <c r="B68" s="618">
        <f>IF(B$41=$C32,IF(B$40="dx",$R32,-$Q32),IF(B$41=$D32,IF(B$40="dx",-$T32,$S32),IF(B$41=$B32,IF(B$40="dx",($T32-$R32),($Q32-$S32)),0)))</f>
        <v/>
      </c>
      <c r="C68" s="552">
        <f>IF(C$41=$C32,IF(C$40="dx",$R32,-$Q32),IF(C$41=$D32,IF(C$40="dx",-$T32,$S32),IF(C$41=$B32,IF(C$40="dx",($T32-$R32),($Q32-$S32)),0)))</f>
        <v/>
      </c>
      <c r="D68" s="1">
        <f>IF(D$41=$C32,IF(D$40="dx",$R32,-$Q32),IF(D$41=$D32,IF(D$40="dx",-$T32,$S32),IF(D$41=$B32,IF(D$40="dx",($T32-$R32),($Q32-$S32)),0)))</f>
        <v/>
      </c>
      <c r="E68" s="1">
        <f>IF(E$41=$C32,IF(E$40="dx",$R32,-$Q32),IF(E$41=$D32,IF(E$40="dx",-$T32,$S32),IF(E$41=$B32,IF(E$40="dx",($T32-$R32),($Q32-$S32)),0)))</f>
        <v/>
      </c>
      <c r="F68" s="1">
        <f>IF(F$41=$C32,IF(F$40="dx",$R32,-$Q32),IF(F$41=$D32,IF(F$40="dx",-$T32,$S32),IF(F$41=$B32,IF(F$40="dx",($T32-$R32),($Q32-$S32)),0)))</f>
        <v/>
      </c>
      <c r="G68" s="1">
        <f>IF(G$41=$C32,IF(G$40="dx",$R32,-$Q32),IF(G$41=$D32,IF(G$40="dx",-$T32,$S32),IF(G$41=$B32,IF(G$40="dx",($T32-$R32),($Q32-$S32)),0)))</f>
        <v/>
      </c>
      <c r="H68" s="1">
        <f>IF(H$41=$C32,IF(H$40="dx",$R32,-$Q32),IF(H$41=$D32,IF(H$40="dx",-$T32,$S32),IF(H$41=$B32,IF(H$40="dx",($T32-$R32),($Q32-$S32)),0)))</f>
        <v/>
      </c>
      <c r="I68" s="1">
        <f>IF(I$41=$C32,IF(I$40="dx",$R32,-$Q32),IF(I$41=$D32,IF(I$40="dx",-$T32,$S32),IF(I$41=$B32,IF(I$40="dx",($T32-$R32),($Q32-$S32)),0)))</f>
        <v/>
      </c>
      <c r="J68" s="1">
        <f>IF(J$41=$C32,IF(J$40="dx",$R32,-$Q32),IF(J$41=$D32,IF(J$40="dx",-$T32,$S32),IF(J$41=$B32,IF(J$40="dx",($T32-$R32),($Q32-$S32)),0)))</f>
        <v/>
      </c>
      <c r="K68" s="1">
        <f>IF(K$41=$C32,IF(K$40="dx",$R32,-$Q32),IF(K$41=$D32,IF(K$40="dx",-$T32,$S32),IF(K$41=$B32,IF(K$40="dx",($T32-$R32),($Q32-$S32)),0)))</f>
        <v/>
      </c>
      <c r="L68" s="1">
        <f>IF(L$41=$C32,IF(L$40="dx",$R32,-$Q32),IF(L$41=$D32,IF(L$40="dx",-$T32,$S32),IF(L$41=$B32,IF(L$40="dx",($T32-$R32),($Q32-$S32)),0)))</f>
        <v/>
      </c>
      <c r="M68" s="1">
        <f>IF(M$41=$C32,IF(M$40="dx",$R32,-$Q32),IF(M$41=$D32,IF(M$40="dx",-$T32,$S32),IF(M$41=$B32,IF(M$40="dx",($T32-$R32),($Q32-$S32)),0)))</f>
        <v/>
      </c>
      <c r="N68" s="552">
        <f>IF(N$41=$C32,IF(N$40="dx",$R32,-$Q32),IF(N$41=$D32,IF(N$40="dx",-$T32,$S32),IF(N$41=$B32,IF(N$40="dx",($T32-$R32),($Q32-$S32)),0)))</f>
        <v/>
      </c>
      <c r="O68" s="552">
        <f>IF(O$41=$C32,IF(O$40="dx",$R32,-$Q32),IF(O$41=$D32,IF(O$40="dx",-$T32,$S32),IF(O$41=$B32,IF(O$40="dx",($T32-$R32),($Q32-$S32)),0)))</f>
        <v/>
      </c>
      <c r="P68" s="552">
        <f>IF(P$41=$C32,IF(P$40="dx",$R32,-$Q32),IF(P$41=$D32,IF(P$40="dx",-$T32,$S32),IF(P$41=$B32,IF(P$40="dx",($T32-$R32),($Q32-$S32)),0)))</f>
        <v/>
      </c>
      <c r="Q68" s="619">
        <f>IF(Q$41=$C32,IF(Q$40="dx",$R32,-$Q32),IF(Q$41=$D32,IF(Q$40="dx",-$T32,$S32),IF(Q$41=$B32,IF(Q$40="dx",($T32-$R32),($Q32-$S32)),0)))</f>
        <v/>
      </c>
      <c r="R68" s="628" t="n"/>
      <c r="S68" s="90">
        <f>P32*10000</f>
        <v/>
      </c>
      <c r="T68" s="629" t="n"/>
    </row>
    <row r="69">
      <c r="B69" s="627">
        <f>IF(B$41=$C33,IF(B$40="dx",$R33,-$Q33),IF(B$41=$D33,IF(B$40="dx",-$T33,$S33),IF(B$41=$B33,IF(B$40="dx",($T33-$R33),($Q33-$S33)),0)))</f>
        <v/>
      </c>
      <c r="C69" s="1">
        <f>IF(C$41=$C33,IF(C$40="dx",$R33,-$Q33),IF(C$41=$D33,IF(C$40="dx",-$T33,$S33),IF(C$41=$B33,IF(C$40="dx",($T33-$R33),($Q33-$S33)),0)))</f>
        <v/>
      </c>
      <c r="D69" s="1">
        <f>IF(D$41=$C33,IF(D$40="dx",$R33,-$Q33),IF(D$41=$D33,IF(D$40="dx",-$T33,$S33),IF(D$41=$B33,IF(D$40="dx",($T33-$R33),($Q33-$S33)),0)))</f>
        <v/>
      </c>
      <c r="E69" s="1">
        <f>IF(E$41=$C33,IF(E$40="dx",$R33,-$Q33),IF(E$41=$D33,IF(E$40="dx",-$T33,$S33),IF(E$41=$B33,IF(E$40="dx",($T33-$R33),($Q33-$S33)),0)))</f>
        <v/>
      </c>
      <c r="F69" s="1">
        <f>IF(F$41=$C33,IF(F$40="dx",$R33,-$Q33),IF(F$41=$D33,IF(F$40="dx",-$T33,$S33),IF(F$41=$B33,IF(F$40="dx",($T33-$R33),($Q33-$S33)),0)))</f>
        <v/>
      </c>
      <c r="G69" s="1">
        <f>IF(G$41=$C33,IF(G$40="dx",$R33,-$Q33),IF(G$41=$D33,IF(G$40="dx",-$T33,$S33),IF(G$41=$B33,IF(G$40="dx",($T33-$R33),($Q33-$S33)),0)))</f>
        <v/>
      </c>
      <c r="H69" s="1">
        <f>IF(H$41=$C33,IF(H$40="dx",$R33,-$Q33),IF(H$41=$D33,IF(H$40="dx",-$T33,$S33),IF(H$41=$B33,IF(H$40="dx",($T33-$R33),($Q33-$S33)),0)))</f>
        <v/>
      </c>
      <c r="I69" s="1">
        <f>IF(I$41=$C33,IF(I$40="dx",$R33,-$Q33),IF(I$41=$D33,IF(I$40="dx",-$T33,$S33),IF(I$41=$B33,IF(I$40="dx",($T33-$R33),($Q33-$S33)),0)))</f>
        <v/>
      </c>
      <c r="J69" s="552">
        <f>IF(J$41=$C33,IF(J$40="dx",$R33,-$Q33),IF(J$41=$D33,IF(J$40="dx",-$T33,$S33),IF(J$41=$B33,IF(J$40="dx",($T33-$R33),($Q33-$S33)),0)))</f>
        <v/>
      </c>
      <c r="K69" s="552">
        <f>IF(K$41=$C33,IF(K$40="dx",$R33,-$Q33),IF(K$41=$D33,IF(K$40="dx",-$T33,$S33),IF(K$41=$B33,IF(K$40="dx",($T33-$R33),($Q33-$S33)),0)))</f>
        <v/>
      </c>
      <c r="L69" s="552">
        <f>IF(L$41=$C33,IF(L$40="dx",$R33,-$Q33),IF(L$41=$D33,IF(L$40="dx",-$T33,$S33),IF(L$41=$B33,IF(L$40="dx",($T33-$R33),($Q33-$S33)),0)))</f>
        <v/>
      </c>
      <c r="M69" s="552">
        <f>IF(M$41=$C33,IF(M$40="dx",$R33,-$Q33),IF(M$41=$D33,IF(M$40="dx",-$T33,$S33),IF(M$41=$B33,IF(M$40="dx",($T33-$R33),($Q33-$S33)),0)))</f>
        <v/>
      </c>
      <c r="N69" s="552">
        <f>IF(N$41=$C33,IF(N$40="dx",$R33,-$Q33),IF(N$41=$D33,IF(N$40="dx",-$T33,$S33),IF(N$41=$B33,IF(N$40="dx",($T33-$R33),($Q33-$S33)),0)))</f>
        <v/>
      </c>
      <c r="O69" s="552">
        <f>IF(O$41=$C33,IF(O$40="dx",$R33,-$Q33),IF(O$41=$D33,IF(O$40="dx",-$T33,$S33),IF(O$41=$B33,IF(O$40="dx",($T33-$R33),($Q33-$S33)),0)))</f>
        <v/>
      </c>
      <c r="P69" s="1">
        <f>IF(P$41=$C33,IF(P$40="dx",$R33,-$Q33),IF(P$41=$D33,IF(P$40="dx",-$T33,$S33),IF(P$41=$B33,IF(P$40="dx",($T33-$R33),($Q33-$S33)),0)))</f>
        <v/>
      </c>
      <c r="Q69" s="630">
        <f>IF(Q$41=$C33,IF(Q$40="dx",$R33,-$Q33),IF(Q$41=$D33,IF(Q$40="dx",-$T33,$S33),IF(Q$41=$B33,IF(Q$40="dx",($T33-$R33),($Q33-$S33)),0)))</f>
        <v/>
      </c>
      <c r="R69" s="628" t="n"/>
      <c r="S69" s="90">
        <f>P33*10000</f>
        <v/>
      </c>
      <c r="T69" s="629" t="n"/>
    </row>
    <row r="70">
      <c r="B70" s="627">
        <f>IF(B$41=$C34,IF(B$40="dx",$R34,-$Q34),IF(B$41=$D34,IF(B$40="dx",-$T34,$S34),IF(B$41=$B34,IF(B$40="dx",($T34-$R34),($Q34-$S34)),0)))</f>
        <v/>
      </c>
      <c r="C70" s="1">
        <f>IF(C$41=$C34,IF(C$40="dx",$R34,-$Q34),IF(C$41=$D34,IF(C$40="dx",-$T34,$S34),IF(C$41=$B34,IF(C$40="dx",($T34-$R34),($Q34-$S34)),0)))</f>
        <v/>
      </c>
      <c r="D70" s="1">
        <f>IF(D$41=$C34,IF(D$40="dx",$R34,-$Q34),IF(D$41=$D34,IF(D$40="dx",-$T34,$S34),IF(D$41=$B34,IF(D$40="dx",($T34-$R34),($Q34-$S34)),0)))</f>
        <v/>
      </c>
      <c r="E70" s="1">
        <f>IF(E$41=$C34,IF(E$40="dx",$R34,-$Q34),IF(E$41=$D34,IF(E$40="dx",-$T34,$S34),IF(E$41=$B34,IF(E$40="dx",($T34-$R34),($Q34-$S34)),0)))</f>
        <v/>
      </c>
      <c r="F70" s="1">
        <f>IF(F$41=$C34,IF(F$40="dx",$R34,-$Q34),IF(F$41=$D34,IF(F$40="dx",-$T34,$S34),IF(F$41=$B34,IF(F$40="dx",($T34-$R34),($Q34-$S34)),0)))</f>
        <v/>
      </c>
      <c r="G70" s="1">
        <f>IF(G$41=$C34,IF(G$40="dx",$R34,-$Q34),IF(G$41=$D34,IF(G$40="dx",-$T34,$S34),IF(G$41=$B34,IF(G$40="dx",($T34-$R34),($Q34-$S34)),0)))</f>
        <v/>
      </c>
      <c r="H70" s="1">
        <f>IF(H$41=$C34,IF(H$40="dx",$R34,-$Q34),IF(H$41=$D34,IF(H$40="dx",-$T34,$S34),IF(H$41=$B34,IF(H$40="dx",($T34-$R34),($Q34-$S34)),0)))</f>
        <v/>
      </c>
      <c r="I70" s="1">
        <f>IF(I$41=$C34,IF(I$40="dx",$R34,-$Q34),IF(I$41=$D34,IF(I$40="dx",-$T34,$S34),IF(I$41=$B34,IF(I$40="dx",($T34-$R34),($Q34-$S34)),0)))</f>
        <v/>
      </c>
      <c r="J70" s="552">
        <f>IF(J$41=$C34,IF(J$40="dx",$R34,-$Q34),IF(J$41=$D34,IF(J$40="dx",-$T34,$S34),IF(J$41=$B34,IF(J$40="dx",($T34-$R34),($Q34-$S34)),0)))</f>
        <v/>
      </c>
      <c r="K70" s="552">
        <f>IF(K$41=$C34,IF(K$40="dx",$R34,-$Q34),IF(K$41=$D34,IF(K$40="dx",-$T34,$S34),IF(K$41=$B34,IF(K$40="dx",($T34-$R34),($Q34-$S34)),0)))</f>
        <v/>
      </c>
      <c r="L70" s="552">
        <f>IF(L$41=$C34,IF(L$40="dx",$R34,-$Q34),IF(L$41=$D34,IF(L$40="dx",-$T34,$S34),IF(L$41=$B34,IF(L$40="dx",($T34-$R34),($Q34-$S34)),0)))</f>
        <v/>
      </c>
      <c r="M70" s="552">
        <f>IF(M$41=$C34,IF(M$40="dx",$R34,-$Q34),IF(M$41=$D34,IF(M$40="dx",-$T34,$S34),IF(M$41=$B34,IF(M$40="dx",($T34-$R34),($Q34-$S34)),0)))</f>
        <v/>
      </c>
      <c r="N70" s="1">
        <f>IF(N$41=$C34,IF(N$40="dx",$R34,-$Q34),IF(N$41=$D34,IF(N$40="dx",-$T34,$S34),IF(N$41=$B34,IF(N$40="dx",($T34-$R34),($Q34-$S34)),0)))</f>
        <v/>
      </c>
      <c r="O70" s="1">
        <f>IF(O$41=$C34,IF(O$40="dx",$R34,-$Q34),IF(O$41=$D34,IF(O$40="dx",-$T34,$S34),IF(O$41=$B34,IF(O$40="dx",($T34-$R34),($Q34-$S34)),0)))</f>
        <v/>
      </c>
      <c r="P70" s="552">
        <f>IF(P$41=$C34,IF(P$40="dx",$R34,-$Q34),IF(P$41=$D34,IF(P$40="dx",-$T34,$S34),IF(P$41=$B34,IF(P$40="dx",($T34-$R34),($Q34-$S34)),0)))</f>
        <v/>
      </c>
      <c r="Q70" s="619">
        <f>IF(Q$41=$C34,IF(Q$40="dx",$R34,-$Q34),IF(Q$41=$D34,IF(Q$40="dx",-$T34,$S34),IF(Q$41=$B34,IF(Q$40="dx",($T34-$R34),($Q34-$S34)),0)))</f>
        <v/>
      </c>
      <c r="R70" s="628" t="n"/>
      <c r="S70" s="90">
        <f>P34*10000</f>
        <v/>
      </c>
      <c r="T70" s="629" t="n"/>
    </row>
    <row r="71">
      <c r="B71" s="627">
        <f>IF(B$41=$C35,IF(B$40="dx",$R35,-$Q35),IF(B$41=$D35,IF(B$40="dx",-$T35,$S35),IF(B$41=$B35,IF(B$40="dx",($T35-$R35),($Q35-$S35)),0)))</f>
        <v/>
      </c>
      <c r="C71" s="1">
        <f>IF(C$41=$C35,IF(C$40="dx",$R35,-$Q35),IF(C$41=$D35,IF(C$40="dx",-$T35,$S35),IF(C$41=$B35,IF(C$40="dx",($T35-$R35),($Q35-$S35)),0)))</f>
        <v/>
      </c>
      <c r="D71" s="1">
        <f>IF(D$41=$C35,IF(D$40="dx",$R35,-$Q35),IF(D$41=$D35,IF(D$40="dx",-$T35,$S35),IF(D$41=$B35,IF(D$40="dx",($T35-$R35),($Q35-$S35)),0)))</f>
        <v/>
      </c>
      <c r="E71" s="1">
        <f>IF(E$41=$C35,IF(E$40="dx",$R35,-$Q35),IF(E$41=$D35,IF(E$40="dx",-$T35,$S35),IF(E$41=$B35,IF(E$40="dx",($T35-$R35),($Q35-$S35)),0)))</f>
        <v/>
      </c>
      <c r="F71" s="1">
        <f>IF(F$41=$C35,IF(F$40="dx",$R35,-$Q35),IF(F$41=$D35,IF(F$40="dx",-$T35,$S35),IF(F$41=$B35,IF(F$40="dx",($T35-$R35),($Q35-$S35)),0)))</f>
        <v/>
      </c>
      <c r="G71" s="1">
        <f>IF(G$41=$C35,IF(G$40="dx",$R35,-$Q35),IF(G$41=$D35,IF(G$40="dx",-$T35,$S35),IF(G$41=$B35,IF(G$40="dx",($T35-$R35),($Q35-$S35)),0)))</f>
        <v/>
      </c>
      <c r="H71" s="552">
        <f>IF(H$41=$C35,IF(H$40="dx",$R35,-$Q35),IF(H$41=$D35,IF(H$40="dx",-$T35,$S35),IF(H$41=$B35,IF(H$40="dx",($T35-$R35),($Q35-$S35)),0)))</f>
        <v/>
      </c>
      <c r="I71" s="552">
        <f>IF(I$41=$C35,IF(I$40="dx",$R35,-$Q35),IF(I$41=$D35,IF(I$40="dx",-$T35,$S35),IF(I$41=$B35,IF(I$40="dx",($T35-$R35),($Q35-$S35)),0)))</f>
        <v/>
      </c>
      <c r="J71" s="552">
        <f>IF(J$41=$C35,IF(J$40="dx",$R35,-$Q35),IF(J$41=$D35,IF(J$40="dx",-$T35,$S35),IF(J$41=$B35,IF(J$40="dx",($T35-$R35),($Q35-$S35)),0)))</f>
        <v/>
      </c>
      <c r="K71" s="552">
        <f>IF(K$41=$C35,IF(K$40="dx",$R35,-$Q35),IF(K$41=$D35,IF(K$40="dx",-$T35,$S35),IF(K$41=$B35,IF(K$40="dx",($T35-$R35),($Q35-$S35)),0)))</f>
        <v/>
      </c>
      <c r="L71" s="1">
        <f>IF(L$41=$C35,IF(L$40="dx",$R35,-$Q35),IF(L$41=$D35,IF(L$40="dx",-$T35,$S35),IF(L$41=$B35,IF(L$40="dx",($T35-$R35),($Q35-$S35)),0)))</f>
        <v/>
      </c>
      <c r="M71" s="1">
        <f>IF(M$41=$C35,IF(M$40="dx",$R35,-$Q35),IF(M$41=$D35,IF(M$40="dx",-$T35,$S35),IF(M$41=$B35,IF(M$40="dx",($T35-$R35),($Q35-$S35)),0)))</f>
        <v/>
      </c>
      <c r="N71" s="1">
        <f>IF(N$41=$C35,IF(N$40="dx",$R35,-$Q35),IF(N$41=$D35,IF(N$40="dx",-$T35,$S35),IF(N$41=$B35,IF(N$40="dx",($T35-$R35),($Q35-$S35)),0)))</f>
        <v/>
      </c>
      <c r="O71" s="1">
        <f>IF(O$41=$C35,IF(O$40="dx",$R35,-$Q35),IF(O$41=$D35,IF(O$40="dx",-$T35,$S35),IF(O$41=$B35,IF(O$40="dx",($T35-$R35),($Q35-$S35)),0)))</f>
        <v/>
      </c>
      <c r="P71" s="552">
        <f>IF(P$41=$C35,IF(P$40="dx",$R35,-$Q35),IF(P$41=$D35,IF(P$40="dx",-$T35,$S35),IF(P$41=$B35,IF(P$40="dx",($T35-$R35),($Q35-$S35)),0)))</f>
        <v/>
      </c>
      <c r="Q71" s="619">
        <f>IF(Q$41=$C35,IF(Q$40="dx",$R35,-$Q35),IF(Q$41=$D35,IF(Q$40="dx",-$T35,$S35),IF(Q$41=$B35,IF(Q$40="dx",($T35-$R35),($Q35-$S35)),0)))</f>
        <v/>
      </c>
      <c r="R71" s="628" t="n"/>
      <c r="S71" s="90">
        <f>P35*10000</f>
        <v/>
      </c>
      <c r="T71" s="629" t="n"/>
    </row>
    <row r="72">
      <c r="B72" s="627">
        <f>IF(B$41=$C36,IF(B$40="dx",$R36,-$Q36),IF(B$41=$D36,IF(B$40="dx",-$T36,$S36),IF(B$41=$B36,IF(B$40="dx",($T36-$R36),($Q36-$S36)),0)))</f>
        <v/>
      </c>
      <c r="C72" s="1">
        <f>IF(C$41=$C36,IF(C$40="dx",$R36,-$Q36),IF(C$41=$D36,IF(C$40="dx",-$T36,$S36),IF(C$41=$B36,IF(C$40="dx",($T36-$R36),($Q36-$S36)),0)))</f>
        <v/>
      </c>
      <c r="D72" s="1">
        <f>IF(D$41=$C36,IF(D$40="dx",$R36,-$Q36),IF(D$41=$D36,IF(D$40="dx",-$T36,$S36),IF(D$41=$B36,IF(D$40="dx",($T36-$R36),($Q36-$S36)),0)))</f>
        <v/>
      </c>
      <c r="E72" s="1">
        <f>IF(E$41=$C36,IF(E$40="dx",$R36,-$Q36),IF(E$41=$D36,IF(E$40="dx",-$T36,$S36),IF(E$41=$B36,IF(E$40="dx",($T36-$R36),($Q36-$S36)),0)))</f>
        <v/>
      </c>
      <c r="F72" s="1">
        <f>IF(F$41=$C36,IF(F$40="dx",$R36,-$Q36),IF(F$41=$D36,IF(F$40="dx",-$T36,$S36),IF(F$41=$B36,IF(F$40="dx",($T36-$R36),($Q36-$S36)),0)))</f>
        <v/>
      </c>
      <c r="G72" s="1">
        <f>IF(G$41=$C36,IF(G$40="dx",$R36,-$Q36),IF(G$41=$D36,IF(G$40="dx",-$T36,$S36),IF(G$41=$B36,IF(G$40="dx",($T36-$R36),($Q36-$S36)),0)))</f>
        <v/>
      </c>
      <c r="H72" s="552">
        <f>IF(H$41=$C36,IF(H$40="dx",$R36,-$Q36),IF(H$41=$D36,IF(H$40="dx",-$T36,$S36),IF(H$41=$B36,IF(H$40="dx",($T36-$R36),($Q36-$S36)),0)))</f>
        <v/>
      </c>
      <c r="I72" s="552">
        <f>IF(I$41=$C36,IF(I$40="dx",$R36,-$Q36),IF(I$41=$D36,IF(I$40="dx",-$T36,$S36),IF(I$41=$B36,IF(I$40="dx",($T36-$R36),($Q36-$S36)),0)))</f>
        <v/>
      </c>
      <c r="J72" s="552">
        <f>IF(J$41=$C36,IF(J$40="dx",$R36,-$Q36),IF(J$41=$D36,IF(J$40="dx",-$T36,$S36),IF(J$41=$B36,IF(J$40="dx",($T36-$R36),($Q36-$S36)),0)))</f>
        <v/>
      </c>
      <c r="K72" s="552">
        <f>IF(K$41=$C36,IF(K$40="dx",$R36,-$Q36),IF(K$41=$D36,IF(K$40="dx",-$T36,$S36),IF(K$41=$B36,IF(K$40="dx",($T36-$R36),($Q36-$S36)),0)))</f>
        <v/>
      </c>
      <c r="L72" s="552">
        <f>IF(L$41=$C36,IF(L$40="dx",$R36,-$Q36),IF(L$41=$D36,IF(L$40="dx",-$T36,$S36),IF(L$41=$B36,IF(L$40="dx",($T36-$R36),($Q36-$S36)),0)))</f>
        <v/>
      </c>
      <c r="M72" s="552">
        <f>IF(M$41=$C36,IF(M$40="dx",$R36,-$Q36),IF(M$41=$D36,IF(M$40="dx",-$T36,$S36),IF(M$41=$B36,IF(M$40="dx",($T36-$R36),($Q36-$S36)),0)))</f>
        <v/>
      </c>
      <c r="N72" s="1">
        <f>IF(N$41=$C36,IF(N$40="dx",$R36,-$Q36),IF(N$41=$D36,IF(N$40="dx",-$T36,$S36),IF(N$41=$B36,IF(N$40="dx",($T36-$R36),($Q36-$S36)),0)))</f>
        <v/>
      </c>
      <c r="O72" s="1">
        <f>IF(O$41=$C36,IF(O$40="dx",$R36,-$Q36),IF(O$41=$D36,IF(O$40="dx",-$T36,$S36),IF(O$41=$B36,IF(O$40="dx",($T36-$R36),($Q36-$S36)),0)))</f>
        <v/>
      </c>
      <c r="P72" s="1">
        <f>IF(P$41=$C36,IF(P$40="dx",$R36,-$Q36),IF(P$41=$D36,IF(P$40="dx",-$T36,$S36),IF(P$41=$B36,IF(P$40="dx",($T36-$R36),($Q36-$S36)),0)))</f>
        <v/>
      </c>
      <c r="Q72" s="630">
        <f>IF(Q$41=$C36,IF(Q$40="dx",$R36,-$Q36),IF(Q$41=$D36,IF(Q$40="dx",-$T36,$S36),IF(Q$41=$B36,IF(Q$40="dx",($T36-$R36),($Q36-$S36)),0)))</f>
        <v/>
      </c>
      <c r="R72" s="628" t="n"/>
      <c r="S72" s="90">
        <f>P36*10000</f>
        <v/>
      </c>
      <c r="T72" s="629" t="n"/>
    </row>
    <row r="73">
      <c r="B73" s="627">
        <f>IF(B$41=$C37,IF(B$40="dx",$R37,-$Q37),IF(B$41=$D37,IF(B$40="dx",-$T37,$S37),IF(B$41=$B37,IF(B$40="dx",($T37-$R37),($Q37-$S37)),0)))</f>
        <v/>
      </c>
      <c r="C73" s="14">
        <f>IF(C$41=$C37,IF(C$40="dx",$R37,-$Q37),IF(C$41=$D37,IF(C$40="dx",-$T37,$S37),IF(C$41=$B37,IF(C$40="dx",($T37-$R37),($Q37-$S37)),0)))</f>
        <v/>
      </c>
      <c r="D73" s="14">
        <f>IF(D$41=$C37,IF(D$40="dx",$R37,-$Q37),IF(D$41=$D37,IF(D$40="dx",-$T37,$S37),IF(D$41=$B37,IF(D$40="dx",($T37-$R37),($Q37-$S37)),0)))</f>
        <v/>
      </c>
      <c r="E73" s="14">
        <f>IF(E$41=$C37,IF(E$40="dx",$R37,-$Q37),IF(E$41=$D37,IF(E$40="dx",-$T37,$S37),IF(E$41=$B37,IF(E$40="dx",($T37-$R37),($Q37-$S37)),0)))</f>
        <v/>
      </c>
      <c r="F73" s="14">
        <f>IF(F$41=$C37,IF(F$40="dx",$R37,-$Q37),IF(F$41=$D37,IF(F$40="dx",-$T37,$S37),IF(F$41=$B37,IF(F$40="dx",($T37-$R37),($Q37-$S37)),0)))</f>
        <v/>
      </c>
      <c r="G73" s="14">
        <f>IF(G$41=$C37,IF(G$40="dx",$R37,-$Q37),IF(G$41=$D37,IF(G$40="dx",-$T37,$S37),IF(G$41=$B37,IF(G$40="dx",($T37-$R37),($Q37-$S37)),0)))</f>
        <v/>
      </c>
      <c r="H73" s="552">
        <f>IF(H$41=$C37,IF(H$40="dx",$R37,-$Q37),IF(H$41=$D37,IF(H$40="dx",-$T37,$S37),IF(H$41=$B37,IF(H$40="dx",($T37-$R37),($Q37-$S37)),0)))</f>
        <v/>
      </c>
      <c r="I73" s="552">
        <f>IF(I$41=$C37,IF(I$40="dx",$R37,-$Q37),IF(I$41=$D37,IF(I$40="dx",-$T37,$S37),IF(I$41=$B37,IF(I$40="dx",($T37-$R37),($Q37-$S37)),0)))</f>
        <v/>
      </c>
      <c r="J73" s="14">
        <f>IF(J$41=$C37,IF(J$40="dx",$R37,-$Q37),IF(J$41=$D37,IF(J$40="dx",-$T37,$S37),IF(J$41=$B37,IF(J$40="dx",($T37-$R37),($Q37-$S37)),0)))</f>
        <v/>
      </c>
      <c r="K73" s="14">
        <f>IF(K$41=$C37,IF(K$40="dx",$R37,-$Q37),IF(K$41=$D37,IF(K$40="dx",-$T37,$S37),IF(K$41=$B37,IF(K$40="dx",($T37-$R37),($Q37-$S37)),0)))</f>
        <v/>
      </c>
      <c r="L73" s="552">
        <f>IF(L$41=$C37,IF(L$40="dx",$R37,-$Q37),IF(L$41=$D37,IF(L$40="dx",-$T37,$S37),IF(L$41=$B37,IF(L$40="dx",($T37-$R37),($Q37-$S37)),0)))</f>
        <v/>
      </c>
      <c r="M73" s="552">
        <f>IF(M$41=$C37,IF(M$40="dx",$R37,-$Q37),IF(M$41=$D37,IF(M$40="dx",-$T37,$S37),IF(M$41=$B37,IF(M$40="dx",($T37-$R37),($Q37-$S37)),0)))</f>
        <v/>
      </c>
      <c r="N73" s="14">
        <f>IF(N$41=$C37,IF(N$40="dx",$R37,-$Q37),IF(N$41=$D37,IF(N$40="dx",-$T37,$S37),IF(N$41=$B37,IF(N$40="dx",($T37-$R37),($Q37-$S37)),0)))</f>
        <v/>
      </c>
      <c r="O73" s="14">
        <f>IF(O$41=$C37,IF(O$40="dx",$R37,-$Q37),IF(O$41=$D37,IF(O$40="dx",-$T37,$S37),IF(O$41=$B37,IF(O$40="dx",($T37-$R37),($Q37-$S37)),0)))</f>
        <v/>
      </c>
      <c r="P73" s="552">
        <f>IF(P$41=$C37,IF(P$40="dx",$R37,-$Q37),IF(P$41=$D37,IF(P$40="dx",-$T37,$S37),IF(P$41=$B37,IF(P$40="dx",($T37-$R37),($Q37-$S37)),0)))</f>
        <v/>
      </c>
      <c r="Q73" s="619">
        <f>IF(Q$41=$C37,IF(Q$40="dx",$R37,-$Q37),IF(Q$41=$D37,IF(Q$40="dx",-$T37,$S37),IF(Q$41=$B37,IF(Q$40="dx",($T37-$R37),($Q37-$S37)),0)))</f>
        <v/>
      </c>
      <c r="R73" s="628" t="n"/>
      <c r="S73" s="91">
        <f>P37*10000</f>
        <v/>
      </c>
      <c r="T73" s="629" t="n"/>
    </row>
    <row r="74" ht="15.95" customHeight="1">
      <c r="B74" s="631" t="n"/>
      <c r="C74" s="632" t="n"/>
      <c r="D74" s="632" t="n"/>
      <c r="E74" s="632" t="n"/>
      <c r="F74" s="633" t="n"/>
      <c r="G74" s="633" t="n"/>
      <c r="H74" s="633" t="n"/>
      <c r="I74" s="633" t="n"/>
      <c r="J74" s="632" t="n"/>
      <c r="K74" s="632" t="n"/>
      <c r="L74" s="632" t="n"/>
      <c r="M74" s="632" t="n"/>
      <c r="N74" s="632" t="n"/>
      <c r="O74" s="632" t="n"/>
      <c r="P74" s="633" t="n"/>
      <c r="Q74" s="634" t="n"/>
      <c r="R74" s="635" t="n"/>
      <c r="S74" s="23" t="n"/>
      <c r="T74" s="636" t="n"/>
    </row>
    <row r="75">
      <c r="B75" s="263" t="inlineStr">
        <is>
          <t>A</t>
        </is>
      </c>
      <c r="C75" s="506" t="n"/>
      <c r="D75" s="506" t="n"/>
      <c r="E75" s="506" t="n"/>
      <c r="F75" s="506" t="n"/>
      <c r="G75" s="506" t="n"/>
      <c r="H75" s="506" t="n"/>
      <c r="I75" s="506" t="n"/>
      <c r="J75" s="506" t="n"/>
      <c r="K75" s="506" t="n"/>
      <c r="L75" s="506" t="n"/>
      <c r="M75" s="506" t="n"/>
      <c r="N75" s="506" t="n"/>
      <c r="O75" s="506" t="n"/>
      <c r="P75" s="506" t="n"/>
      <c r="Q75" s="637" t="n"/>
      <c r="S75" s="260" t="inlineStr">
        <is>
          <t>L</t>
        </is>
      </c>
    </row>
    <row r="76" ht="15.95" customHeight="1">
      <c r="B76" s="73">
        <f>B42/$L4</f>
        <v/>
      </c>
      <c r="C76" s="74">
        <f>C42/$L4</f>
        <v/>
      </c>
      <c r="D76" s="74">
        <f>D42/$L4</f>
        <v/>
      </c>
      <c r="E76" s="74">
        <f>E42/$L4</f>
        <v/>
      </c>
      <c r="F76" s="74">
        <f>F42/$L4</f>
        <v/>
      </c>
      <c r="G76" s="74">
        <f>G42/$L4</f>
        <v/>
      </c>
      <c r="H76" s="74">
        <f>H42/$L4</f>
        <v/>
      </c>
      <c r="I76" s="74">
        <f>I42/$L4</f>
        <v/>
      </c>
      <c r="J76" s="74">
        <f>J42/$L4</f>
        <v/>
      </c>
      <c r="K76" s="74">
        <f>K42/$L4</f>
        <v/>
      </c>
      <c r="L76" s="74">
        <f>L42/$L4</f>
        <v/>
      </c>
      <c r="M76" s="74">
        <f>M42/$L4</f>
        <v/>
      </c>
      <c r="N76" s="74">
        <f>N42/$L4</f>
        <v/>
      </c>
      <c r="O76" s="74">
        <f>O42/$L4</f>
        <v/>
      </c>
      <c r="P76" s="74">
        <f>P42/$L4</f>
        <v/>
      </c>
      <c r="Q76" s="95">
        <f>Q42/$L4</f>
        <v/>
      </c>
      <c r="S76" s="75">
        <f>S42/$L4</f>
        <v/>
      </c>
    </row>
    <row r="77">
      <c r="B77" s="791">
        <f>B43/$L5</f>
        <v/>
      </c>
      <c r="C77" s="599">
        <f>C43/$L5</f>
        <v/>
      </c>
      <c r="D77" s="599">
        <f>D43/$L5</f>
        <v/>
      </c>
      <c r="E77" s="599">
        <f>E43/$L5</f>
        <v/>
      </c>
      <c r="F77" s="599">
        <f>F43/$L5</f>
        <v/>
      </c>
      <c r="G77" s="599">
        <f>G43/$L5</f>
        <v/>
      </c>
      <c r="H77" s="599">
        <f>H43/$L5</f>
        <v/>
      </c>
      <c r="I77" s="599">
        <f>I43/$L5</f>
        <v/>
      </c>
      <c r="J77" s="599">
        <f>J43/$L5</f>
        <v/>
      </c>
      <c r="K77" s="599">
        <f>K43/$L5</f>
        <v/>
      </c>
      <c r="L77" s="599">
        <f>L43/$L5</f>
        <v/>
      </c>
      <c r="M77" s="599">
        <f>M43/$L5</f>
        <v/>
      </c>
      <c r="N77" s="599">
        <f>N43/$L5</f>
        <v/>
      </c>
      <c r="O77" s="599">
        <f>O43/$L5</f>
        <v/>
      </c>
      <c r="P77" s="599">
        <f>P43/$L5</f>
        <v/>
      </c>
      <c r="Q77" s="600">
        <f>Q43/$L5</f>
        <v/>
      </c>
      <c r="S77" s="78">
        <f>S43/$L5</f>
        <v/>
      </c>
    </row>
    <row r="78">
      <c r="B78" s="602">
        <f>B44/$L6</f>
        <v/>
      </c>
      <c r="C78" s="603">
        <f>C44/$L6</f>
        <v/>
      </c>
      <c r="D78" s="603">
        <f>D44/$L6</f>
        <v/>
      </c>
      <c r="E78" s="603">
        <f>E44/$L6</f>
        <v/>
      </c>
      <c r="F78" s="603">
        <f>F44/$L6</f>
        <v/>
      </c>
      <c r="G78" s="603">
        <f>G44/$L6</f>
        <v/>
      </c>
      <c r="H78" s="603">
        <f>H44/$L6</f>
        <v/>
      </c>
      <c r="I78" s="603">
        <f>I44/$L6</f>
        <v/>
      </c>
      <c r="J78" s="603">
        <f>J44/$L6</f>
        <v/>
      </c>
      <c r="K78" s="603">
        <f>K44/$L6</f>
        <v/>
      </c>
      <c r="L78" s="603">
        <f>L44/$L6</f>
        <v/>
      </c>
      <c r="M78" s="603">
        <f>M44/$L6</f>
        <v/>
      </c>
      <c r="N78" s="603">
        <f>N44/$L6</f>
        <v/>
      </c>
      <c r="O78" s="603">
        <f>O44/$L6</f>
        <v/>
      </c>
      <c r="P78" s="603">
        <f>P44/$L6</f>
        <v/>
      </c>
      <c r="Q78" s="604">
        <f>Q44/$L6</f>
        <v/>
      </c>
      <c r="R78" s="794" t="n"/>
      <c r="S78" s="78">
        <f>S44/$L6</f>
        <v/>
      </c>
      <c r="T78" s="793" t="n"/>
    </row>
    <row r="79">
      <c r="B79" s="608">
        <f>B45/$L7</f>
        <v/>
      </c>
      <c r="C79" s="609">
        <f>C45/$L7</f>
        <v/>
      </c>
      <c r="D79" s="609">
        <f>D45/$L7</f>
        <v/>
      </c>
      <c r="E79" s="609">
        <f>E45/$L7</f>
        <v/>
      </c>
      <c r="F79" s="609">
        <f>F45/$L7</f>
        <v/>
      </c>
      <c r="G79" s="609">
        <f>G45/$L7</f>
        <v/>
      </c>
      <c r="H79" s="610">
        <f>H45/$L7</f>
        <v/>
      </c>
      <c r="I79" s="610">
        <f>I45/$L7</f>
        <v/>
      </c>
      <c r="J79" s="609">
        <f>J45/$L7</f>
        <v/>
      </c>
      <c r="K79" s="609">
        <f>K45/$L7</f>
        <v/>
      </c>
      <c r="L79" s="609">
        <f>L45/$L7</f>
        <v/>
      </c>
      <c r="M79" s="609">
        <f>M45/$L7</f>
        <v/>
      </c>
      <c r="N79" s="609">
        <f>N45/$L7</f>
        <v/>
      </c>
      <c r="O79" s="609">
        <f>O45/$L7</f>
        <v/>
      </c>
      <c r="P79" s="609">
        <f>P45/$L7</f>
        <v/>
      </c>
      <c r="Q79" s="611">
        <f>Q45/$L7</f>
        <v/>
      </c>
      <c r="R79" s="544" t="n"/>
      <c r="S79" s="78">
        <f>S45/$L7</f>
        <v/>
      </c>
      <c r="T79" s="571" t="n"/>
    </row>
    <row r="80">
      <c r="A80" s="612" t="n"/>
      <c r="B80" s="647">
        <f>B46/$L8</f>
        <v/>
      </c>
      <c r="C80" s="648">
        <f>C46/$L8</f>
        <v/>
      </c>
      <c r="D80" s="648">
        <f>D46/$L8</f>
        <v/>
      </c>
      <c r="E80" s="648">
        <f>E46/$L8</f>
        <v/>
      </c>
      <c r="F80" s="648">
        <f>F46/$L8</f>
        <v/>
      </c>
      <c r="G80" s="648">
        <f>G46/$L8</f>
        <v/>
      </c>
      <c r="H80" s="648">
        <f>H46/$L8</f>
        <v/>
      </c>
      <c r="I80" s="648">
        <f>I46/$L8</f>
        <v/>
      </c>
      <c r="J80" s="648">
        <f>J46/$L8</f>
        <v/>
      </c>
      <c r="K80" s="648">
        <f>K46/$L8</f>
        <v/>
      </c>
      <c r="L80" s="648">
        <f>L46/$L8</f>
        <v/>
      </c>
      <c r="M80" s="648">
        <f>M46/$L8</f>
        <v/>
      </c>
      <c r="N80" s="648">
        <f>N46/$L8</f>
        <v/>
      </c>
      <c r="O80" s="648">
        <f>O46/$L8</f>
        <v/>
      </c>
      <c r="P80" s="648">
        <f>P46/$L8</f>
        <v/>
      </c>
      <c r="Q80" s="735">
        <f>Q46/$L8</f>
        <v/>
      </c>
      <c r="R80" s="555" t="n"/>
      <c r="S80" s="78">
        <f>S46/$L8</f>
        <v/>
      </c>
      <c r="T80" s="617" t="n"/>
    </row>
    <row r="81">
      <c r="A81" s="612" t="n"/>
      <c r="B81" s="650">
        <f>B47/$L9</f>
        <v/>
      </c>
      <c r="C81" s="487">
        <f>C47/$L9</f>
        <v/>
      </c>
      <c r="D81" s="487">
        <f>D47/$L9</f>
        <v/>
      </c>
      <c r="E81" s="487">
        <f>E47/$L9</f>
        <v/>
      </c>
      <c r="F81" s="487">
        <f>F47/$L9</f>
        <v/>
      </c>
      <c r="G81" s="487">
        <f>G47/$L9</f>
        <v/>
      </c>
      <c r="H81" s="487">
        <f>H47/$L9</f>
        <v/>
      </c>
      <c r="I81" s="487">
        <f>I47/$L9</f>
        <v/>
      </c>
      <c r="J81" s="487">
        <f>J47/$L9</f>
        <v/>
      </c>
      <c r="K81" s="487">
        <f>K47/$L9</f>
        <v/>
      </c>
      <c r="L81" s="487">
        <f>L47/$L9</f>
        <v/>
      </c>
      <c r="M81" s="487">
        <f>M47/$L9</f>
        <v/>
      </c>
      <c r="N81" s="487">
        <f>N47/$L9</f>
        <v/>
      </c>
      <c r="O81" s="487">
        <f>O47/$L9</f>
        <v/>
      </c>
      <c r="P81" s="487">
        <f>P47/$L9</f>
        <v/>
      </c>
      <c r="Q81" s="736">
        <f>Q47/$L9</f>
        <v/>
      </c>
      <c r="R81" s="544" t="n"/>
      <c r="S81" s="78">
        <f>S47/$L9</f>
        <v/>
      </c>
      <c r="T81" s="542" t="n"/>
    </row>
    <row r="82">
      <c r="A82" s="612" t="n"/>
      <c r="B82" s="650">
        <f>B48/$L10</f>
        <v/>
      </c>
      <c r="C82" s="487">
        <f>C48/$L10</f>
        <v/>
      </c>
      <c r="D82" s="487">
        <f>D48/$L10</f>
        <v/>
      </c>
      <c r="E82" s="487">
        <f>E48/$L10</f>
        <v/>
      </c>
      <c r="F82" s="487">
        <f>F48/$L10</f>
        <v/>
      </c>
      <c r="G82" s="487">
        <f>G48/$L10</f>
        <v/>
      </c>
      <c r="H82" s="487">
        <f>H48/$L10</f>
        <v/>
      </c>
      <c r="I82" s="487">
        <f>I48/$L10</f>
        <v/>
      </c>
      <c r="J82" s="487">
        <f>J48/$L10</f>
        <v/>
      </c>
      <c r="K82" s="487">
        <f>K48/$L10</f>
        <v/>
      </c>
      <c r="L82" s="487">
        <f>L48/$L10</f>
        <v/>
      </c>
      <c r="M82" s="487">
        <f>M48/$L10</f>
        <v/>
      </c>
      <c r="N82" s="487">
        <f>N48/$L10</f>
        <v/>
      </c>
      <c r="O82" s="487">
        <f>O48/$L10</f>
        <v/>
      </c>
      <c r="P82" s="487">
        <f>P48/$L10</f>
        <v/>
      </c>
      <c r="Q82" s="736">
        <f>Q48/$L10</f>
        <v/>
      </c>
      <c r="R82" s="544" t="n"/>
      <c r="S82" s="78">
        <f>S48/$L10</f>
        <v/>
      </c>
      <c r="T82" s="542" t="n"/>
    </row>
    <row r="83">
      <c r="A83" s="612" t="n"/>
      <c r="B83" s="650">
        <f>B49/$L11</f>
        <v/>
      </c>
      <c r="C83" s="487">
        <f>C49/$L11</f>
        <v/>
      </c>
      <c r="D83" s="487">
        <f>D49/$L11</f>
        <v/>
      </c>
      <c r="E83" s="487">
        <f>E49/$L11</f>
        <v/>
      </c>
      <c r="F83" s="487">
        <f>F49/$L11</f>
        <v/>
      </c>
      <c r="G83" s="487">
        <f>G49/$L11</f>
        <v/>
      </c>
      <c r="H83" s="487">
        <f>H49/$L11</f>
        <v/>
      </c>
      <c r="I83" s="487">
        <f>I49/$L11</f>
        <v/>
      </c>
      <c r="J83" s="487">
        <f>J49/$L11</f>
        <v/>
      </c>
      <c r="K83" s="487">
        <f>K49/$L11</f>
        <v/>
      </c>
      <c r="L83" s="487">
        <f>L49/$L11</f>
        <v/>
      </c>
      <c r="M83" s="487">
        <f>M49/$L11</f>
        <v/>
      </c>
      <c r="N83" s="487">
        <f>N49/$L11</f>
        <v/>
      </c>
      <c r="O83" s="487">
        <f>O49/$L11</f>
        <v/>
      </c>
      <c r="P83" s="487">
        <f>P49/$L11</f>
        <v/>
      </c>
      <c r="Q83" s="736">
        <f>Q49/$L11</f>
        <v/>
      </c>
      <c r="R83" s="544" t="n"/>
      <c r="S83" s="78">
        <f>S49/$L11</f>
        <v/>
      </c>
      <c r="T83" s="542" t="n"/>
    </row>
    <row r="84">
      <c r="A84" s="612" t="n"/>
      <c r="B84" s="650">
        <f>B50/$L12</f>
        <v/>
      </c>
      <c r="C84" s="487">
        <f>C50/$L12</f>
        <v/>
      </c>
      <c r="D84" s="487">
        <f>D50/$L12</f>
        <v/>
      </c>
      <c r="E84" s="487">
        <f>E50/$L12</f>
        <v/>
      </c>
      <c r="F84" s="487">
        <f>F50/$L12</f>
        <v/>
      </c>
      <c r="G84" s="487">
        <f>G50/$L12</f>
        <v/>
      </c>
      <c r="H84" s="487">
        <f>H50/$L12</f>
        <v/>
      </c>
      <c r="I84" s="487">
        <f>I50/$L12</f>
        <v/>
      </c>
      <c r="J84" s="487">
        <f>J50/$L12</f>
        <v/>
      </c>
      <c r="K84" s="487">
        <f>K50/$L12</f>
        <v/>
      </c>
      <c r="L84" s="487">
        <f>L50/$L12</f>
        <v/>
      </c>
      <c r="M84" s="487">
        <f>M50/$L12</f>
        <v/>
      </c>
      <c r="N84" s="487">
        <f>N50/$L12</f>
        <v/>
      </c>
      <c r="O84" s="487">
        <f>O50/$L12</f>
        <v/>
      </c>
      <c r="P84" s="487">
        <f>P50/$L12</f>
        <v/>
      </c>
      <c r="Q84" s="736">
        <f>Q50/$L12</f>
        <v/>
      </c>
      <c r="R84" s="544" t="n"/>
      <c r="S84" s="78">
        <f>S50/$L12</f>
        <v/>
      </c>
      <c r="T84" s="542" t="n"/>
    </row>
    <row r="85">
      <c r="A85" s="612" t="n"/>
      <c r="B85" s="650">
        <f>B51/$L13</f>
        <v/>
      </c>
      <c r="C85" s="487">
        <f>C51/$L13</f>
        <v/>
      </c>
      <c r="D85" s="487">
        <f>D51/$L13</f>
        <v/>
      </c>
      <c r="E85" s="487">
        <f>E51/$L13</f>
        <v/>
      </c>
      <c r="F85" s="487">
        <f>F51/$L13</f>
        <v/>
      </c>
      <c r="G85" s="487">
        <f>G51/$L13</f>
        <v/>
      </c>
      <c r="H85" s="487">
        <f>H51/$L13</f>
        <v/>
      </c>
      <c r="I85" s="487">
        <f>I51/$L13</f>
        <v/>
      </c>
      <c r="J85" s="487">
        <f>J51/$L13</f>
        <v/>
      </c>
      <c r="K85" s="487">
        <f>K51/$L13</f>
        <v/>
      </c>
      <c r="L85" s="487">
        <f>L51/$L13</f>
        <v/>
      </c>
      <c r="M85" s="487">
        <f>M51/$L13</f>
        <v/>
      </c>
      <c r="N85" s="487">
        <f>N51/$L13</f>
        <v/>
      </c>
      <c r="O85" s="487">
        <f>O51/$L13</f>
        <v/>
      </c>
      <c r="P85" s="487">
        <f>P51/$L13</f>
        <v/>
      </c>
      <c r="Q85" s="736">
        <f>Q51/$L13</f>
        <v/>
      </c>
      <c r="R85" s="544" t="n"/>
      <c r="S85" s="78">
        <f>S51/$L13</f>
        <v/>
      </c>
      <c r="T85" s="542" t="n"/>
    </row>
    <row r="86">
      <c r="A86" s="612" t="n"/>
      <c r="B86" s="650">
        <f>B52/$L14</f>
        <v/>
      </c>
      <c r="C86" s="487">
        <f>C52/$L14</f>
        <v/>
      </c>
      <c r="D86" s="487">
        <f>D52/$L14</f>
        <v/>
      </c>
      <c r="E86" s="487">
        <f>E52/$L14</f>
        <v/>
      </c>
      <c r="F86" s="487">
        <f>F52/$L14</f>
        <v/>
      </c>
      <c r="G86" s="487">
        <f>G52/$L14</f>
        <v/>
      </c>
      <c r="H86" s="487">
        <f>H52/$L14</f>
        <v/>
      </c>
      <c r="I86" s="487">
        <f>I52/$L14</f>
        <v/>
      </c>
      <c r="J86" s="487">
        <f>J52/$L14</f>
        <v/>
      </c>
      <c r="K86" s="487">
        <f>K52/$L14</f>
        <v/>
      </c>
      <c r="L86" s="487">
        <f>L52/$L14</f>
        <v/>
      </c>
      <c r="M86" s="487">
        <f>M52/$L14</f>
        <v/>
      </c>
      <c r="N86" s="487">
        <f>N52/$L14</f>
        <v/>
      </c>
      <c r="O86" s="487">
        <f>O52/$L14</f>
        <v/>
      </c>
      <c r="P86" s="487">
        <f>P52/$L14</f>
        <v/>
      </c>
      <c r="Q86" s="736">
        <f>Q52/$L14</f>
        <v/>
      </c>
      <c r="R86" s="544" t="n"/>
      <c r="S86" s="78">
        <f>S52/$L14</f>
        <v/>
      </c>
      <c r="T86" s="542" t="n"/>
    </row>
    <row r="87">
      <c r="A87" s="612" t="n"/>
      <c r="B87" s="650">
        <f>B53/$L15</f>
        <v/>
      </c>
      <c r="C87" s="487">
        <f>C53/$L15</f>
        <v/>
      </c>
      <c r="D87" s="487">
        <f>D53/$L15</f>
        <v/>
      </c>
      <c r="E87" s="487">
        <f>E53/$L15</f>
        <v/>
      </c>
      <c r="F87" s="487">
        <f>F53/$L15</f>
        <v/>
      </c>
      <c r="G87" s="487">
        <f>G53/$L15</f>
        <v/>
      </c>
      <c r="H87" s="487">
        <f>H53/$L15</f>
        <v/>
      </c>
      <c r="I87" s="487">
        <f>I53/$L15</f>
        <v/>
      </c>
      <c r="J87" s="487">
        <f>J53/$L15</f>
        <v/>
      </c>
      <c r="K87" s="487">
        <f>K53/$L15</f>
        <v/>
      </c>
      <c r="L87" s="487">
        <f>L53/$L15</f>
        <v/>
      </c>
      <c r="M87" s="487">
        <f>M53/$L15</f>
        <v/>
      </c>
      <c r="N87" s="487">
        <f>N53/$L15</f>
        <v/>
      </c>
      <c r="O87" s="487">
        <f>O53/$L15</f>
        <v/>
      </c>
      <c r="P87" s="487">
        <f>P53/$L15</f>
        <v/>
      </c>
      <c r="Q87" s="736">
        <f>Q53/$L15</f>
        <v/>
      </c>
      <c r="R87" s="544" t="n"/>
      <c r="S87" s="78">
        <f>S53/$L15</f>
        <v/>
      </c>
      <c r="T87" s="542" t="n"/>
    </row>
    <row r="88">
      <c r="A88" s="612" t="n"/>
      <c r="B88" s="650">
        <f>B54/$L16</f>
        <v/>
      </c>
      <c r="C88" s="487">
        <f>C54/$L16</f>
        <v/>
      </c>
      <c r="D88" s="487">
        <f>D54/$L16</f>
        <v/>
      </c>
      <c r="E88" s="487">
        <f>E54/$L16</f>
        <v/>
      </c>
      <c r="F88" s="487">
        <f>F54/$L16</f>
        <v/>
      </c>
      <c r="G88" s="487">
        <f>G54/$L16</f>
        <v/>
      </c>
      <c r="H88" s="487">
        <f>H54/$L16</f>
        <v/>
      </c>
      <c r="I88" s="487">
        <f>I54/$L16</f>
        <v/>
      </c>
      <c r="J88" s="487">
        <f>J54/$L16</f>
        <v/>
      </c>
      <c r="K88" s="487">
        <f>K54/$L16</f>
        <v/>
      </c>
      <c r="L88" s="487">
        <f>L54/$L16</f>
        <v/>
      </c>
      <c r="M88" s="487">
        <f>M54/$L16</f>
        <v/>
      </c>
      <c r="N88" s="487">
        <f>N54/$L16</f>
        <v/>
      </c>
      <c r="O88" s="487">
        <f>O54/$L16</f>
        <v/>
      </c>
      <c r="P88" s="487">
        <f>P54/$L16</f>
        <v/>
      </c>
      <c r="Q88" s="736">
        <f>Q54/$L16</f>
        <v/>
      </c>
      <c r="R88" s="544" t="n"/>
      <c r="S88" s="78">
        <f>S54/$L16</f>
        <v/>
      </c>
      <c r="T88" s="542" t="n"/>
    </row>
    <row r="89">
      <c r="A89" s="612" t="n"/>
      <c r="B89" s="650">
        <f>B55/$L17</f>
        <v/>
      </c>
      <c r="C89" s="487">
        <f>C55/$L17</f>
        <v/>
      </c>
      <c r="D89" s="487">
        <f>D55/$L17</f>
        <v/>
      </c>
      <c r="E89" s="487">
        <f>E55/$L17</f>
        <v/>
      </c>
      <c r="F89" s="487">
        <f>F55/$L17</f>
        <v/>
      </c>
      <c r="G89" s="487">
        <f>G55/$L17</f>
        <v/>
      </c>
      <c r="H89" s="487">
        <f>H55/$L17</f>
        <v/>
      </c>
      <c r="I89" s="487">
        <f>I55/$L17</f>
        <v/>
      </c>
      <c r="J89" s="487">
        <f>J55/$L17</f>
        <v/>
      </c>
      <c r="K89" s="487">
        <f>K55/$L17</f>
        <v/>
      </c>
      <c r="L89" s="487">
        <f>L55/$L17</f>
        <v/>
      </c>
      <c r="M89" s="487">
        <f>M55/$L17</f>
        <v/>
      </c>
      <c r="N89" s="487">
        <f>N55/$L17</f>
        <v/>
      </c>
      <c r="O89" s="487">
        <f>O55/$L17</f>
        <v/>
      </c>
      <c r="P89" s="487">
        <f>P55/$L17</f>
        <v/>
      </c>
      <c r="Q89" s="736">
        <f>Q55/$L17</f>
        <v/>
      </c>
      <c r="R89" s="544" t="n"/>
      <c r="S89" s="78">
        <f>S55/$L17</f>
        <v/>
      </c>
      <c r="T89" s="542" t="n"/>
    </row>
    <row r="90">
      <c r="A90" s="612" t="n"/>
      <c r="B90" s="650">
        <f>B56/$L18</f>
        <v/>
      </c>
      <c r="C90" s="487">
        <f>C56/$L18</f>
        <v/>
      </c>
      <c r="D90" s="487">
        <f>D56/$L18</f>
        <v/>
      </c>
      <c r="E90" s="487">
        <f>E56/$L18</f>
        <v/>
      </c>
      <c r="F90" s="487">
        <f>F56/$L18</f>
        <v/>
      </c>
      <c r="G90" s="487">
        <f>G56/$L18</f>
        <v/>
      </c>
      <c r="H90" s="487">
        <f>H56/$L18</f>
        <v/>
      </c>
      <c r="I90" s="487">
        <f>I56/$L18</f>
        <v/>
      </c>
      <c r="J90" s="487">
        <f>J56/$L18</f>
        <v/>
      </c>
      <c r="K90" s="487">
        <f>K56/$L18</f>
        <v/>
      </c>
      <c r="L90" s="487">
        <f>L56/$L18</f>
        <v/>
      </c>
      <c r="M90" s="487">
        <f>M56/$L18</f>
        <v/>
      </c>
      <c r="N90" s="487">
        <f>N56/$L18</f>
        <v/>
      </c>
      <c r="O90" s="487">
        <f>O56/$L18</f>
        <v/>
      </c>
      <c r="P90" s="487">
        <f>P56/$L18</f>
        <v/>
      </c>
      <c r="Q90" s="736">
        <f>Q56/$L18</f>
        <v/>
      </c>
      <c r="R90" s="544" t="n"/>
      <c r="S90" s="78">
        <f>S56/$L18</f>
        <v/>
      </c>
      <c r="T90" s="542" t="n"/>
    </row>
    <row r="91">
      <c r="A91" s="612" t="n"/>
      <c r="B91" s="650">
        <f>B57/$L19</f>
        <v/>
      </c>
      <c r="C91" s="487">
        <f>C57/$L19</f>
        <v/>
      </c>
      <c r="D91" s="487">
        <f>D57/$L19</f>
        <v/>
      </c>
      <c r="E91" s="487">
        <f>E57/$L19</f>
        <v/>
      </c>
      <c r="F91" s="487">
        <f>F57/$L19</f>
        <v/>
      </c>
      <c r="G91" s="487">
        <f>G57/$L19</f>
        <v/>
      </c>
      <c r="H91" s="487">
        <f>H57/$L19</f>
        <v/>
      </c>
      <c r="I91" s="487">
        <f>I57/$L19</f>
        <v/>
      </c>
      <c r="J91" s="487">
        <f>J57/$L19</f>
        <v/>
      </c>
      <c r="K91" s="487">
        <f>K57/$L19</f>
        <v/>
      </c>
      <c r="L91" s="487">
        <f>L57/$L19</f>
        <v/>
      </c>
      <c r="M91" s="487">
        <f>M57/$L19</f>
        <v/>
      </c>
      <c r="N91" s="487">
        <f>N57/$L19</f>
        <v/>
      </c>
      <c r="O91" s="487">
        <f>O57/$L19</f>
        <v/>
      </c>
      <c r="P91" s="487">
        <f>P57/$L19</f>
        <v/>
      </c>
      <c r="Q91" s="736">
        <f>Q57/$L19</f>
        <v/>
      </c>
      <c r="R91" s="544" t="n"/>
      <c r="S91" s="78">
        <f>S57/$L19</f>
        <v/>
      </c>
      <c r="T91" s="542" t="n"/>
      <c r="U91" s="21" t="inlineStr">
        <is>
          <t>AT</t>
        </is>
      </c>
      <c r="V91" s="596" t="n"/>
      <c r="W91" s="596" t="n"/>
      <c r="X91" s="596" t="n"/>
      <c r="Y91" s="596" t="n"/>
      <c r="Z91" s="596" t="n"/>
      <c r="AA91" s="596" t="n"/>
      <c r="AB91" s="596" t="n"/>
      <c r="AC91" s="596" t="n"/>
      <c r="AD91" s="596" t="n"/>
      <c r="AE91" s="596" t="n"/>
      <c r="AF91" s="596" t="n"/>
      <c r="AG91" s="596" t="n"/>
      <c r="AH91" s="596" t="n"/>
      <c r="AI91" s="596" t="n"/>
      <c r="AJ91" s="596" t="n"/>
      <c r="AK91" s="596" t="n"/>
      <c r="AL91" s="596" t="n"/>
      <c r="AM91" s="596" t="n"/>
      <c r="AN91" s="596" t="n"/>
      <c r="AO91" s="596" t="n"/>
      <c r="AP91" s="596" t="n"/>
      <c r="AQ91" s="596" t="n"/>
      <c r="AR91" s="596" t="n"/>
      <c r="AS91" s="596" t="n"/>
      <c r="AT91" s="596" t="n"/>
      <c r="AU91" s="596" t="n"/>
      <c r="AV91" s="596" t="n"/>
      <c r="AW91" s="596" t="n"/>
      <c r="AX91" s="596" t="n"/>
      <c r="AY91" s="596" t="n"/>
      <c r="AZ91" s="597" t="n"/>
    </row>
    <row r="92">
      <c r="A92" s="612" t="n"/>
      <c r="B92" s="650">
        <f>B58/$L20</f>
        <v/>
      </c>
      <c r="C92" s="487">
        <f>C58/$L20</f>
        <v/>
      </c>
      <c r="D92" s="487">
        <f>D58/$L20</f>
        <v/>
      </c>
      <c r="E92" s="487">
        <f>E58/$L20</f>
        <v/>
      </c>
      <c r="F92" s="487">
        <f>F58/$L20</f>
        <v/>
      </c>
      <c r="G92" s="487">
        <f>G58/$L20</f>
        <v/>
      </c>
      <c r="H92" s="487">
        <f>H58/$L20</f>
        <v/>
      </c>
      <c r="I92" s="487">
        <f>I58/$L20</f>
        <v/>
      </c>
      <c r="J92" s="487">
        <f>J58/$L20</f>
        <v/>
      </c>
      <c r="K92" s="487">
        <f>K58/$L20</f>
        <v/>
      </c>
      <c r="L92" s="487">
        <f>L58/$L20</f>
        <v/>
      </c>
      <c r="M92" s="487">
        <f>M58/$L20</f>
        <v/>
      </c>
      <c r="N92" s="487">
        <f>N58/$L20</f>
        <v/>
      </c>
      <c r="O92" s="487">
        <f>O58/$L20</f>
        <v/>
      </c>
      <c r="P92" s="487">
        <f>P58/$L20</f>
        <v/>
      </c>
      <c r="Q92" s="736">
        <f>Q58/$L20</f>
        <v/>
      </c>
      <c r="R92" s="544" t="n"/>
      <c r="S92" s="78">
        <f>S58/$L20</f>
        <v/>
      </c>
      <c r="T92" s="542" t="n"/>
      <c r="U92" s="8">
        <f t="array" ref="U92:AZ107">TRANSPOSE(B76:Q107)</f>
        <v/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521.7388582232043</v>
      </c>
      <c r="AA92" s="9" t="n">
        <v>0</v>
      </c>
      <c r="AB92" s="9" t="n">
        <v>0</v>
      </c>
      <c r="AC92" s="9" t="n">
        <v>0</v>
      </c>
      <c r="AD92" s="9" t="n">
        <v>-859.0701875623988</v>
      </c>
      <c r="AE92" s="9" t="n">
        <v>-370.4602555455708</v>
      </c>
      <c r="AF92" s="9" t="n">
        <v>173.6459178116386</v>
      </c>
      <c r="AG92" s="9" t="n">
        <v>0</v>
      </c>
      <c r="AH92" s="9" t="n">
        <v>0</v>
      </c>
      <c r="AI92" s="9" t="n">
        <v>0</v>
      </c>
      <c r="AJ92" s="9" t="n">
        <v>0</v>
      </c>
      <c r="AK92" s="9" t="n">
        <v>0</v>
      </c>
      <c r="AL92" s="9" t="n">
        <v>0</v>
      </c>
      <c r="AM92" s="9" t="n">
        <v>0</v>
      </c>
      <c r="AN92" s="9" t="n">
        <v>0</v>
      </c>
      <c r="AO92" s="65" t="n">
        <v>-1134.435402523739</v>
      </c>
      <c r="AP92" s="65" t="n">
        <v>0</v>
      </c>
      <c r="AQ92" s="65" t="n">
        <v>0</v>
      </c>
      <c r="AR92" s="65" t="n">
        <v>0</v>
      </c>
      <c r="AS92" s="65" t="n">
        <v>0</v>
      </c>
      <c r="AT92" s="65" t="n">
        <v>1134.435402523739</v>
      </c>
      <c r="AU92" s="65" t="n">
        <v>0</v>
      </c>
      <c r="AV92" s="65" t="n">
        <v>0</v>
      </c>
      <c r="AW92" s="65" t="n">
        <v>0</v>
      </c>
      <c r="AX92" s="65" t="n">
        <v>0</v>
      </c>
      <c r="AY92" s="65" t="n">
        <v>0</v>
      </c>
      <c r="AZ92" s="66" t="n">
        <v>0</v>
      </c>
    </row>
    <row r="93">
      <c r="A93" s="612" t="n"/>
      <c r="B93" s="650">
        <f>B59/$L21</f>
        <v/>
      </c>
      <c r="C93" s="487">
        <f>C59/$L21</f>
        <v/>
      </c>
      <c r="D93" s="487">
        <f>D59/$L21</f>
        <v/>
      </c>
      <c r="E93" s="487">
        <f>E59/$L21</f>
        <v/>
      </c>
      <c r="F93" s="487">
        <f>F59/$L21</f>
        <v/>
      </c>
      <c r="G93" s="487">
        <f>G59/$L21</f>
        <v/>
      </c>
      <c r="H93" s="487">
        <f>H59/$L21</f>
        <v/>
      </c>
      <c r="I93" s="487">
        <f>I59/$L21</f>
        <v/>
      </c>
      <c r="J93" s="487">
        <f>J59/$L21</f>
        <v/>
      </c>
      <c r="K93" s="487">
        <f>K59/$L21</f>
        <v/>
      </c>
      <c r="L93" s="487">
        <f>L59/$L21</f>
        <v/>
      </c>
      <c r="M93" s="487">
        <f>M59/$L21</f>
        <v/>
      </c>
      <c r="N93" s="487">
        <f>N59/$L21</f>
        <v/>
      </c>
      <c r="O93" s="487">
        <f>O59/$L21</f>
        <v/>
      </c>
      <c r="P93" s="487">
        <f>P59/$L21</f>
        <v/>
      </c>
      <c r="Q93" s="736">
        <f>Q59/$L21</f>
        <v/>
      </c>
      <c r="R93" s="544" t="n"/>
      <c r="S93" s="78">
        <f>S59/$L21</f>
        <v/>
      </c>
      <c r="T93" s="542" t="n"/>
      <c r="U93" s="11" t="n">
        <v>-766.9354133072021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-695.6518109642727</v>
      </c>
      <c r="AA93" s="1" t="n">
        <v>0</v>
      </c>
      <c r="AB93" s="1" t="n">
        <v>0</v>
      </c>
      <c r="AC93" s="1" t="n">
        <v>0</v>
      </c>
      <c r="AD93" s="1" t="n">
        <v>-148.115549579724</v>
      </c>
      <c r="AE93" s="1" t="n">
        <v>-771.3692992181751</v>
      </c>
      <c r="AF93" s="1" t="n">
        <v>-766.9361370014043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25" t="n">
        <v>544.8275288436377</v>
      </c>
      <c r="AP93" s="25" t="n">
        <v>0</v>
      </c>
      <c r="AQ93" s="25" t="n">
        <v>0</v>
      </c>
      <c r="AR93" s="25" t="n">
        <v>0</v>
      </c>
      <c r="AS93" s="25" t="n">
        <v>0</v>
      </c>
      <c r="AT93" s="25" t="n">
        <v>-544.8275288436375</v>
      </c>
      <c r="AU93" s="25" t="n">
        <v>0</v>
      </c>
      <c r="AV93" s="25" t="n">
        <v>0</v>
      </c>
      <c r="AW93" s="25" t="n">
        <v>0</v>
      </c>
      <c r="AX93" s="25" t="n">
        <v>0</v>
      </c>
      <c r="AY93" s="25" t="n">
        <v>0</v>
      </c>
      <c r="AZ93" s="45" t="n">
        <v>0</v>
      </c>
    </row>
    <row r="94">
      <c r="A94" s="612" t="n"/>
      <c r="B94" s="650">
        <f>B60/$L22</f>
        <v/>
      </c>
      <c r="C94" s="487">
        <f>C60/$L22</f>
        <v/>
      </c>
      <c r="D94" s="487">
        <f>D60/$L22</f>
        <v/>
      </c>
      <c r="E94" s="487">
        <f>E60/$L22</f>
        <v/>
      </c>
      <c r="F94" s="487">
        <f>F60/$L22</f>
        <v/>
      </c>
      <c r="G94" s="487">
        <f>G60/$L22</f>
        <v/>
      </c>
      <c r="H94" s="487">
        <f>H60/$L22</f>
        <v/>
      </c>
      <c r="I94" s="487">
        <f>I60/$L22</f>
        <v/>
      </c>
      <c r="J94" s="487">
        <f>J60/$L22</f>
        <v/>
      </c>
      <c r="K94" s="487">
        <f>K60/$L22</f>
        <v/>
      </c>
      <c r="L94" s="487">
        <f>L60/$L22</f>
        <v/>
      </c>
      <c r="M94" s="487">
        <f>M60/$L22</f>
        <v/>
      </c>
      <c r="N94" s="487">
        <f>N60/$L22</f>
        <v/>
      </c>
      <c r="O94" s="487">
        <f>O60/$L22</f>
        <v/>
      </c>
      <c r="P94" s="487">
        <f>P60/$L22</f>
        <v/>
      </c>
      <c r="Q94" s="736">
        <f>Q60/$L22</f>
        <v/>
      </c>
      <c r="R94" s="544" t="n"/>
      <c r="S94" s="78">
        <f>S60/$L22</f>
        <v/>
      </c>
      <c r="T94" s="542" t="n"/>
      <c r="U94" s="1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859.0701875623988</v>
      </c>
      <c r="AE94" s="1" t="n">
        <v>0</v>
      </c>
      <c r="AF94" s="1" t="n">
        <v>0</v>
      </c>
      <c r="AG94" s="1" t="n">
        <v>739.6334691274424</v>
      </c>
      <c r="AH94" s="1" t="n">
        <v>430.358814391428</v>
      </c>
      <c r="AI94" s="1" t="n">
        <v>-131.2759998436544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25" t="n">
        <v>1264.497585052673</v>
      </c>
      <c r="AP94" s="25" t="n">
        <v>-1264.497585052673</v>
      </c>
      <c r="AQ94" s="25" t="n">
        <v>0</v>
      </c>
      <c r="AR94" s="25" t="n">
        <v>0</v>
      </c>
      <c r="AS94" s="25" t="n">
        <v>0</v>
      </c>
      <c r="AT94" s="25" t="n">
        <v>0</v>
      </c>
      <c r="AU94" s="25" t="n">
        <v>0</v>
      </c>
      <c r="AV94" s="25" t="n">
        <v>0</v>
      </c>
      <c r="AW94" s="25" t="n">
        <v>0</v>
      </c>
      <c r="AX94" s="25" t="n">
        <v>0</v>
      </c>
      <c r="AY94" s="25" t="n">
        <v>0</v>
      </c>
      <c r="AZ94" s="45" t="n">
        <v>0</v>
      </c>
    </row>
    <row r="95">
      <c r="A95" s="612" t="n"/>
      <c r="B95" s="650">
        <f>B61/$L23</f>
        <v/>
      </c>
      <c r="C95" s="487">
        <f>C61/$L23</f>
        <v/>
      </c>
      <c r="D95" s="487">
        <f>D61/$L23</f>
        <v/>
      </c>
      <c r="E95" s="487">
        <f>E61/$L23</f>
        <v/>
      </c>
      <c r="F95" s="487">
        <f>F61/$L23</f>
        <v/>
      </c>
      <c r="G95" s="487">
        <f>G61/$L23</f>
        <v/>
      </c>
      <c r="H95" s="487">
        <f>H61/$L23</f>
        <v/>
      </c>
      <c r="I95" s="487">
        <f>I61/$L23</f>
        <v/>
      </c>
      <c r="J95" s="487">
        <f>J61/$L23</f>
        <v/>
      </c>
      <c r="K95" s="487">
        <f>K61/$L23</f>
        <v/>
      </c>
      <c r="L95" s="487">
        <f>L61/$L23</f>
        <v/>
      </c>
      <c r="M95" s="487">
        <f>M61/$L23</f>
        <v/>
      </c>
      <c r="N95" s="487">
        <f>N61/$L23</f>
        <v/>
      </c>
      <c r="O95" s="487">
        <f>O61/$L23</f>
        <v/>
      </c>
      <c r="P95" s="487">
        <f>P61/$L23</f>
        <v/>
      </c>
      <c r="Q95" s="736">
        <f>Q61/$L23</f>
        <v/>
      </c>
      <c r="R95" s="544" t="n"/>
      <c r="S95" s="81">
        <f>S61/$L23</f>
        <v/>
      </c>
      <c r="T95" s="542" t="n"/>
      <c r="U95" s="1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148.115549579724</v>
      </c>
      <c r="AE95" s="1" t="n">
        <v>0</v>
      </c>
      <c r="AF95" s="1" t="n">
        <v>0</v>
      </c>
      <c r="AG95" s="1" t="n">
        <v>-299.0007641153492</v>
      </c>
      <c r="AH95" s="1" t="n">
        <v>-759.1051309404353</v>
      </c>
      <c r="AI95" s="1" t="n">
        <v>-761.4007990931957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25" t="n">
        <v>716.880520659783</v>
      </c>
      <c r="AP95" s="25" t="n">
        <v>-716.880520659783</v>
      </c>
      <c r="AQ95" s="25" t="n">
        <v>0</v>
      </c>
      <c r="AR95" s="25" t="n">
        <v>0</v>
      </c>
      <c r="AS95" s="25" t="n">
        <v>0</v>
      </c>
      <c r="AT95" s="25" t="n">
        <v>0</v>
      </c>
      <c r="AU95" s="25" t="n">
        <v>0</v>
      </c>
      <c r="AV95" s="25" t="n">
        <v>0</v>
      </c>
      <c r="AW95" s="25" t="n">
        <v>0</v>
      </c>
      <c r="AX95" s="25" t="n">
        <v>0</v>
      </c>
      <c r="AY95" s="25" t="n">
        <v>0</v>
      </c>
      <c r="AZ95" s="45" t="n">
        <v>0</v>
      </c>
    </row>
    <row r="96">
      <c r="A96" s="612" t="n"/>
      <c r="B96" s="650">
        <f>B62/$O26</f>
        <v/>
      </c>
      <c r="C96" s="487">
        <f>C62/$O26</f>
        <v/>
      </c>
      <c r="D96" s="487">
        <f>D62/$O26</f>
        <v/>
      </c>
      <c r="E96" s="487">
        <f>E62/$O26</f>
        <v/>
      </c>
      <c r="F96" s="487">
        <f>F62/$O26</f>
        <v/>
      </c>
      <c r="G96" s="487">
        <f>G62/$O26</f>
        <v/>
      </c>
      <c r="H96" s="487">
        <f>H62/$O26</f>
        <v/>
      </c>
      <c r="I96" s="487">
        <f>I62/$O26</f>
        <v/>
      </c>
      <c r="J96" s="487">
        <f>J62/$O26</f>
        <v/>
      </c>
      <c r="K96" s="487">
        <f>K62/$O26</f>
        <v/>
      </c>
      <c r="L96" s="487">
        <f>L62/$O26</f>
        <v/>
      </c>
      <c r="M96" s="487">
        <f>M62/$O26</f>
        <v/>
      </c>
      <c r="N96" s="487">
        <f>N62/$O26</f>
        <v/>
      </c>
      <c r="O96" s="487">
        <f>O62/$O26</f>
        <v/>
      </c>
      <c r="P96" s="487">
        <f>P62/$O26</f>
        <v/>
      </c>
      <c r="Q96" s="736">
        <f>Q62/$O26</f>
        <v/>
      </c>
      <c r="R96" s="544" t="n"/>
      <c r="S96" s="75">
        <f>S62/$O26</f>
        <v/>
      </c>
      <c r="T96" s="542" t="n"/>
      <c r="U96" s="1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131.2759998436544</v>
      </c>
      <c r="AJ96" s="1" t="n">
        <v>809.0506202279863</v>
      </c>
      <c r="AK96" s="1" t="n">
        <v>778.9020355125754</v>
      </c>
      <c r="AL96" s="1" t="n">
        <v>497.850540347031</v>
      </c>
      <c r="AM96" s="1" t="n">
        <v>0</v>
      </c>
      <c r="AN96" s="1" t="n">
        <v>0</v>
      </c>
      <c r="AO96" s="25" t="n">
        <v>0</v>
      </c>
      <c r="AP96" s="25" t="n">
        <v>-834.4311460844473</v>
      </c>
      <c r="AQ96" s="25" t="n">
        <v>834.4311460844473</v>
      </c>
      <c r="AR96" s="25" t="n">
        <v>0</v>
      </c>
      <c r="AS96" s="25" t="n">
        <v>0</v>
      </c>
      <c r="AT96" s="25" t="n">
        <v>0</v>
      </c>
      <c r="AU96" s="25" t="n">
        <v>0</v>
      </c>
      <c r="AV96" s="25" t="n">
        <v>0</v>
      </c>
      <c r="AW96" s="25" t="n">
        <v>0</v>
      </c>
      <c r="AX96" s="25" t="n">
        <v>0</v>
      </c>
      <c r="AY96" s="25" t="n">
        <v>0</v>
      </c>
      <c r="AZ96" s="45" t="n">
        <v>515.8613256753882</v>
      </c>
    </row>
    <row r="97">
      <c r="A97" s="612" t="n"/>
      <c r="B97" s="650">
        <f>B63/$O27</f>
        <v/>
      </c>
      <c r="C97" s="487">
        <f>C63/$O27</f>
        <v/>
      </c>
      <c r="D97" s="487">
        <f>D63/$O27</f>
        <v/>
      </c>
      <c r="E97" s="487">
        <f>E63/$O27</f>
        <v/>
      </c>
      <c r="F97" s="487">
        <f>F63/$O27</f>
        <v/>
      </c>
      <c r="G97" s="487">
        <f>G63/$O27</f>
        <v/>
      </c>
      <c r="H97" s="487">
        <f>H63/$O27</f>
        <v/>
      </c>
      <c r="I97" s="487">
        <f>I63/$O27</f>
        <v/>
      </c>
      <c r="J97" s="487">
        <f>J63/$O27</f>
        <v/>
      </c>
      <c r="K97" s="487">
        <f>K63/$O27</f>
        <v/>
      </c>
      <c r="L97" s="487">
        <f>L63/$O27</f>
        <v/>
      </c>
      <c r="M97" s="487">
        <f>M63/$O27</f>
        <v/>
      </c>
      <c r="N97" s="487">
        <f>N63/$O27</f>
        <v/>
      </c>
      <c r="O97" s="487">
        <f>O63/$O27</f>
        <v/>
      </c>
      <c r="P97" s="487">
        <f>P63/$O27</f>
        <v/>
      </c>
      <c r="Q97" s="736">
        <f>Q63/$O27</f>
        <v/>
      </c>
      <c r="R97" s="544" t="n"/>
      <c r="S97" s="84">
        <f>S63/$O27</f>
        <v/>
      </c>
      <c r="T97" s="542" t="n"/>
      <c r="U97" s="1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761.4007990931957</v>
      </c>
      <c r="AJ97" s="1" t="n">
        <v>-317.8413150895663</v>
      </c>
      <c r="AK97" s="1" t="n">
        <v>152.7258893161911</v>
      </c>
      <c r="AL97" s="1" t="n">
        <v>665.1609678407042</v>
      </c>
      <c r="AM97" s="1" t="n">
        <v>0</v>
      </c>
      <c r="AN97" s="1" t="n">
        <v>0</v>
      </c>
      <c r="AO97" s="25" t="n">
        <v>0</v>
      </c>
      <c r="AP97" s="25" t="n">
        <v>624.5435571920401</v>
      </c>
      <c r="AQ97" s="25" t="n">
        <v>-624.5435571920402</v>
      </c>
      <c r="AR97" s="25" t="n">
        <v>0</v>
      </c>
      <c r="AS97" s="25" t="n">
        <v>0</v>
      </c>
      <c r="AT97" s="25" t="n">
        <v>0</v>
      </c>
      <c r="AU97" s="25" t="n">
        <v>0</v>
      </c>
      <c r="AV97" s="25" t="n">
        <v>0</v>
      </c>
      <c r="AW97" s="25" t="n">
        <v>0</v>
      </c>
      <c r="AX97" s="25" t="n">
        <v>0</v>
      </c>
      <c r="AY97" s="25" t="n">
        <v>0</v>
      </c>
      <c r="AZ97" s="45" t="n">
        <v>1313.101556264625</v>
      </c>
    </row>
    <row r="98">
      <c r="A98" s="612" t="n"/>
      <c r="B98" s="650">
        <f>B64/$O28</f>
        <v/>
      </c>
      <c r="C98" s="487">
        <f>C64/$O28</f>
        <v/>
      </c>
      <c r="D98" s="487">
        <f>D64/$O28</f>
        <v/>
      </c>
      <c r="E98" s="487">
        <f>E64/$O28</f>
        <v/>
      </c>
      <c r="F98" s="487">
        <f>F64/$O28</f>
        <v/>
      </c>
      <c r="G98" s="487">
        <f>G64/$O28</f>
        <v/>
      </c>
      <c r="H98" s="487">
        <f>H64/$O28</f>
        <v/>
      </c>
      <c r="I98" s="487">
        <f>I64/$O28</f>
        <v/>
      </c>
      <c r="J98" s="487">
        <f>J64/$O28</f>
        <v/>
      </c>
      <c r="K98" s="487">
        <f>K64/$O28</f>
        <v/>
      </c>
      <c r="L98" s="487">
        <f>L64/$O28</f>
        <v/>
      </c>
      <c r="M98" s="487">
        <f>M64/$O28</f>
        <v/>
      </c>
      <c r="N98" s="487">
        <f>N64/$O28</f>
        <v/>
      </c>
      <c r="O98" s="487">
        <f>O64/$O28</f>
        <v/>
      </c>
      <c r="P98" s="487">
        <f>P64/$O28</f>
        <v/>
      </c>
      <c r="Q98" s="736">
        <f>Q64/$O28</f>
        <v/>
      </c>
      <c r="R98" s="544" t="n"/>
      <c r="S98" s="84">
        <f>S64/$O28</f>
        <v/>
      </c>
      <c r="T98" s="542" t="n"/>
      <c r="U98" s="11" t="n">
        <v>0</v>
      </c>
      <c r="V98" s="1" t="n">
        <v>638.978685145635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-809.0506202279863</v>
      </c>
      <c r="AK98" s="1" t="n">
        <v>0</v>
      </c>
      <c r="AL98" s="1" t="n">
        <v>0</v>
      </c>
      <c r="AM98" s="1" t="n">
        <v>0</v>
      </c>
      <c r="AN98" s="1" t="n">
        <v>777.4856989949255</v>
      </c>
      <c r="AO98" s="25" t="n">
        <v>0</v>
      </c>
      <c r="AP98" s="25" t="n">
        <v>0</v>
      </c>
      <c r="AQ98" s="25" t="n">
        <v>-966.8332384225932</v>
      </c>
      <c r="AR98" s="25" t="n">
        <v>966.8332384225932</v>
      </c>
      <c r="AS98" s="25" t="n">
        <v>0</v>
      </c>
      <c r="AT98" s="25" t="n">
        <v>0</v>
      </c>
      <c r="AU98" s="25" t="n">
        <v>0</v>
      </c>
      <c r="AV98" s="25" t="n">
        <v>0</v>
      </c>
      <c r="AW98" s="25" t="n">
        <v>542.1336261037798</v>
      </c>
      <c r="AX98" s="25" t="n">
        <v>-1460.966287252866</v>
      </c>
      <c r="AY98" s="25" t="n">
        <v>-48.00057727350653</v>
      </c>
      <c r="AZ98" s="45" t="n">
        <v>450.971912747205</v>
      </c>
    </row>
    <row r="99">
      <c r="A99" s="612" t="n"/>
      <c r="B99" s="650">
        <f>B65/$O29</f>
        <v/>
      </c>
      <c r="C99" s="487">
        <f>C65/$O29</f>
        <v/>
      </c>
      <c r="D99" s="487">
        <f>D65/$O29</f>
        <v/>
      </c>
      <c r="E99" s="487">
        <f>E65/$O29</f>
        <v/>
      </c>
      <c r="F99" s="487">
        <f>F65/$O29</f>
        <v/>
      </c>
      <c r="G99" s="487">
        <f>G65/$O29</f>
        <v/>
      </c>
      <c r="H99" s="487">
        <f>H65/$O29</f>
        <v/>
      </c>
      <c r="I99" s="487">
        <f>I65/$O29</f>
        <v/>
      </c>
      <c r="J99" s="487">
        <f>J65/$O29</f>
        <v/>
      </c>
      <c r="K99" s="487">
        <f>K65/$O29</f>
        <v/>
      </c>
      <c r="L99" s="487">
        <f>L65/$O29</f>
        <v/>
      </c>
      <c r="M99" s="487">
        <f>M65/$O29</f>
        <v/>
      </c>
      <c r="N99" s="487">
        <f>N65/$O29</f>
        <v/>
      </c>
      <c r="O99" s="487">
        <f>O65/$O29</f>
        <v/>
      </c>
      <c r="P99" s="487">
        <f>P65/$O29</f>
        <v/>
      </c>
      <c r="Q99" s="736">
        <f>Q65/$O29</f>
        <v/>
      </c>
      <c r="R99" s="544" t="n"/>
      <c r="S99" s="84">
        <f>S65/$O29</f>
        <v/>
      </c>
      <c r="T99" s="542" t="n"/>
      <c r="U99" s="11" t="n">
        <v>0</v>
      </c>
      <c r="V99" s="1" t="n">
        <v>583.4153212199276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317.8413150895663</v>
      </c>
      <c r="AK99" s="1" t="n">
        <v>0</v>
      </c>
      <c r="AL99" s="1" t="n">
        <v>0</v>
      </c>
      <c r="AM99" s="1" t="n">
        <v>0</v>
      </c>
      <c r="AN99" s="1" t="n">
        <v>-362.8266595309657</v>
      </c>
      <c r="AO99" s="25" t="n">
        <v>0</v>
      </c>
      <c r="AP99" s="25" t="n">
        <v>0</v>
      </c>
      <c r="AQ99" s="25" t="n">
        <v>-79.8302673926912</v>
      </c>
      <c r="AR99" s="25" t="n">
        <v>79.8302673926912</v>
      </c>
      <c r="AS99" s="25" t="n">
        <v>0</v>
      </c>
      <c r="AT99" s="25" t="n">
        <v>0</v>
      </c>
      <c r="AU99" s="25" t="n">
        <v>0</v>
      </c>
      <c r="AV99" s="25" t="n">
        <v>0</v>
      </c>
      <c r="AW99" s="25" t="n">
        <v>1161.714913079528</v>
      </c>
      <c r="AX99" s="25" t="n">
        <v>-155.3743794400524</v>
      </c>
      <c r="AY99" s="25" t="n">
        <v>-1086.170801032167</v>
      </c>
      <c r="AZ99" s="45" t="n">
        <v>-1233.271288871933</v>
      </c>
    </row>
    <row r="100">
      <c r="A100" s="612" t="n"/>
      <c r="B100" s="647">
        <f>B66/$O30</f>
        <v/>
      </c>
      <c r="C100" s="648">
        <f>C66/$O30</f>
        <v/>
      </c>
      <c r="D100" s="648">
        <f>D66/$O30</f>
        <v/>
      </c>
      <c r="E100" s="648">
        <f>E66/$O30</f>
        <v/>
      </c>
      <c r="F100" s="648">
        <f>F66/$O30</f>
        <v/>
      </c>
      <c r="G100" s="648">
        <f>G66/$O30</f>
        <v/>
      </c>
      <c r="H100" s="648">
        <f>H66/$O30</f>
        <v/>
      </c>
      <c r="I100" s="648">
        <f>I66/$O30</f>
        <v/>
      </c>
      <c r="J100" s="648">
        <f>J66/$O30</f>
        <v/>
      </c>
      <c r="K100" s="648">
        <f>K66/$O30</f>
        <v/>
      </c>
      <c r="L100" s="648">
        <f>L66/$O30</f>
        <v/>
      </c>
      <c r="M100" s="648">
        <f>M66/$O30</f>
        <v/>
      </c>
      <c r="N100" s="648">
        <f>N66/$O30</f>
        <v/>
      </c>
      <c r="O100" s="648">
        <f>O66/$O30</f>
        <v/>
      </c>
      <c r="P100" s="648">
        <f>P66/$O30</f>
        <v/>
      </c>
      <c r="Q100" s="735">
        <f>Q66/$O30</f>
        <v/>
      </c>
      <c r="R100" s="555" t="n"/>
      <c r="S100" s="84">
        <f>S66/$O30</f>
        <v/>
      </c>
      <c r="T100" s="542" t="n"/>
      <c r="U100" s="11" t="n">
        <v>0</v>
      </c>
      <c r="V100" s="1" t="n">
        <v>0</v>
      </c>
      <c r="W100" s="1" t="n">
        <v>-166.4161028811412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-11.83527752325168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-377.8794438441299</v>
      </c>
      <c r="AN100" s="1" t="n">
        <v>-777.4856989949255</v>
      </c>
      <c r="AO100" s="25" t="n">
        <v>0</v>
      </c>
      <c r="AP100" s="25" t="n">
        <v>0</v>
      </c>
      <c r="AQ100" s="25" t="n">
        <v>0</v>
      </c>
      <c r="AR100" s="25" t="n">
        <v>0</v>
      </c>
      <c r="AS100" s="25" t="n">
        <v>0</v>
      </c>
      <c r="AT100" s="25" t="n">
        <v>0</v>
      </c>
      <c r="AU100" s="25" t="n">
        <v>-502.9865441086901</v>
      </c>
      <c r="AV100" s="25" t="n">
        <v>616.2122718356139</v>
      </c>
      <c r="AW100" s="25" t="n">
        <v>7.62438112211089</v>
      </c>
      <c r="AX100" s="25" t="n">
        <v>542.1336261037798</v>
      </c>
      <c r="AY100" s="25" t="n">
        <v>0</v>
      </c>
      <c r="AZ100" s="45" t="n">
        <v>0</v>
      </c>
    </row>
    <row r="101">
      <c r="B101" s="650">
        <f>B67/$O31</f>
        <v/>
      </c>
      <c r="C101" s="487">
        <f>C67/$O31</f>
        <v/>
      </c>
      <c r="D101" s="487">
        <f>D67/$O31</f>
        <v/>
      </c>
      <c r="E101" s="487">
        <f>E67/$O31</f>
        <v/>
      </c>
      <c r="F101" s="487">
        <f>F67/$O31</f>
        <v/>
      </c>
      <c r="G101" s="487">
        <f>G67/$O31</f>
        <v/>
      </c>
      <c r="H101" s="487">
        <f>H67/$O31</f>
        <v/>
      </c>
      <c r="I101" s="487">
        <f>I67/$O31</f>
        <v/>
      </c>
      <c r="J101" s="487">
        <f>J67/$O31</f>
        <v/>
      </c>
      <c r="K101" s="487">
        <f>K67/$O31</f>
        <v/>
      </c>
      <c r="L101" s="487">
        <f>L67/$O31</f>
        <v/>
      </c>
      <c r="M101" s="487">
        <f>M67/$O31</f>
        <v/>
      </c>
      <c r="N101" s="487">
        <f>N67/$O31</f>
        <v/>
      </c>
      <c r="O101" s="487">
        <f>O67/$O31</f>
        <v/>
      </c>
      <c r="P101" s="487">
        <f>P67/$O31</f>
        <v/>
      </c>
      <c r="Q101" s="736">
        <f>Q67/$O31</f>
        <v/>
      </c>
      <c r="R101" s="544" t="n"/>
      <c r="S101" s="84">
        <f>S67/$O31</f>
        <v/>
      </c>
      <c r="T101" s="542" t="n"/>
      <c r="U101" s="11" t="n">
        <v>0</v>
      </c>
      <c r="V101" s="1" t="n">
        <v>0</v>
      </c>
      <c r="W101" s="1" t="n">
        <v>832.0805144057055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757.457761488113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647.7933323042234</v>
      </c>
      <c r="AN101" s="1" t="n">
        <v>362.8266595309657</v>
      </c>
      <c r="AO101" s="25" t="n">
        <v>0</v>
      </c>
      <c r="AP101" s="25" t="n">
        <v>0</v>
      </c>
      <c r="AQ101" s="25" t="n">
        <v>0</v>
      </c>
      <c r="AR101" s="25" t="n">
        <v>0</v>
      </c>
      <c r="AS101" s="25" t="n">
        <v>0</v>
      </c>
      <c r="AT101" s="25" t="n">
        <v>0</v>
      </c>
      <c r="AU101" s="25" t="n">
        <v>-222.8349349536632</v>
      </c>
      <c r="AV101" s="25" t="n">
        <v>-87.49811506946871</v>
      </c>
      <c r="AW101" s="25" t="n">
        <v>-841.0227421977584</v>
      </c>
      <c r="AX101" s="25" t="n">
        <v>1161.714913079528</v>
      </c>
      <c r="AY101" s="25" t="n">
        <v>0</v>
      </c>
      <c r="AZ101" s="45" t="n">
        <v>0</v>
      </c>
    </row>
    <row r="102">
      <c r="B102" s="650">
        <f>B68/$O32</f>
        <v/>
      </c>
      <c r="C102" s="487">
        <f>C68/$O32</f>
        <v/>
      </c>
      <c r="D102" s="487">
        <f>D68/$O32</f>
        <v/>
      </c>
      <c r="E102" s="487">
        <f>E68/$O32</f>
        <v/>
      </c>
      <c r="F102" s="487">
        <f>F68/$O32</f>
        <v/>
      </c>
      <c r="G102" s="487">
        <f>G68/$O32</f>
        <v/>
      </c>
      <c r="H102" s="487">
        <f>H68/$O32</f>
        <v/>
      </c>
      <c r="I102" s="487">
        <f>I68/$O32</f>
        <v/>
      </c>
      <c r="J102" s="487">
        <f>J68/$O32</f>
        <v/>
      </c>
      <c r="K102" s="487">
        <f>K68/$O32</f>
        <v/>
      </c>
      <c r="L102" s="487">
        <f>L68/$O32</f>
        <v/>
      </c>
      <c r="M102" s="487">
        <f>M68/$O32</f>
        <v/>
      </c>
      <c r="N102" s="487">
        <f>N68/$O32</f>
        <v/>
      </c>
      <c r="O102" s="487">
        <f>O68/$O32</f>
        <v/>
      </c>
      <c r="P102" s="487">
        <f>P68/$O32</f>
        <v/>
      </c>
      <c r="Q102" s="736">
        <f>Q68/$O32</f>
        <v/>
      </c>
      <c r="R102" s="544" t="n"/>
      <c r="S102" s="84">
        <f>S68/$O32</f>
        <v/>
      </c>
      <c r="T102" s="542" t="n"/>
      <c r="U102" s="11" t="n">
        <v>-173.6457539563472</v>
      </c>
      <c r="V102" s="1" t="n">
        <v>-638.978685145635</v>
      </c>
      <c r="W102" s="1" t="n">
        <v>166.4161028811412</v>
      </c>
      <c r="X102" s="1" t="n">
        <v>176.475126219299</v>
      </c>
      <c r="Y102" s="1" t="n">
        <v>-648.8432542649895</v>
      </c>
      <c r="Z102" s="1" t="n">
        <v>0</v>
      </c>
      <c r="AA102" s="1" t="n">
        <v>0</v>
      </c>
      <c r="AB102" s="1" t="n">
        <v>176.4747726760782</v>
      </c>
      <c r="AC102" s="1" t="n">
        <v>0</v>
      </c>
      <c r="AD102" s="1" t="n">
        <v>0</v>
      </c>
      <c r="AE102" s="1" t="n">
        <v>0</v>
      </c>
      <c r="AF102" s="1" t="n">
        <v>-173.6459178116386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-778.9020355125754</v>
      </c>
      <c r="AL102" s="1" t="n">
        <v>0</v>
      </c>
      <c r="AM102" s="1" t="n">
        <v>0</v>
      </c>
      <c r="AN102" s="1" t="n">
        <v>0</v>
      </c>
      <c r="AO102" s="25" t="n">
        <v>0</v>
      </c>
      <c r="AP102" s="25" t="n">
        <v>0</v>
      </c>
      <c r="AQ102" s="25" t="n">
        <v>0</v>
      </c>
      <c r="AR102" s="25" t="n">
        <v>-787.292164921495</v>
      </c>
      <c r="AS102" s="25" t="n">
        <v>787.292164921495</v>
      </c>
      <c r="AT102" s="25" t="n">
        <v>0</v>
      </c>
      <c r="AU102" s="25" t="n">
        <v>1165.970279061504</v>
      </c>
      <c r="AV102" s="25" t="n">
        <v>-1165.970279061504</v>
      </c>
      <c r="AW102" s="25" t="n">
        <v>0</v>
      </c>
      <c r="AX102" s="25" t="n">
        <v>918.8326611490867</v>
      </c>
      <c r="AY102" s="25" t="n">
        <v>-918.8326611490867</v>
      </c>
      <c r="AZ102" s="45" t="n">
        <v>0</v>
      </c>
    </row>
    <row r="103">
      <c r="B103" s="650">
        <f>B69/$O33</f>
        <v/>
      </c>
      <c r="C103" s="487">
        <f>C69/$O33</f>
        <v/>
      </c>
      <c r="D103" s="487">
        <f>D69/$O33</f>
        <v/>
      </c>
      <c r="E103" s="487">
        <f>E69/$O33</f>
        <v/>
      </c>
      <c r="F103" s="487">
        <f>F69/$O33</f>
        <v/>
      </c>
      <c r="G103" s="487">
        <f>G69/$O33</f>
        <v/>
      </c>
      <c r="H103" s="487">
        <f>H69/$O33</f>
        <v/>
      </c>
      <c r="I103" s="487">
        <f>I69/$O33</f>
        <v/>
      </c>
      <c r="J103" s="487">
        <f>J69/$O33</f>
        <v/>
      </c>
      <c r="K103" s="487">
        <f>K69/$O33</f>
        <v/>
      </c>
      <c r="L103" s="487">
        <f>L69/$O33</f>
        <v/>
      </c>
      <c r="M103" s="487">
        <f>M69/$O33</f>
        <v/>
      </c>
      <c r="N103" s="487">
        <f>N69/$O33</f>
        <v/>
      </c>
      <c r="O103" s="487">
        <f>O69/$O33</f>
        <v/>
      </c>
      <c r="P103" s="487">
        <f>P69/$O33</f>
        <v/>
      </c>
      <c r="Q103" s="736">
        <f>Q69/$O33</f>
        <v/>
      </c>
      <c r="R103" s="544" t="n"/>
      <c r="S103" s="84">
        <f>S69/$O33</f>
        <v/>
      </c>
      <c r="T103" s="542" t="n"/>
      <c r="U103" s="11" t="n">
        <v>766.9354133072021</v>
      </c>
      <c r="V103" s="1" t="n">
        <v>-583.4153212199276</v>
      </c>
      <c r="W103" s="1" t="n">
        <v>-832.0805144057055</v>
      </c>
      <c r="X103" s="1" t="n">
        <v>852.9631100599474</v>
      </c>
      <c r="Y103" s="1" t="n">
        <v>551.2728400898036</v>
      </c>
      <c r="Z103" s="1" t="n">
        <v>0</v>
      </c>
      <c r="AA103" s="1" t="n">
        <v>0</v>
      </c>
      <c r="AB103" s="1" t="n">
        <v>852.9614012677113</v>
      </c>
      <c r="AC103" s="1" t="n">
        <v>0</v>
      </c>
      <c r="AD103" s="1" t="n">
        <v>0</v>
      </c>
      <c r="AE103" s="1" t="n">
        <v>0</v>
      </c>
      <c r="AF103" s="1" t="n">
        <v>766.9361370014043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-152.7258893161911</v>
      </c>
      <c r="AL103" s="1" t="n">
        <v>0</v>
      </c>
      <c r="AM103" s="1" t="n">
        <v>0</v>
      </c>
      <c r="AN103" s="1" t="n">
        <v>0</v>
      </c>
      <c r="AO103" s="25" t="n">
        <v>0</v>
      </c>
      <c r="AP103" s="25" t="n">
        <v>0</v>
      </c>
      <c r="AQ103" s="25" t="n">
        <v>0</v>
      </c>
      <c r="AR103" s="25" t="n">
        <v>-926.6359109252995</v>
      </c>
      <c r="AS103" s="25" t="n">
        <v>926.6359109252995</v>
      </c>
      <c r="AT103" s="25" t="n">
        <v>0</v>
      </c>
      <c r="AU103" s="25" t="n">
        <v>233.1940558123009</v>
      </c>
      <c r="AV103" s="25" t="n">
        <v>-233.1940558123009</v>
      </c>
      <c r="AW103" s="25" t="n">
        <v>0</v>
      </c>
      <c r="AX103" s="25" t="n">
        <v>-1006.340533639476</v>
      </c>
      <c r="AY103" s="25" t="n">
        <v>1006.340533639476</v>
      </c>
      <c r="AZ103" s="45" t="n">
        <v>0</v>
      </c>
    </row>
    <row r="104">
      <c r="B104" s="650">
        <f>B70/$O34</f>
        <v/>
      </c>
      <c r="C104" s="487">
        <f>C70/$O34</f>
        <v/>
      </c>
      <c r="D104" s="487">
        <f>D70/$O34</f>
        <v/>
      </c>
      <c r="E104" s="487">
        <f>E70/$O34</f>
        <v/>
      </c>
      <c r="F104" s="487">
        <f>F70/$O34</f>
        <v/>
      </c>
      <c r="G104" s="487">
        <f>G70/$O34</f>
        <v/>
      </c>
      <c r="H104" s="487">
        <f>H70/$O34</f>
        <v/>
      </c>
      <c r="I104" s="487">
        <f>I70/$O34</f>
        <v/>
      </c>
      <c r="J104" s="487">
        <f>J70/$O34</f>
        <v/>
      </c>
      <c r="K104" s="487">
        <f>K70/$O34</f>
        <v/>
      </c>
      <c r="L104" s="487">
        <f>L70/$O34</f>
        <v/>
      </c>
      <c r="M104" s="487">
        <f>M70/$O34</f>
        <v/>
      </c>
      <c r="N104" s="487">
        <f>N70/$O34</f>
        <v/>
      </c>
      <c r="O104" s="487">
        <f>O70/$O34</f>
        <v/>
      </c>
      <c r="P104" s="487">
        <f>P70/$O34</f>
        <v/>
      </c>
      <c r="Q104" s="736">
        <f>Q70/$O34</f>
        <v/>
      </c>
      <c r="R104" s="544" t="n"/>
      <c r="S104" s="84">
        <f>S70/$O34</f>
        <v/>
      </c>
      <c r="T104" s="542" t="n"/>
      <c r="U104" s="11" t="n">
        <v>0</v>
      </c>
      <c r="V104" s="1" t="n">
        <v>0</v>
      </c>
      <c r="W104" s="1" t="n">
        <v>0</v>
      </c>
      <c r="X104" s="1" t="n">
        <v>-176.475126219299</v>
      </c>
      <c r="Y104" s="1" t="n">
        <v>0</v>
      </c>
      <c r="Z104" s="1" t="n">
        <v>-521.7388582232043</v>
      </c>
      <c r="AA104" s="1" t="n">
        <v>-841.4861035042926</v>
      </c>
      <c r="AB104" s="1" t="n">
        <v>-176.4747726760782</v>
      </c>
      <c r="AC104" s="1" t="n">
        <v>11.83527752325168</v>
      </c>
      <c r="AD104" s="1" t="n">
        <v>0</v>
      </c>
      <c r="AE104" s="1" t="n">
        <v>0</v>
      </c>
      <c r="AF104" s="1" t="n">
        <v>0</v>
      </c>
      <c r="AG104" s="1" t="n">
        <v>-739.6334691274424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25" t="n">
        <v>0</v>
      </c>
      <c r="AP104" s="25" t="n">
        <v>0</v>
      </c>
      <c r="AQ104" s="25" t="n">
        <v>0</v>
      </c>
      <c r="AR104" s="25" t="n">
        <v>0</v>
      </c>
      <c r="AS104" s="25" t="n">
        <v>246.0990434260211</v>
      </c>
      <c r="AT104" s="25" t="n">
        <v>-246.0990434260211</v>
      </c>
      <c r="AU104" s="25" t="n">
        <v>-662.9837349528144</v>
      </c>
      <c r="AV104" s="25" t="n">
        <v>0</v>
      </c>
      <c r="AW104" s="25" t="n">
        <v>0</v>
      </c>
      <c r="AX104" s="25" t="n">
        <v>0</v>
      </c>
      <c r="AY104" s="25" t="n">
        <v>0</v>
      </c>
      <c r="AZ104" s="45" t="n">
        <v>0</v>
      </c>
    </row>
    <row r="105">
      <c r="B105" s="650">
        <f>B71/$O35</f>
        <v/>
      </c>
      <c r="C105" s="487">
        <f>C71/$O35</f>
        <v/>
      </c>
      <c r="D105" s="487">
        <f>D71/$O35</f>
        <v/>
      </c>
      <c r="E105" s="487">
        <f>E71/$O35</f>
        <v/>
      </c>
      <c r="F105" s="487">
        <f>F71/$O35</f>
        <v/>
      </c>
      <c r="G105" s="487">
        <f>G71/$O35</f>
        <v/>
      </c>
      <c r="H105" s="487">
        <f>H71/$O35</f>
        <v/>
      </c>
      <c r="I105" s="487">
        <f>I71/$O35</f>
        <v/>
      </c>
      <c r="J105" s="487">
        <f>J71/$O35</f>
        <v/>
      </c>
      <c r="K105" s="487">
        <f>K71/$O35</f>
        <v/>
      </c>
      <c r="L105" s="487">
        <f>L71/$O35</f>
        <v/>
      </c>
      <c r="M105" s="487">
        <f>M71/$O35</f>
        <v/>
      </c>
      <c r="N105" s="487">
        <f>N71/$O35</f>
        <v/>
      </c>
      <c r="O105" s="487">
        <f>O71/$O35</f>
        <v/>
      </c>
      <c r="P105" s="487">
        <f>P71/$O35</f>
        <v/>
      </c>
      <c r="Q105" s="736">
        <f>Q71/$O35</f>
        <v/>
      </c>
      <c r="R105" s="544" t="n"/>
      <c r="S105" s="84">
        <f>S71/$O35</f>
        <v/>
      </c>
      <c r="T105" s="542" t="n"/>
      <c r="U105" s="11" t="n">
        <v>0</v>
      </c>
      <c r="V105" s="1" t="n">
        <v>0</v>
      </c>
      <c r="W105" s="1" t="n">
        <v>0</v>
      </c>
      <c r="X105" s="1" t="n">
        <v>-852.9631100599474</v>
      </c>
      <c r="Y105" s="1" t="n">
        <v>0</v>
      </c>
      <c r="Z105" s="1" t="n">
        <v>695.6518109642727</v>
      </c>
      <c r="AA105" s="1" t="n">
        <v>-165.1997258413335</v>
      </c>
      <c r="AB105" s="1" t="n">
        <v>-852.9614012677113</v>
      </c>
      <c r="AC105" s="1" t="n">
        <v>-757.457761488113</v>
      </c>
      <c r="AD105" s="1" t="n">
        <v>0</v>
      </c>
      <c r="AE105" s="1" t="n">
        <v>0</v>
      </c>
      <c r="AF105" s="1" t="n">
        <v>0</v>
      </c>
      <c r="AG105" s="1" t="n">
        <v>299.0007641153492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25" t="n">
        <v>0</v>
      </c>
      <c r="AP105" s="25" t="n">
        <v>0</v>
      </c>
      <c r="AQ105" s="25" t="n">
        <v>0</v>
      </c>
      <c r="AR105" s="25" t="n">
        <v>0</v>
      </c>
      <c r="AS105" s="25" t="n">
        <v>-1253.567002451295</v>
      </c>
      <c r="AT105" s="25" t="n">
        <v>1253.567002451295</v>
      </c>
      <c r="AU105" s="25" t="n">
        <v>-10.35912085863773</v>
      </c>
      <c r="AV105" s="25" t="n">
        <v>0</v>
      </c>
      <c r="AW105" s="25" t="n">
        <v>0</v>
      </c>
      <c r="AX105" s="25" t="n">
        <v>0</v>
      </c>
      <c r="AY105" s="25" t="n">
        <v>0</v>
      </c>
      <c r="AZ105" s="45" t="n">
        <v>0</v>
      </c>
    </row>
    <row r="106">
      <c r="B106" s="650">
        <f>B72/$O36</f>
        <v/>
      </c>
      <c r="C106" s="487">
        <f>C72/$O36</f>
        <v/>
      </c>
      <c r="D106" s="487">
        <f>D72/$O36</f>
        <v/>
      </c>
      <c r="E106" s="487">
        <f>E72/$O36</f>
        <v/>
      </c>
      <c r="F106" s="487">
        <f>F72/$O36</f>
        <v/>
      </c>
      <c r="G106" s="487">
        <f>G72/$O36</f>
        <v/>
      </c>
      <c r="H106" s="487">
        <f>H72/$O36</f>
        <v/>
      </c>
      <c r="I106" s="487">
        <f>I72/$O36</f>
        <v/>
      </c>
      <c r="J106" s="487">
        <f>J72/$O36</f>
        <v/>
      </c>
      <c r="K106" s="487">
        <f>K72/$O36</f>
        <v/>
      </c>
      <c r="L106" s="487">
        <f>L72/$O36</f>
        <v/>
      </c>
      <c r="M106" s="487">
        <f>M72/$O36</f>
        <v/>
      </c>
      <c r="N106" s="487">
        <f>N72/$O36</f>
        <v/>
      </c>
      <c r="O106" s="487">
        <f>O72/$O36</f>
        <v/>
      </c>
      <c r="P106" s="487">
        <f>P72/$O36</f>
        <v/>
      </c>
      <c r="Q106" s="736">
        <f>Q72/$O36</f>
        <v/>
      </c>
      <c r="R106" s="544" t="n"/>
      <c r="S106" s="84">
        <f>S72/$O36</f>
        <v/>
      </c>
      <c r="T106" s="542" t="n"/>
      <c r="U106" s="11" t="n">
        <v>0</v>
      </c>
      <c r="V106" s="1" t="n">
        <v>0</v>
      </c>
      <c r="W106" s="1" t="n">
        <v>0</v>
      </c>
      <c r="X106" s="1" t="n">
        <v>0</v>
      </c>
      <c r="Y106" s="1" t="n">
        <v>648.8432542649895</v>
      </c>
      <c r="Z106" s="1" t="n">
        <v>0</v>
      </c>
      <c r="AA106" s="1" t="n">
        <v>841.4861035042926</v>
      </c>
      <c r="AB106" s="1" t="n">
        <v>0</v>
      </c>
      <c r="AC106" s="1" t="n">
        <v>0</v>
      </c>
      <c r="AD106" s="1" t="n">
        <v>0</v>
      </c>
      <c r="AE106" s="1" t="n">
        <v>370.4602555455708</v>
      </c>
      <c r="AF106" s="1" t="n">
        <v>0</v>
      </c>
      <c r="AG106" s="1" t="n">
        <v>0</v>
      </c>
      <c r="AH106" s="1" t="n">
        <v>-430.358814391428</v>
      </c>
      <c r="AI106" s="1" t="n">
        <v>0</v>
      </c>
      <c r="AJ106" s="1" t="n">
        <v>0</v>
      </c>
      <c r="AK106" s="1" t="n">
        <v>0</v>
      </c>
      <c r="AL106" s="1" t="n">
        <v>-497.850540347031</v>
      </c>
      <c r="AM106" s="1" t="n">
        <v>377.8794438441299</v>
      </c>
      <c r="AN106" s="1" t="n">
        <v>0</v>
      </c>
      <c r="AO106" s="25" t="n">
        <v>-130.0621825289342</v>
      </c>
      <c r="AP106" s="25" t="n">
        <v>2098.92873113712</v>
      </c>
      <c r="AQ106" s="25" t="n">
        <v>132.402092338146</v>
      </c>
      <c r="AR106" s="25" t="n">
        <v>-179.5410735010983</v>
      </c>
      <c r="AS106" s="25" t="n">
        <v>-1033.391208347516</v>
      </c>
      <c r="AT106" s="25" t="n">
        <v>-888.3363590977174</v>
      </c>
      <c r="AU106" s="25" t="n">
        <v>0</v>
      </c>
      <c r="AV106" s="25" t="n">
        <v>549.7580072258907</v>
      </c>
      <c r="AW106" s="25" t="n">
        <v>-549.7580072258907</v>
      </c>
      <c r="AX106" s="25" t="n">
        <v>0</v>
      </c>
      <c r="AY106" s="25" t="n">
        <v>966.8332384225932</v>
      </c>
      <c r="AZ106" s="45" t="n">
        <v>-966.8332384225932</v>
      </c>
    </row>
    <row r="107">
      <c r="B107" s="650">
        <f>B73/$O37</f>
        <v/>
      </c>
      <c r="C107" s="487">
        <f>C73/$O37</f>
        <v/>
      </c>
      <c r="D107" s="487">
        <f>D73/$O37</f>
        <v/>
      </c>
      <c r="E107" s="487">
        <f>E73/$O37</f>
        <v/>
      </c>
      <c r="F107" s="487">
        <f>F73/$O37</f>
        <v/>
      </c>
      <c r="G107" s="487">
        <f>G73/$O37</f>
        <v/>
      </c>
      <c r="H107" s="487">
        <f>H73/$O37</f>
        <v/>
      </c>
      <c r="I107" s="487">
        <f>I73/$O37</f>
        <v/>
      </c>
      <c r="J107" s="487">
        <f>J73/$O37</f>
        <v/>
      </c>
      <c r="K107" s="487">
        <f>K73/$O37</f>
        <v/>
      </c>
      <c r="L107" s="487">
        <f>L73/$O37</f>
        <v/>
      </c>
      <c r="M107" s="487">
        <f>M73/$O37</f>
        <v/>
      </c>
      <c r="N107" s="487">
        <f>N73/$O37</f>
        <v/>
      </c>
      <c r="O107" s="487">
        <f>O73/$O37</f>
        <v/>
      </c>
      <c r="P107" s="487">
        <f>P73/$O37</f>
        <v/>
      </c>
      <c r="Q107" s="736">
        <f>Q73/$O37</f>
        <v/>
      </c>
      <c r="R107" s="544" t="n"/>
      <c r="S107" s="85">
        <f>S73/$O37</f>
        <v/>
      </c>
      <c r="T107" s="542" t="n"/>
      <c r="U107" s="13" t="n">
        <v>0</v>
      </c>
      <c r="V107" s="14" t="n">
        <v>0</v>
      </c>
      <c r="W107" s="14" t="n">
        <v>0</v>
      </c>
      <c r="X107" s="14" t="n">
        <v>0</v>
      </c>
      <c r="Y107" s="14" t="n">
        <v>-551.2728400898036</v>
      </c>
      <c r="Z107" s="14" t="n">
        <v>0</v>
      </c>
      <c r="AA107" s="14" t="n">
        <v>165.1997258413335</v>
      </c>
      <c r="AB107" s="14" t="n">
        <v>0</v>
      </c>
      <c r="AC107" s="14" t="n">
        <v>0</v>
      </c>
      <c r="AD107" s="14" t="n">
        <v>0</v>
      </c>
      <c r="AE107" s="14" t="n">
        <v>771.3692992181751</v>
      </c>
      <c r="AF107" s="14" t="n">
        <v>0</v>
      </c>
      <c r="AG107" s="14" t="n">
        <v>0</v>
      </c>
      <c r="AH107" s="14" t="n">
        <v>759.1051309404353</v>
      </c>
      <c r="AI107" s="14" t="n">
        <v>0</v>
      </c>
      <c r="AJ107" s="14" t="n">
        <v>0</v>
      </c>
      <c r="AK107" s="14" t="n">
        <v>0</v>
      </c>
      <c r="AL107" s="14" t="n">
        <v>-665.1609678407042</v>
      </c>
      <c r="AM107" s="14" t="n">
        <v>-647.7933323042234</v>
      </c>
      <c r="AN107" s="14" t="n">
        <v>0</v>
      </c>
      <c r="AO107" s="32" t="n">
        <v>-1261.708049503421</v>
      </c>
      <c r="AP107" s="32" t="n">
        <v>92.33696346774279</v>
      </c>
      <c r="AQ107" s="32" t="n">
        <v>704.3738245847313</v>
      </c>
      <c r="AR107" s="32" t="n">
        <v>846.8056435326084</v>
      </c>
      <c r="AS107" s="32" t="n">
        <v>326.9310915259956</v>
      </c>
      <c r="AT107" s="32" t="n">
        <v>-708.7394736076577</v>
      </c>
      <c r="AU107" s="32" t="n">
        <v>0</v>
      </c>
      <c r="AV107" s="32" t="n">
        <v>320.6921708817696</v>
      </c>
      <c r="AW107" s="32" t="n">
        <v>-320.6921708817696</v>
      </c>
      <c r="AX107" s="32" t="n">
        <v>0</v>
      </c>
      <c r="AY107" s="32" t="n">
        <v>79.8302673926912</v>
      </c>
      <c r="AZ107" s="49" t="n">
        <v>-79.8302673926912</v>
      </c>
    </row>
    <row r="108">
      <c r="B108" s="650" t="n"/>
      <c r="C108" s="487" t="n"/>
      <c r="D108" s="487" t="n"/>
      <c r="E108" s="487" t="n"/>
      <c r="F108" s="487" t="n"/>
      <c r="G108" s="487" t="n"/>
      <c r="H108" s="487" t="n"/>
      <c r="I108" s="487" t="n"/>
      <c r="J108" s="487" t="n"/>
      <c r="K108" s="487" t="n"/>
      <c r="L108" s="487" t="n"/>
      <c r="M108" s="487" t="n"/>
      <c r="N108" s="487" t="n"/>
      <c r="O108" s="487" t="n"/>
      <c r="P108" s="487" t="n"/>
      <c r="Q108" s="736" t="n"/>
      <c r="R108" s="544" t="n"/>
      <c r="T108" s="542" t="n"/>
    </row>
    <row r="109">
      <c r="A109" s="23" t="n"/>
      <c r="B109" s="650" t="inlineStr">
        <is>
          <t>ATA</t>
        </is>
      </c>
      <c r="C109" s="651" t="n"/>
      <c r="D109" s="651" t="n"/>
      <c r="E109" s="651" t="n"/>
      <c r="F109" s="651" t="n"/>
      <c r="G109" s="651" t="n"/>
      <c r="H109" s="651" t="n"/>
      <c r="I109" s="651" t="n"/>
      <c r="J109" s="651" t="n"/>
      <c r="K109" s="651" t="n"/>
      <c r="L109" s="651" t="n"/>
      <c r="M109" s="651" t="n"/>
      <c r="N109" s="651" t="n"/>
      <c r="O109" s="651" t="n"/>
      <c r="P109" s="651" t="n"/>
      <c r="Q109" s="652" t="n"/>
      <c r="R109" s="544" t="inlineStr">
        <is>
          <t>ST</t>
        </is>
      </c>
      <c r="S109" s="596" t="n"/>
      <c r="T109" s="597" t="n"/>
      <c r="V109" s="260" t="inlineStr">
        <is>
          <t>ATL</t>
        </is>
      </c>
    </row>
    <row r="110">
      <c r="A110" s="23" t="n"/>
      <c r="B110" s="650">
        <f t="array" ref="B110:Q125">MMULT(_xlfn.ANCHORARRAY(U92),B76:Q107)</f>
        <v/>
      </c>
      <c r="C110" s="487" t="n">
        <v>-1452438.942378235</v>
      </c>
      <c r="D110" s="487" t="n">
        <v>-2172492.414048019</v>
      </c>
      <c r="E110" s="487" t="n">
        <v>-940496.2949744693</v>
      </c>
      <c r="F110" s="487" t="n">
        <v>0</v>
      </c>
      <c r="G110" s="487" t="n">
        <v>0</v>
      </c>
      <c r="H110" s="487" t="n">
        <v>0</v>
      </c>
      <c r="I110" s="487" t="n">
        <v>0</v>
      </c>
      <c r="J110" s="487" t="n">
        <v>0</v>
      </c>
      <c r="K110" s="487" t="n">
        <v>0</v>
      </c>
      <c r="L110" s="487" t="n">
        <v>-60305.75263971463</v>
      </c>
      <c r="M110" s="487" t="n">
        <v>266350.4074920734</v>
      </c>
      <c r="N110" s="487" t="n">
        <v>-551394.9035697582</v>
      </c>
      <c r="O110" s="487" t="n">
        <v>1785039.368589716</v>
      </c>
      <c r="P110" s="487" t="n">
        <v>-997453.8716580536</v>
      </c>
      <c r="Q110" s="736" t="n">
        <v>341545.461270915</v>
      </c>
      <c r="R110" s="544">
        <f t="array" ref="R110:T125">TRANSPOSE(B126:Q128)</f>
        <v/>
      </c>
      <c r="S110" s="9" t="n">
        <v>0</v>
      </c>
      <c r="T110" s="542" t="n">
        <v>0</v>
      </c>
      <c r="V110" s="2">
        <f t="array" ref="V110:V125">MMULT(_xlfn.ANCHORARRAY(U92),S76:S107)</f>
        <v/>
      </c>
    </row>
    <row r="111" ht="15.95" customHeight="1">
      <c r="A111" s="23" t="n"/>
      <c r="B111" s="653" t="n">
        <v>-1452438.942378235</v>
      </c>
      <c r="C111" s="654" t="n">
        <v>2870935.29269657</v>
      </c>
      <c r="D111" s="654" t="n">
        <v>561691.441534634</v>
      </c>
      <c r="E111" s="654" t="n">
        <v>368638.0265199062</v>
      </c>
      <c r="F111" s="654" t="n">
        <v>0</v>
      </c>
      <c r="G111" s="654" t="n">
        <v>0</v>
      </c>
      <c r="H111" s="654" t="n">
        <v>0</v>
      </c>
      <c r="I111" s="654" t="n">
        <v>0</v>
      </c>
      <c r="J111" s="654" t="n">
        <v>0</v>
      </c>
      <c r="K111" s="654" t="n">
        <v>0</v>
      </c>
      <c r="L111" s="654" t="n">
        <v>266350.4074920734</v>
      </c>
      <c r="M111" s="654" t="n">
        <v>-1176380.966423326</v>
      </c>
      <c r="N111" s="654" t="n">
        <v>497030.1152539861</v>
      </c>
      <c r="O111" s="654" t="n">
        <v>-1166909.254283338</v>
      </c>
      <c r="P111" s="654" t="n">
        <v>127366.9780975412</v>
      </c>
      <c r="Q111" s="737" t="n">
        <v>-896283.0985098127</v>
      </c>
      <c r="R111" s="568" t="n">
        <v>0</v>
      </c>
      <c r="S111" s="1" t="n">
        <v>0</v>
      </c>
      <c r="T111" s="589" t="n">
        <v>0</v>
      </c>
      <c r="V111" s="3" t="n">
        <v>-7768.924486217093</v>
      </c>
      <c r="Y111" s="23" t="n"/>
      <c r="Z111" s="192" t="inlineStr">
        <is>
          <t>Nr</t>
        </is>
      </c>
      <c r="AA111" s="193" t="inlineStr">
        <is>
          <t>X</t>
        </is>
      </c>
      <c r="AB111" s="193" t="inlineStr">
        <is>
          <t>Y</t>
        </is>
      </c>
    </row>
    <row r="112">
      <c r="A112" s="23" t="n"/>
      <c r="B112" s="11" t="n">
        <v>-2172492.414048019</v>
      </c>
      <c r="C112" s="1" t="n">
        <v>561691.441534634</v>
      </c>
      <c r="D112" s="1" t="n">
        <v>4685409.638279419</v>
      </c>
      <c r="E112" s="1" t="n">
        <v>1492344.121847907</v>
      </c>
      <c r="F112" s="1" t="n">
        <v>1037902.780981566</v>
      </c>
      <c r="G112" s="1" t="n">
        <v>-889687.4710122573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-547057.6686534953</v>
      </c>
      <c r="O112" s="1" t="n">
        <v>221150.9724343918</v>
      </c>
      <c r="P112" s="1" t="n">
        <v>-3003762.336559472</v>
      </c>
      <c r="Q112" s="12" t="n">
        <v>-1385499.064804676</v>
      </c>
      <c r="R112" s="11" t="n">
        <v>0</v>
      </c>
      <c r="S112" s="1" t="n">
        <v>0</v>
      </c>
      <c r="T112" s="12" t="n">
        <v>0</v>
      </c>
      <c r="V112" s="3" t="n">
        <v>18617.22673532158</v>
      </c>
      <c r="Y112" s="187" t="inlineStr">
        <is>
          <t>Baza</t>
        </is>
      </c>
      <c r="Z112" s="8" t="n">
        <v>5</v>
      </c>
      <c r="AA112" s="9" t="n">
        <v>295</v>
      </c>
      <c r="AB112" s="10" t="n">
        <v>490</v>
      </c>
    </row>
    <row r="113">
      <c r="A113" s="23" t="n"/>
      <c r="B113" s="11" t="n">
        <v>-940496.2949744693</v>
      </c>
      <c r="C113" s="1" t="n">
        <v>368638.0265199062</v>
      </c>
      <c r="D113" s="1" t="n">
        <v>1492344.121847907</v>
      </c>
      <c r="E113" s="1" t="n">
        <v>2295146.811451602</v>
      </c>
      <c r="F113" s="1" t="n">
        <v>498233.7832770413</v>
      </c>
      <c r="G113" s="1" t="n">
        <v>-1027454.2873143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221150.9724343918</v>
      </c>
      <c r="O113" s="1" t="n">
        <v>-89401.4569415627</v>
      </c>
      <c r="P113" s="1" t="n">
        <v>-1271232.582584871</v>
      </c>
      <c r="Q113" s="12" t="n">
        <v>-1546929.093715645</v>
      </c>
      <c r="R113" s="11" t="n">
        <v>0</v>
      </c>
      <c r="S113" s="1" t="n">
        <v>0</v>
      </c>
      <c r="T113" s="12" t="n">
        <v>0</v>
      </c>
      <c r="V113" s="3" t="n">
        <v>-2146.097591855942</v>
      </c>
      <c r="Y113" s="785" t="n"/>
      <c r="Z113" s="194" t="n">
        <v>6</v>
      </c>
      <c r="AA113" s="1" t="n">
        <v>145</v>
      </c>
      <c r="AB113" s="12" t="n">
        <v>560</v>
      </c>
    </row>
    <row r="114" ht="15.95" customHeight="1">
      <c r="A114" s="23" t="n"/>
      <c r="B114" s="795" t="n">
        <v>0</v>
      </c>
      <c r="C114" s="590" t="n">
        <v>0</v>
      </c>
      <c r="D114" s="590" t="n">
        <v>1037902.780981566</v>
      </c>
      <c r="E114" s="590" t="n">
        <v>498233.7832770413</v>
      </c>
      <c r="F114" s="590" t="n">
        <v>3185003.418114882</v>
      </c>
      <c r="G114" s="590" t="n">
        <v>-71985.69145721616</v>
      </c>
      <c r="H114" s="590" t="n">
        <v>-1228679.704548653</v>
      </c>
      <c r="I114" s="590" t="n">
        <v>-445660.1104002889</v>
      </c>
      <c r="J114" s="590" t="n">
        <v>0</v>
      </c>
      <c r="K114" s="590" t="n">
        <v>0</v>
      </c>
      <c r="L114" s="590" t="n">
        <v>-606688.3809256332</v>
      </c>
      <c r="M114" s="590" t="n">
        <v>-118958.5060638495</v>
      </c>
      <c r="N114" s="590" t="n">
        <v>0</v>
      </c>
      <c r="O114" s="590" t="n">
        <v>0</v>
      </c>
      <c r="P114" s="590" t="n">
        <v>-2387538.113622162</v>
      </c>
      <c r="Q114" s="590" t="n">
        <v>138370.5246443133</v>
      </c>
      <c r="R114" s="11" t="n">
        <v>0</v>
      </c>
      <c r="S114" s="1" t="n">
        <v>0</v>
      </c>
      <c r="T114" s="12" t="n">
        <v>0</v>
      </c>
      <c r="U114" s="796" t="n"/>
      <c r="V114" s="3" t="n">
        <v>-26162.31951542154</v>
      </c>
      <c r="Y114" s="786" t="n"/>
      <c r="Z114" s="195" t="n">
        <v>9</v>
      </c>
      <c r="AA114" s="14" t="n">
        <v>313</v>
      </c>
      <c r="AB114" s="15" t="n">
        <v>272</v>
      </c>
    </row>
    <row r="115">
      <c r="A115" s="23" t="n"/>
      <c r="B115" s="580" t="n">
        <v>0</v>
      </c>
      <c r="C115" s="581" t="n">
        <v>0</v>
      </c>
      <c r="D115" s="581" t="n">
        <v>-889687.4710122573</v>
      </c>
      <c r="E115" s="581" t="n">
        <v>-1027454.2873143</v>
      </c>
      <c r="F115" s="581" t="n">
        <v>-71985.69145721616</v>
      </c>
      <c r="G115" s="581" t="n">
        <v>3650863.595568579</v>
      </c>
      <c r="H115" s="581" t="n">
        <v>1453151.103503228</v>
      </c>
      <c r="I115" s="581" t="n">
        <v>-1670576.071123057</v>
      </c>
      <c r="J115" s="581" t="n">
        <v>0</v>
      </c>
      <c r="K115" s="581" t="n">
        <v>0</v>
      </c>
      <c r="L115" s="581" t="n">
        <v>-118958.5060638495</v>
      </c>
      <c r="M115" s="581" t="n">
        <v>-23325.19726742145</v>
      </c>
      <c r="N115" s="581" t="n">
        <v>0</v>
      </c>
      <c r="O115" s="581" t="n">
        <v>0</v>
      </c>
      <c r="P115" s="581" t="n">
        <v>-372519.4349699053</v>
      </c>
      <c r="Q115" s="581" t="n">
        <v>-929508.039863801</v>
      </c>
      <c r="R115" s="580" t="n">
        <v>0</v>
      </c>
      <c r="S115" s="581" t="n">
        <v>0</v>
      </c>
      <c r="T115" s="555" t="n">
        <v>0</v>
      </c>
      <c r="U115" s="659" t="n"/>
      <c r="V115" s="3" t="n">
        <v>12896.47757888347</v>
      </c>
    </row>
    <row r="116">
      <c r="A116" s="23" t="n"/>
      <c r="B116" s="543" t="n">
        <v>0</v>
      </c>
      <c r="C116" s="1" t="n">
        <v>0</v>
      </c>
      <c r="D116" s="1" t="n">
        <v>0</v>
      </c>
      <c r="E116" s="1" t="n">
        <v>0</v>
      </c>
      <c r="F116" s="1" t="n">
        <v>-1228679.704548653</v>
      </c>
      <c r="G116" s="1" t="n">
        <v>1453151.103503228</v>
      </c>
      <c r="H116" s="1" t="n">
        <v>6170884.78268812</v>
      </c>
      <c r="I116" s="1" t="n">
        <v>340680.3766148204</v>
      </c>
      <c r="J116" s="1" t="n">
        <v>-1392389.529680874</v>
      </c>
      <c r="K116" s="1" t="n">
        <v>-1871080.493272073</v>
      </c>
      <c r="L116" s="1" t="n">
        <v>-2467753.036878972</v>
      </c>
      <c r="M116" s="1" t="n">
        <v>153232.313149405</v>
      </c>
      <c r="N116" s="1" t="n">
        <v>0</v>
      </c>
      <c r="O116" s="1" t="n">
        <v>0</v>
      </c>
      <c r="P116" s="1" t="n">
        <v>-1082062.511579622</v>
      </c>
      <c r="Q116" s="12" t="n">
        <v>-75983.29999538064</v>
      </c>
      <c r="R116" s="543" t="n">
        <v>1</v>
      </c>
      <c r="S116" s="1" t="n">
        <v>0</v>
      </c>
      <c r="T116" s="544" t="n">
        <v>-490</v>
      </c>
      <c r="U116" s="547" t="n"/>
      <c r="V116" s="3" t="n">
        <v>6901.819881877997</v>
      </c>
    </row>
    <row r="117">
      <c r="A117" s="23" t="n"/>
      <c r="B117" s="543" t="n">
        <v>0</v>
      </c>
      <c r="C117" s="1" t="n">
        <v>0</v>
      </c>
      <c r="D117" s="1" t="n">
        <v>0</v>
      </c>
      <c r="E117" s="1" t="n">
        <v>0</v>
      </c>
      <c r="F117" s="1" t="n">
        <v>-445660.1104002889</v>
      </c>
      <c r="G117" s="1" t="n">
        <v>-1670576.071123057</v>
      </c>
      <c r="H117" s="1" t="n">
        <v>340680.3766148204</v>
      </c>
      <c r="I117" s="1" t="n">
        <v>4660233.284690849</v>
      </c>
      <c r="J117" s="1" t="n">
        <v>206716.2205225248</v>
      </c>
      <c r="K117" s="1" t="n">
        <v>-1289172.580422561</v>
      </c>
      <c r="L117" s="1" t="n">
        <v>419606.4541507486</v>
      </c>
      <c r="M117" s="1" t="n">
        <v>-1351045.197193711</v>
      </c>
      <c r="N117" s="1" t="n">
        <v>0</v>
      </c>
      <c r="O117" s="1" t="n">
        <v>0</v>
      </c>
      <c r="P117" s="1" t="n">
        <v>-521342.9408878051</v>
      </c>
      <c r="Q117" s="12" t="n">
        <v>-349439.4359515198</v>
      </c>
      <c r="R117" s="543" t="n">
        <v>0</v>
      </c>
      <c r="S117" s="1" t="n">
        <v>1</v>
      </c>
      <c r="T117" s="544" t="n">
        <v>295</v>
      </c>
      <c r="U117" s="547" t="n"/>
      <c r="V117" s="3" t="n">
        <v>-6937.949818081795</v>
      </c>
      <c r="X117" s="660" t="n"/>
      <c r="Y117" s="797" t="n"/>
      <c r="Z117" s="797" t="n"/>
      <c r="AA117" s="797" t="n"/>
      <c r="AB117" s="798" t="n"/>
      <c r="AC117" s="798" t="n"/>
      <c r="AD117" s="798" t="n"/>
      <c r="AE117" s="798" t="n"/>
      <c r="AF117" s="798" t="n"/>
      <c r="AG117" s="798" t="n"/>
    </row>
    <row r="118">
      <c r="A118" s="23" t="n"/>
      <c r="B118" s="543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-1392389.529680874</v>
      </c>
      <c r="I118" s="1" t="n">
        <v>206716.2205225248</v>
      </c>
      <c r="J118" s="1" t="n">
        <v>1701791.306568916</v>
      </c>
      <c r="K118" s="1" t="n">
        <v>7241.359531932045</v>
      </c>
      <c r="L118" s="1" t="n">
        <v>-834516.7926786921</v>
      </c>
      <c r="M118" s="1" t="n">
        <v>-668089.9572568261</v>
      </c>
      <c r="N118" s="1" t="n">
        <v>333331.8238501355</v>
      </c>
      <c r="O118" s="1" t="n">
        <v>14175.22122004323</v>
      </c>
      <c r="P118" s="1" t="n">
        <v>191783.1919405147</v>
      </c>
      <c r="Q118" s="12" t="n">
        <v>439957.155982326</v>
      </c>
      <c r="R118" s="543" t="n">
        <v>0</v>
      </c>
      <c r="S118" s="1" t="n">
        <v>0</v>
      </c>
      <c r="T118" s="544" t="n">
        <v>0</v>
      </c>
      <c r="U118" s="547" t="n"/>
      <c r="V118" s="3" t="n">
        <v>-4281.880234793656</v>
      </c>
      <c r="X118" s="799" t="n"/>
      <c r="Y118" s="662" t="inlineStr">
        <is>
          <t>V</t>
        </is>
      </c>
      <c r="Z118" s="662" t="n"/>
      <c r="AA118" s="662" t="n"/>
      <c r="AB118" s="798" t="n"/>
      <c r="AC118" s="798" t="n"/>
      <c r="AD118" s="798" t="n"/>
      <c r="AE118" s="798" t="n"/>
      <c r="AF118" s="798" t="n"/>
      <c r="AG118" s="798" t="n"/>
    </row>
    <row r="119">
      <c r="A119" s="23" t="n"/>
      <c r="B119" s="543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-1871080.493272073</v>
      </c>
      <c r="I119" s="1" t="n">
        <v>-1289172.580422561</v>
      </c>
      <c r="J119" s="1" t="n">
        <v>7241.359531932045</v>
      </c>
      <c r="K119" s="1" t="n">
        <v>3931591.749678181</v>
      </c>
      <c r="L119" s="1" t="n">
        <v>1048094.491924505</v>
      </c>
      <c r="M119" s="1" t="n">
        <v>-1892998.529948587</v>
      </c>
      <c r="N119" s="1" t="n">
        <v>156700.6602728998</v>
      </c>
      <c r="O119" s="1" t="n">
        <v>-571433.8864158713</v>
      </c>
      <c r="P119" s="1" t="n">
        <v>659043.9815427364</v>
      </c>
      <c r="Q119" s="12" t="n">
        <v>-177986.7528911629</v>
      </c>
      <c r="R119" s="543" t="n">
        <v>0</v>
      </c>
      <c r="S119" s="1" t="n">
        <v>0</v>
      </c>
      <c r="T119" s="544" t="n">
        <v>0</v>
      </c>
      <c r="U119" s="547" t="n"/>
      <c r="V119" s="3" t="n">
        <v>-5599.090654301885</v>
      </c>
      <c r="X119" s="547" t="n"/>
      <c r="Y119" s="662">
        <f t="array" ref="Y119:Y150">MMULT(B76:Q107,_xlfn.ANCHORARRAY(V131))+S76:S107</f>
        <v/>
      </c>
      <c r="Z119" s="662" t="n"/>
      <c r="AA119" s="662" t="n"/>
      <c r="AB119" s="798" t="n"/>
      <c r="AC119" s="798" t="n"/>
      <c r="AD119" s="798" t="n"/>
      <c r="AE119" s="798" t="n"/>
      <c r="AF119" s="798" t="n"/>
      <c r="AG119" s="798" t="n"/>
    </row>
    <row r="120">
      <c r="A120" s="23" t="n"/>
      <c r="B120" s="543" t="n">
        <v>-60305.75263971463</v>
      </c>
      <c r="C120" s="1" t="n">
        <v>266350.4074920734</v>
      </c>
      <c r="D120" s="1" t="n">
        <v>0</v>
      </c>
      <c r="E120" s="1" t="n">
        <v>0</v>
      </c>
      <c r="F120" s="1" t="n">
        <v>-606688.3809256332</v>
      </c>
      <c r="G120" s="1" t="n">
        <v>-118958.5060638495</v>
      </c>
      <c r="H120" s="1" t="n">
        <v>-2467753.036878972</v>
      </c>
      <c r="I120" s="1" t="n">
        <v>419606.4541507486</v>
      </c>
      <c r="J120" s="1" t="n">
        <v>-834516.7926786921</v>
      </c>
      <c r="K120" s="1" t="n">
        <v>1048094.491924505</v>
      </c>
      <c r="L120" s="1" t="n">
        <v>7233404.80469601</v>
      </c>
      <c r="M120" s="1" t="n">
        <v>183833.6956569866</v>
      </c>
      <c r="N120" s="1" t="n">
        <v>-641554.2973373814</v>
      </c>
      <c r="O120" s="1" t="n">
        <v>-1300054.84817083</v>
      </c>
      <c r="P120" s="1" t="n">
        <v>-2622586.544235618</v>
      </c>
      <c r="Q120" s="12" t="n">
        <v>-498871.6949896335</v>
      </c>
      <c r="R120" s="543" t="n">
        <v>1</v>
      </c>
      <c r="S120" s="1" t="n">
        <v>0</v>
      </c>
      <c r="T120" s="544" t="n">
        <v>-560</v>
      </c>
      <c r="U120" s="547" t="n"/>
      <c r="V120" s="3" t="n">
        <v>18582.32136588837</v>
      </c>
      <c r="X120" s="571" t="n"/>
      <c r="Y120" s="662" t="n">
        <v>1.115199080892878</v>
      </c>
      <c r="Z120" s="662" t="n"/>
      <c r="AA120" s="662" t="n"/>
      <c r="AB120" s="798" t="n"/>
      <c r="AC120" s="798" t="n"/>
      <c r="AD120" s="798" t="n"/>
      <c r="AE120" s="798" t="n"/>
      <c r="AF120" s="798" t="n"/>
      <c r="AG120" s="798" t="n"/>
    </row>
    <row r="121">
      <c r="A121" s="23" t="n"/>
      <c r="B121" s="543" t="n">
        <v>266350.4074920734</v>
      </c>
      <c r="C121" s="1" t="n">
        <v>-1176380.966423326</v>
      </c>
      <c r="D121" s="1" t="n">
        <v>0</v>
      </c>
      <c r="E121" s="1" t="n">
        <v>0</v>
      </c>
      <c r="F121" s="1" t="n">
        <v>-118958.5060638495</v>
      </c>
      <c r="G121" s="1" t="n">
        <v>-23325.19726742145</v>
      </c>
      <c r="H121" s="1" t="n">
        <v>153232.313149405</v>
      </c>
      <c r="I121" s="1" t="n">
        <v>-1351045.197193711</v>
      </c>
      <c r="J121" s="1" t="n">
        <v>-668089.9572568261</v>
      </c>
      <c r="K121" s="1" t="n">
        <v>-1892998.529948587</v>
      </c>
      <c r="L121" s="1" t="n">
        <v>183833.6956569866</v>
      </c>
      <c r="M121" s="1" t="n">
        <v>7842938.244031625</v>
      </c>
      <c r="N121" s="1" t="n">
        <v>-227612.5967067419</v>
      </c>
      <c r="O121" s="1" t="n">
        <v>-2619105.105805744</v>
      </c>
      <c r="P121" s="1" t="n">
        <v>411244.6437289524</v>
      </c>
      <c r="Q121" s="12" t="n">
        <v>-780083.2473928363</v>
      </c>
      <c r="R121" s="543" t="n">
        <v>0</v>
      </c>
      <c r="S121" s="1" t="n">
        <v>1</v>
      </c>
      <c r="T121" s="544" t="n">
        <v>145</v>
      </c>
      <c r="U121" s="547" t="n"/>
      <c r="V121" s="3" t="n">
        <v>26537.39831383415</v>
      </c>
      <c r="Y121" s="3" t="n">
        <v>0.4132680858925428</v>
      </c>
      <c r="AB121" s="798" t="n"/>
      <c r="AC121" s="798" t="n"/>
      <c r="AD121" s="798" t="n"/>
      <c r="AE121" s="798" t="n"/>
      <c r="AF121" s="798" t="n"/>
      <c r="AG121" s="798" t="n"/>
    </row>
    <row r="122">
      <c r="A122" s="23" t="n"/>
      <c r="B122" s="543" t="n">
        <v>-551394.9035697582</v>
      </c>
      <c r="C122" s="1" t="n">
        <v>497030.1152539861</v>
      </c>
      <c r="D122" s="1" t="n">
        <v>-547057.6686534953</v>
      </c>
      <c r="E122" s="1" t="n">
        <v>221150.9724343918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333331.8238501355</v>
      </c>
      <c r="K122" s="1" t="n">
        <v>156700.6602728998</v>
      </c>
      <c r="L122" s="1" t="n">
        <v>-641554.2973373814</v>
      </c>
      <c r="M122" s="1" t="n">
        <v>-227612.5967067419</v>
      </c>
      <c r="N122" s="1" t="n">
        <v>2150471.767746017</v>
      </c>
      <c r="O122" s="1" t="n">
        <v>-763133.4130402136</v>
      </c>
      <c r="P122" s="1" t="n">
        <v>-743796.7220355181</v>
      </c>
      <c r="Q122" s="12" t="n">
        <v>115864.2617856776</v>
      </c>
      <c r="R122" s="543" t="n">
        <v>1</v>
      </c>
      <c r="S122" s="1" t="n">
        <v>0</v>
      </c>
      <c r="T122" s="544" t="n">
        <v>-272</v>
      </c>
      <c r="U122" s="547" t="n"/>
      <c r="V122" s="3" t="n">
        <v>286.615620603975</v>
      </c>
      <c r="Y122" s="3" t="n">
        <v>1.676880007537775</v>
      </c>
      <c r="AB122" s="798" t="n"/>
      <c r="AC122" s="798" t="n"/>
      <c r="AD122" s="798" t="n"/>
      <c r="AE122" s="798" t="n"/>
      <c r="AF122" s="798" t="n"/>
      <c r="AG122" s="798" t="n"/>
    </row>
    <row r="123">
      <c r="A123" s="23" t="n"/>
      <c r="B123" s="543" t="n">
        <v>1785039.368589716</v>
      </c>
      <c r="C123" s="1" t="n">
        <v>-1166909.254283338</v>
      </c>
      <c r="D123" s="1" t="n">
        <v>221150.9724343918</v>
      </c>
      <c r="E123" s="1" t="n">
        <v>-89401.4569415627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14175.22122004323</v>
      </c>
      <c r="K123" s="1" t="n">
        <v>-571433.8864158713</v>
      </c>
      <c r="L123" s="1" t="n">
        <v>-1300054.84817083</v>
      </c>
      <c r="M123" s="1" t="n">
        <v>-2619105.105805744</v>
      </c>
      <c r="N123" s="1" t="n">
        <v>-763133.4130402136</v>
      </c>
      <c r="O123" s="1" t="n">
        <v>5772423.098726201</v>
      </c>
      <c r="P123" s="1" t="n">
        <v>42822.69896689337</v>
      </c>
      <c r="Q123" s="12" t="n">
        <v>-1325573.395279685</v>
      </c>
      <c r="R123" s="543" t="n">
        <v>0</v>
      </c>
      <c r="S123" s="1" t="n">
        <v>1</v>
      </c>
      <c r="T123" s="544" t="n">
        <v>313</v>
      </c>
      <c r="U123" s="547" t="n"/>
      <c r="V123" s="3" t="n">
        <v>-4488.994940016619</v>
      </c>
      <c r="Y123" s="3" t="n">
        <v>-0.3921179710632521</v>
      </c>
    </row>
    <row r="124">
      <c r="A124" s="23" t="n"/>
      <c r="B124" s="543" t="n">
        <v>-997453.8716580536</v>
      </c>
      <c r="C124" s="1" t="n">
        <v>127366.9780975412</v>
      </c>
      <c r="D124" s="1" t="n">
        <v>-3003762.336559472</v>
      </c>
      <c r="E124" s="1" t="n">
        <v>-1271232.582584871</v>
      </c>
      <c r="F124" s="1" t="n">
        <v>-2387538.113622162</v>
      </c>
      <c r="G124" s="1" t="n">
        <v>-372519.4349699053</v>
      </c>
      <c r="H124" s="1" t="n">
        <v>-1082062.511579622</v>
      </c>
      <c r="I124" s="1" t="n">
        <v>-521342.9408878051</v>
      </c>
      <c r="J124" s="1" t="n">
        <v>191783.1919405147</v>
      </c>
      <c r="K124" s="1" t="n">
        <v>659043.9815427364</v>
      </c>
      <c r="L124" s="1" t="n">
        <v>-2622586.544235618</v>
      </c>
      <c r="M124" s="1" t="n">
        <v>411244.6437289524</v>
      </c>
      <c r="N124" s="1" t="n">
        <v>-743796.7220355181</v>
      </c>
      <c r="O124" s="1" t="n">
        <v>42822.69896689337</v>
      </c>
      <c r="P124" s="1" t="n">
        <v>10645416.90774993</v>
      </c>
      <c r="Q124" s="12" t="n">
        <v>924616.6561064573</v>
      </c>
      <c r="R124" s="543" t="n">
        <v>0</v>
      </c>
      <c r="S124" s="1" t="n">
        <v>0</v>
      </c>
      <c r="T124" s="544" t="n">
        <v>0</v>
      </c>
      <c r="U124" s="547" t="n"/>
      <c r="V124" s="3" t="n">
        <v>15796.6456657313</v>
      </c>
      <c r="Y124" s="3" t="n">
        <v>-0.3453733868024893</v>
      </c>
    </row>
    <row r="125">
      <c r="A125" s="23" t="n"/>
      <c r="B125" s="543" t="n">
        <v>341545.461270915</v>
      </c>
      <c r="C125" s="14" t="n">
        <v>-896283.0985098127</v>
      </c>
      <c r="D125" s="14" t="n">
        <v>-1385499.064804676</v>
      </c>
      <c r="E125" s="14" t="n">
        <v>-1546929.093715645</v>
      </c>
      <c r="F125" s="14" t="n">
        <v>138370.5246443133</v>
      </c>
      <c r="G125" s="14" t="n">
        <v>-929508.039863801</v>
      </c>
      <c r="H125" s="14" t="n">
        <v>-75983.29999538064</v>
      </c>
      <c r="I125" s="14" t="n">
        <v>-349439.4359515198</v>
      </c>
      <c r="J125" s="14" t="n">
        <v>439957.155982326</v>
      </c>
      <c r="K125" s="14" t="n">
        <v>-177986.7528911629</v>
      </c>
      <c r="L125" s="14" t="n">
        <v>-498871.6949896335</v>
      </c>
      <c r="M125" s="14" t="n">
        <v>-780083.2473928363</v>
      </c>
      <c r="N125" s="14" t="n">
        <v>115864.2617856776</v>
      </c>
      <c r="O125" s="14" t="n">
        <v>-1325573.395279685</v>
      </c>
      <c r="P125" s="14" t="n">
        <v>924616.6561064573</v>
      </c>
      <c r="Q125" s="15" t="n">
        <v>6005803.063604465</v>
      </c>
      <c r="R125" s="543" t="n">
        <v>0</v>
      </c>
      <c r="S125" s="14" t="n">
        <v>0</v>
      </c>
      <c r="T125" s="544" t="n">
        <v>0</v>
      </c>
      <c r="U125" s="547" t="n"/>
      <c r="V125" s="4" t="n">
        <v>-12492.81840224428</v>
      </c>
      <c r="Y125" s="3" t="n">
        <v>0.2429392152529517</v>
      </c>
    </row>
    <row r="126">
      <c r="A126" s="21" t="inlineStr">
        <is>
          <t>S</t>
        </is>
      </c>
      <c r="B126" s="543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1</v>
      </c>
      <c r="I126" s="9" t="n">
        <v>0</v>
      </c>
      <c r="J126" s="9" t="n">
        <v>0</v>
      </c>
      <c r="K126" s="9" t="n">
        <v>0</v>
      </c>
      <c r="L126" s="9" t="n">
        <v>1</v>
      </c>
      <c r="M126" s="9" t="n">
        <v>0</v>
      </c>
      <c r="N126" s="9" t="n">
        <v>1</v>
      </c>
      <c r="O126" s="9" t="n">
        <v>0</v>
      </c>
      <c r="P126" s="9" t="n">
        <v>0</v>
      </c>
      <c r="Q126" s="10" t="n">
        <v>0</v>
      </c>
      <c r="R126" s="543" t="n">
        <v>0</v>
      </c>
      <c r="S126" s="23" t="n">
        <v>0</v>
      </c>
      <c r="T126" s="544" t="n">
        <v>0</v>
      </c>
      <c r="U126" s="547" t="n"/>
      <c r="Y126" s="3" t="n">
        <v>-0.3264834221999487</v>
      </c>
    </row>
    <row r="127">
      <c r="A127" s="601" t="n"/>
      <c r="B127" s="543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1</v>
      </c>
      <c r="J127" s="1" t="n">
        <v>0</v>
      </c>
      <c r="K127" s="1" t="n">
        <v>0</v>
      </c>
      <c r="L127" s="1" t="n">
        <v>0</v>
      </c>
      <c r="M127" s="1" t="n">
        <v>1</v>
      </c>
      <c r="N127" s="1" t="n">
        <v>0</v>
      </c>
      <c r="O127" s="1" t="n">
        <v>1</v>
      </c>
      <c r="P127" s="1" t="n">
        <v>0</v>
      </c>
      <c r="Q127" s="12" t="n">
        <v>0</v>
      </c>
      <c r="R127" s="543" t="n">
        <v>0</v>
      </c>
      <c r="S127" s="23" t="n">
        <v>0</v>
      </c>
      <c r="T127" s="544" t="n">
        <v>0</v>
      </c>
      <c r="U127" s="547" t="n"/>
      <c r="Y127" s="3" t="n">
        <v>-1.198639978845097</v>
      </c>
    </row>
    <row r="128">
      <c r="A128" s="606" t="n"/>
      <c r="B128" s="543" t="n">
        <v>0</v>
      </c>
      <c r="C128" s="14" t="n">
        <v>0</v>
      </c>
      <c r="D128" s="14" t="n">
        <v>0</v>
      </c>
      <c r="E128" s="14" t="n">
        <v>0</v>
      </c>
      <c r="F128" s="14" t="n">
        <v>0</v>
      </c>
      <c r="G128" s="14" t="n">
        <v>0</v>
      </c>
      <c r="H128" s="14">
        <f>-AB112</f>
        <v/>
      </c>
      <c r="I128" s="14">
        <f>AA112</f>
        <v/>
      </c>
      <c r="J128" s="80" t="n">
        <v>0</v>
      </c>
      <c r="K128" s="80" t="n">
        <v>0</v>
      </c>
      <c r="L128" s="665">
        <f>-AB113</f>
        <v/>
      </c>
      <c r="M128" s="665">
        <f>AA113</f>
        <v/>
      </c>
      <c r="N128" s="665">
        <f>-AB114</f>
        <v/>
      </c>
      <c r="O128" s="665">
        <f>AA114</f>
        <v/>
      </c>
      <c r="P128" s="80" t="n">
        <v>0</v>
      </c>
      <c r="Q128" s="97" t="n">
        <v>0</v>
      </c>
      <c r="R128" s="543" t="n">
        <v>0</v>
      </c>
      <c r="S128" s="23" t="n">
        <v>0</v>
      </c>
      <c r="T128" s="544" t="n">
        <v>0</v>
      </c>
      <c r="U128" s="547" t="n"/>
      <c r="Y128" s="3" t="n">
        <v>0.8659343895195128</v>
      </c>
    </row>
    <row r="129">
      <c r="B129" s="543" t="n"/>
      <c r="R129" s="543" t="n"/>
      <c r="T129" s="544" t="n"/>
      <c r="U129" s="547" t="n"/>
      <c r="V129" s="23" t="n"/>
      <c r="W129" s="23" t="n"/>
      <c r="X129" s="23" t="n"/>
      <c r="Y129" s="3" t="n">
        <v>0.2339842178892582</v>
      </c>
      <c r="Z129" s="23" t="n"/>
      <c r="AA129" s="21" t="inlineStr">
        <is>
          <t>VTL</t>
        </is>
      </c>
      <c r="AB129" s="87">
        <f t="array" ref="AB129">MMULT(TRANSPOSE(_xlfn.ANCHORARRAY(Y119)),S76:S107)</f>
        <v/>
      </c>
      <c r="AC129" s="23" t="n"/>
      <c r="AD129" s="23" t="n"/>
      <c r="AE129" s="23" t="n"/>
    </row>
    <row r="130">
      <c r="B130" s="543" t="inlineStr">
        <is>
          <t>(ATA)-1</t>
        </is>
      </c>
      <c r="C130" s="596" t="n"/>
      <c r="D130" s="596" t="n"/>
      <c r="E130" s="596" t="n"/>
      <c r="F130" s="596" t="n"/>
      <c r="G130" s="596" t="n"/>
      <c r="H130" s="596" t="n"/>
      <c r="I130" s="596" t="n"/>
      <c r="J130" s="596" t="n"/>
      <c r="K130" s="596" t="n"/>
      <c r="L130" s="596" t="n"/>
      <c r="M130" s="596" t="n"/>
      <c r="N130" s="596" t="n"/>
      <c r="O130" s="596" t="n"/>
      <c r="P130" s="596" t="n"/>
      <c r="Q130" s="597" t="n"/>
      <c r="R130" s="567" t="inlineStr">
        <is>
          <t>ST(-1)</t>
        </is>
      </c>
      <c r="S130" s="596" t="n"/>
      <c r="T130" s="597" t="n"/>
      <c r="U130" s="571" t="n"/>
      <c r="V130" s="260" t="inlineStr">
        <is>
          <t>X</t>
        </is>
      </c>
      <c r="W130" s="260" t="inlineStr">
        <is>
          <t>mx</t>
        </is>
      </c>
      <c r="X130" s="23" t="n"/>
      <c r="Y130" s="3" t="n">
        <v>0.06662010330236168</v>
      </c>
      <c r="Z130" s="23" t="n"/>
      <c r="AA130" s="21" t="inlineStr">
        <is>
          <t>VTV</t>
        </is>
      </c>
      <c r="AB130" s="88">
        <f t="array" ref="AB130">MMULT(TRANSPOSE(_xlfn.ANCHORARRAY(Y119)),_xlfn.ANCHORARRAY(Y119))</f>
        <v/>
      </c>
      <c r="AC130" s="23" t="n"/>
      <c r="AD130" s="23" t="n"/>
      <c r="AE130" s="23" t="n"/>
    </row>
    <row r="131">
      <c r="B131" s="580">
        <f t="array" ref="B131:T149">MINVERSE(B110:T128)</f>
        <v/>
      </c>
      <c r="C131" s="581" t="n">
        <v>4.992164860094148e-07</v>
      </c>
      <c r="D131" s="581" t="n">
        <v>1.441321175730933e-06</v>
      </c>
      <c r="E131" s="581" t="n">
        <v>1.213664715826366e-06</v>
      </c>
      <c r="F131" s="581" t="n">
        <v>-8.922297867399115e-08</v>
      </c>
      <c r="G131" s="581" t="n">
        <v>1.269597401030249e-06</v>
      </c>
      <c r="H131" s="581" t="n">
        <v>-2.82869565449835e-07</v>
      </c>
      <c r="I131" s="581" t="n">
        <v>4.7007206786814e-07</v>
      </c>
      <c r="J131" s="581" t="n">
        <v>-4.677662793544776e-07</v>
      </c>
      <c r="K131" s="581" t="n">
        <v>-2.089547107569161e-07</v>
      </c>
      <c r="L131" s="581" t="n">
        <v>1.952050823495027e-07</v>
      </c>
      <c r="M131" s="581" t="n">
        <v>-1.794521232273145e-08</v>
      </c>
      <c r="N131" s="581" t="n">
        <v>8.766448310033086e-08</v>
      </c>
      <c r="O131" s="581" t="n">
        <v>-4.521268555454088e-07</v>
      </c>
      <c r="P131" s="581" t="n">
        <v>7.694623711740996e-07</v>
      </c>
      <c r="Q131" s="555" t="n">
        <v>6.524456920264774e-07</v>
      </c>
      <c r="R131" s="580" t="n">
        <v>3.710689270124854</v>
      </c>
      <c r="S131" s="581" t="n">
        <v>-1.92371332859608</v>
      </c>
      <c r="T131" s="555" t="n">
        <v>0.007664196528271228</v>
      </c>
      <c r="U131" s="547" t="n"/>
      <c r="V131" s="92">
        <f t="array" ref="V131:V146">-MMULT(B131:Q146,_xlfn.ANCHORARRAY(V110))</f>
        <v/>
      </c>
      <c r="W131" s="89">
        <f>$AB$131*SQRT(INDEX($B$131:$Q$146,1,1))</f>
        <v/>
      </c>
      <c r="X131" s="23" t="n"/>
      <c r="Y131" s="3" t="n">
        <v>0.09722609839547758</v>
      </c>
      <c r="Z131" s="23" t="n"/>
      <c r="AA131" s="21" t="inlineStr">
        <is>
          <t>m0'</t>
        </is>
      </c>
      <c r="AB131" s="88">
        <f>SQRT(AB130/(32-16+3))</f>
        <v/>
      </c>
      <c r="AC131" s="23" t="n"/>
      <c r="AD131" s="23" t="n"/>
      <c r="AE131" s="23" t="n"/>
    </row>
    <row r="132">
      <c r="B132" s="543" t="n">
        <v>4.992164860094146e-07</v>
      </c>
      <c r="C132" s="25" t="n">
        <v>5.419921994462112e-07</v>
      </c>
      <c r="D132" s="25" t="n">
        <v>3.040138998280353e-07</v>
      </c>
      <c r="E132" s="25" t="n">
        <v>2.619804093991457e-07</v>
      </c>
      <c r="F132" s="25" t="n">
        <v>-4.236480628392297e-08</v>
      </c>
      <c r="G132" s="25" t="n">
        <v>2.581557305240635e-07</v>
      </c>
      <c r="H132" s="25" t="n">
        <v>-5.880287113442345e-08</v>
      </c>
      <c r="I132" s="25" t="n">
        <v>4.057080171511083e-08</v>
      </c>
      <c r="J132" s="25" t="n">
        <v>-1.057015077195627e-07</v>
      </c>
      <c r="K132" s="25" t="n">
        <v>-3.925597034967852e-08</v>
      </c>
      <c r="L132" s="25" t="n">
        <v>3.145237270364213e-08</v>
      </c>
      <c r="M132" s="25" t="n">
        <v>1.803850082013951e-08</v>
      </c>
      <c r="N132" s="25" t="n">
        <v>2.735049843078111e-08</v>
      </c>
      <c r="O132" s="25" t="n">
        <v>-5.860930253525039e-08</v>
      </c>
      <c r="P132" s="25" t="n">
        <v>1.483767706051222e-07</v>
      </c>
      <c r="Q132" s="544" t="n">
        <v>2.078832892317413e-07</v>
      </c>
      <c r="R132" s="67" t="n">
        <v>0.424965316549925</v>
      </c>
      <c r="S132" s="25" t="n">
        <v>0.09127668933780088</v>
      </c>
      <c r="T132" s="544" t="n">
        <v>0.000964369099583795</v>
      </c>
      <c r="U132" s="547" t="n"/>
      <c r="V132" s="93" t="n">
        <v>0.008456317887664737</v>
      </c>
      <c r="W132" s="90">
        <f>$AB$131*SQRT(INDEX($B$131:$Q$146,2,2))</f>
        <v/>
      </c>
      <c r="X132" s="23" t="n"/>
      <c r="Y132" s="3" t="n">
        <v>-1.127761981396621</v>
      </c>
      <c r="Z132" s="23" t="n"/>
      <c r="AA132" s="23" t="n"/>
      <c r="AB132" s="23" t="n"/>
      <c r="AC132" s="23" t="n"/>
      <c r="AD132" s="23" t="n"/>
      <c r="AE132" s="23" t="n"/>
    </row>
    <row r="133">
      <c r="B133" s="712" t="n">
        <v>1.441321175730933e-06</v>
      </c>
      <c r="C133" s="668" t="n">
        <v>3.040138998280352e-07</v>
      </c>
      <c r="D133" s="668" t="n">
        <v>1.411625555270974e-06</v>
      </c>
      <c r="E133" s="668" t="n">
        <v>8.246122432091092e-07</v>
      </c>
      <c r="F133" s="668" t="n">
        <v>-1.051581815818624e-07</v>
      </c>
      <c r="G133" s="668" t="n">
        <v>1.053697000736851e-06</v>
      </c>
      <c r="H133" s="668" t="n">
        <v>-2.428953587626329e-07</v>
      </c>
      <c r="I133" s="668" t="n">
        <v>3.787458925144632e-07</v>
      </c>
      <c r="J133" s="668" t="n">
        <v>-3.918124926331991e-07</v>
      </c>
      <c r="K133" s="668" t="n">
        <v>-1.865838230892318e-07</v>
      </c>
      <c r="L133" s="668" t="n">
        <v>1.716359388530948e-07</v>
      </c>
      <c r="M133" s="668" t="n">
        <v>-1.962731098034101e-08</v>
      </c>
      <c r="N133" s="668" t="n">
        <v>7.125941990953673e-08</v>
      </c>
      <c r="O133" s="668" t="n">
        <v>-3.591185815341224e-07</v>
      </c>
      <c r="P133" s="668" t="n">
        <v>6.565950319058156e-07</v>
      </c>
      <c r="Q133" s="669" t="n">
        <v>5.390758237444112e-07</v>
      </c>
      <c r="R133" s="666" t="n">
        <v>3.375190336006492</v>
      </c>
      <c r="S133" s="667" t="n">
        <v>-1.73261597807329</v>
      </c>
      <c r="T133" s="568" t="n">
        <v>0.006902852502284022</v>
      </c>
      <c r="U133" s="571" t="n"/>
      <c r="V133" s="93" t="n">
        <v>-0.001980363049840846</v>
      </c>
      <c r="W133" s="90">
        <f>$AB$131*SQRT(INDEX($B$131:$Q$146,3,3))</f>
        <v/>
      </c>
      <c r="X133" s="23" t="n"/>
      <c r="Y133" s="3" t="n">
        <v>1.117833926165113</v>
      </c>
      <c r="Z133" s="23" t="n"/>
      <c r="AA133" s="260" t="inlineStr">
        <is>
          <t>ATV</t>
        </is>
      </c>
      <c r="AB133" s="23" t="n"/>
      <c r="AC133" s="23" t="n"/>
      <c r="AD133" s="23" t="n"/>
      <c r="AE133" s="23" t="n"/>
    </row>
    <row r="134">
      <c r="B134" s="670" t="n">
        <v>1.213664715826367e-06</v>
      </c>
      <c r="C134" s="670" t="n">
        <v>2.619804093991454e-07</v>
      </c>
      <c r="D134" s="670" t="n">
        <v>8.246122432091098e-07</v>
      </c>
      <c r="E134" s="670" t="n">
        <v>1.615840918834907e-06</v>
      </c>
      <c r="F134" s="670" t="n">
        <v>-1.171465277781787e-07</v>
      </c>
      <c r="G134" s="670" t="n">
        <v>1.127012803570451e-06</v>
      </c>
      <c r="H134" s="670" t="n">
        <v>-2.28685423898126e-07</v>
      </c>
      <c r="I134" s="670" t="n">
        <v>3.371845364690335e-07</v>
      </c>
      <c r="J134" s="670" t="n">
        <v>-3.962388428086702e-07</v>
      </c>
      <c r="K134" s="670" t="n">
        <v>-1.758027787645118e-07</v>
      </c>
      <c r="L134" s="670" t="n">
        <v>1.797217359329137e-07</v>
      </c>
      <c r="M134" s="670" t="n">
        <v>-4.747475711505991e-08</v>
      </c>
      <c r="N134" s="670" t="n">
        <v>4.896368796521148e-08</v>
      </c>
      <c r="O134" s="670" t="n">
        <v>-2.897097793539738e-07</v>
      </c>
      <c r="P134" s="670" t="n">
        <v>5.546820385961072e-07</v>
      </c>
      <c r="Q134" s="670" t="n">
        <v>6.526508627848138e-07</v>
      </c>
      <c r="R134" s="67" t="n">
        <v>2.370859134436432</v>
      </c>
      <c r="S134" s="25" t="n">
        <v>-1.017087943694378</v>
      </c>
      <c r="T134" s="45" t="n">
        <v>0.005380164450309602</v>
      </c>
      <c r="V134" s="93" t="n">
        <v>0.005880390036854423</v>
      </c>
      <c r="W134" s="90">
        <f>$AB$131*SQRT(INDEX($B$131:$Q$146,4,4))</f>
        <v/>
      </c>
      <c r="X134" s="23" t="n"/>
      <c r="Y134" s="3" t="n">
        <v>0.2417800029764621</v>
      </c>
      <c r="Z134" s="23" t="n"/>
      <c r="AA134" s="2">
        <f t="array" ref="AA134:AA149">MMULT(_xlfn.ANCHORARRAY(U92),_xlfn.ANCHORARRAY(Y119))</f>
        <v/>
      </c>
      <c r="AB134" s="23" t="n"/>
      <c r="AC134" s="23" t="n"/>
      <c r="AD134" s="23" t="n"/>
      <c r="AE134" s="23" t="n"/>
    </row>
    <row r="135">
      <c r="B135" s="670" t="n">
        <v>-8.922297867399139e-08</v>
      </c>
      <c r="C135" s="670" t="n">
        <v>-4.236480628392315e-08</v>
      </c>
      <c r="D135" s="670" t="n">
        <v>-1.051581815818626e-07</v>
      </c>
      <c r="E135" s="670" t="n">
        <v>-1.171465277781788e-07</v>
      </c>
      <c r="F135" s="670" t="n">
        <v>4.18090339737608e-07</v>
      </c>
      <c r="G135" s="670" t="n">
        <v>-7.522056404126399e-08</v>
      </c>
      <c r="H135" s="670" t="n">
        <v>4.137358882975183e-08</v>
      </c>
      <c r="I135" s="670" t="n">
        <v>2.196186471776853e-08</v>
      </c>
      <c r="J135" s="670" t="n">
        <v>3.454322749204652e-08</v>
      </c>
      <c r="K135" s="670" t="n">
        <v>9.016873048339702e-09</v>
      </c>
      <c r="L135" s="670" t="n">
        <v>-1.783452299940261e-08</v>
      </c>
      <c r="M135" s="670" t="n">
        <v>-2.546674586891568e-08</v>
      </c>
      <c r="N135" s="670" t="n">
        <v>-2.353906583034905e-08</v>
      </c>
      <c r="O135" s="670" t="n">
        <v>3.504881151147258e-09</v>
      </c>
      <c r="P135" s="670" t="n">
        <v>4.630674251625754e-08</v>
      </c>
      <c r="Q135" s="670" t="n">
        <v>-8.81083160435333e-08</v>
      </c>
      <c r="R135" s="67" t="n">
        <v>-0.516597299766521</v>
      </c>
      <c r="S135" s="25" t="n">
        <v>0.4841132879910666</v>
      </c>
      <c r="T135" s="45" t="n">
        <v>-0.001928738199167595</v>
      </c>
      <c r="V135" s="93" t="n">
        <v>0.009894689699807361</v>
      </c>
      <c r="W135" s="90">
        <f>$AB$131*SQRT(INDEX($B$131:$Q$146,5,5))</f>
        <v/>
      </c>
      <c r="X135" s="23" t="n"/>
      <c r="Y135" s="3" t="n">
        <v>-1.17568646804126</v>
      </c>
      <c r="Z135" s="23" t="n"/>
      <c r="AA135" s="3" t="n">
        <v>-1.534772309241816e-12</v>
      </c>
      <c r="AB135" s="23" t="n"/>
      <c r="AC135" s="23" t="n"/>
      <c r="AD135" s="23" t="n"/>
      <c r="AE135" s="23" t="n"/>
    </row>
    <row r="136">
      <c r="B136" s="67" t="n">
        <v>1.26959740103025e-06</v>
      </c>
      <c r="C136" s="25" t="n">
        <v>2.581557305240637e-07</v>
      </c>
      <c r="D136" s="25" t="n">
        <v>1.053697000736853e-06</v>
      </c>
      <c r="E136" s="25" t="n">
        <v>1.127012803570452e-06</v>
      </c>
      <c r="F136" s="25" t="n">
        <v>-7.522056404126378e-08</v>
      </c>
      <c r="G136" s="25" t="n">
        <v>1.352062353860593e-06</v>
      </c>
      <c r="H136" s="25" t="n">
        <v>-2.589049948232138e-07</v>
      </c>
      <c r="I136" s="25" t="n">
        <v>4.025072413075621e-07</v>
      </c>
      <c r="J136" s="25" t="n">
        <v>-4.109987705265135e-07</v>
      </c>
      <c r="K136" s="25" t="n">
        <v>-1.94908435394084e-07</v>
      </c>
      <c r="L136" s="25" t="n">
        <v>2.005210732484153e-07</v>
      </c>
      <c r="M136" s="25" t="n">
        <v>-5.091613433106449e-08</v>
      </c>
      <c r="N136" s="25" t="n">
        <v>5.838392157479736e-08</v>
      </c>
      <c r="O136" s="25" t="n">
        <v>-3.515911069764978e-07</v>
      </c>
      <c r="P136" s="25" t="n">
        <v>5.962887450639675e-07</v>
      </c>
      <c r="Q136" s="45" t="n">
        <v>5.946722363215095e-07</v>
      </c>
      <c r="R136" s="67" t="n">
        <v>3.04185700267316</v>
      </c>
      <c r="S136" s="25" t="n">
        <v>-1.399282644739957</v>
      </c>
      <c r="T136" s="45" t="n">
        <v>0.006902852502284022</v>
      </c>
      <c r="V136" s="93" t="n">
        <v>-0.00107094469467407</v>
      </c>
      <c r="W136" s="90">
        <f>$AB$131*SQRT(INDEX($B$131:$Q$146,6,6))</f>
        <v/>
      </c>
      <c r="X136" s="23" t="n"/>
      <c r="Y136" s="3" t="n">
        <v>0.1974333815569376</v>
      </c>
      <c r="Z136" s="23" t="n"/>
      <c r="AA136" s="3" t="n">
        <v>-2.364686224609613e-11</v>
      </c>
      <c r="AB136" s="23" t="n"/>
      <c r="AC136" s="23" t="n"/>
      <c r="AD136" s="23" t="n"/>
      <c r="AE136" s="23" t="n"/>
    </row>
    <row r="137">
      <c r="B137" s="67" t="n">
        <v>-2.828695654498355e-07</v>
      </c>
      <c r="C137" s="25" t="n">
        <v>-5.880287113442373e-08</v>
      </c>
      <c r="D137" s="25" t="n">
        <v>-2.428953587626332e-07</v>
      </c>
      <c r="E137" s="25" t="n">
        <v>-2.286854238981261e-07</v>
      </c>
      <c r="F137" s="25" t="n">
        <v>4.137358882975182e-08</v>
      </c>
      <c r="G137" s="25" t="n">
        <v>-2.589049948232139e-07</v>
      </c>
      <c r="H137" s="25" t="n">
        <v>1.458722733071882e-07</v>
      </c>
      <c r="I137" s="25" t="n">
        <v>-6.111130170914005e-08</v>
      </c>
      <c r="J137" s="25" t="n">
        <v>1.299679070923568e-07</v>
      </c>
      <c r="K137" s="25" t="n">
        <v>1.01217161665979e-07</v>
      </c>
      <c r="L137" s="25" t="n">
        <v>-1.02136525926419e-07</v>
      </c>
      <c r="M137" s="25" t="n">
        <v>-7.647813591630656e-09</v>
      </c>
      <c r="N137" s="25" t="n">
        <v>-4.37357473807689e-08</v>
      </c>
      <c r="O137" s="25" t="n">
        <v>6.875911530077081e-08</v>
      </c>
      <c r="P137" s="25" t="n">
        <v>-1.351484668973034e-07</v>
      </c>
      <c r="Q137" s="45" t="n">
        <v>-1.295319521685748e-07</v>
      </c>
      <c r="R137" s="67" t="n">
        <v>-1.254694954826921</v>
      </c>
      <c r="S137" s="25" t="n">
        <v>0.9045274591412041</v>
      </c>
      <c r="T137" s="45" t="n">
        <v>-0.003603695056339456</v>
      </c>
      <c r="V137" s="93" t="n">
        <v>0.002214365357378157</v>
      </c>
      <c r="W137" s="90">
        <f>$AB$131*SQRT(INDEX($B$131:$Q$146,7,7))</f>
        <v/>
      </c>
      <c r="X137" s="23" t="n"/>
      <c r="Y137" s="3" t="n">
        <v>0.6400427707906513</v>
      </c>
      <c r="Z137" s="23" t="n"/>
      <c r="AA137" s="3" t="n">
        <v>-1.591615728102624e-12</v>
      </c>
      <c r="AB137" s="23" t="n"/>
      <c r="AC137" s="23" t="n"/>
      <c r="AD137" s="23" t="n"/>
      <c r="AE137" s="23" t="n"/>
    </row>
    <row r="138">
      <c r="B138" s="67" t="n">
        <v>4.700720678681404e-07</v>
      </c>
      <c r="C138" s="25" t="n">
        <v>4.057080171511079e-08</v>
      </c>
      <c r="D138" s="25" t="n">
        <v>3.787458925144637e-07</v>
      </c>
      <c r="E138" s="25" t="n">
        <v>3.371845364690337e-07</v>
      </c>
      <c r="F138" s="25" t="n">
        <v>2.196186471776844e-08</v>
      </c>
      <c r="G138" s="25" t="n">
        <v>4.025072413075618e-07</v>
      </c>
      <c r="H138" s="25" t="n">
        <v>-6.11113017091401e-08</v>
      </c>
      <c r="I138" s="25" t="n">
        <v>2.761498703189399e-07</v>
      </c>
      <c r="J138" s="25" t="n">
        <v>-1.386816508417581e-07</v>
      </c>
      <c r="K138" s="25" t="n">
        <v>-4.667689602323797e-08</v>
      </c>
      <c r="L138" s="25" t="n">
        <v>6.393777036751739e-08</v>
      </c>
      <c r="M138" s="25" t="n">
        <v>-5.989590332734087e-08</v>
      </c>
      <c r="N138" s="25" t="n">
        <v>-2.826468658377679e-09</v>
      </c>
      <c r="O138" s="25" t="n">
        <v>-2.16253966991599e-07</v>
      </c>
      <c r="P138" s="25" t="n">
        <v>2.277494193788475e-07</v>
      </c>
      <c r="Q138" s="45" t="n">
        <v>1.541973295342942e-07</v>
      </c>
      <c r="R138" s="67" t="n">
        <v>1.163062971610326</v>
      </c>
      <c r="S138" s="25" t="n">
        <v>-0.3291374818123368</v>
      </c>
      <c r="T138" s="45" t="n">
        <v>0.002639325956755657</v>
      </c>
      <c r="U138" s="671" t="n"/>
      <c r="V138" s="93" t="n">
        <v>0.002594042672267884</v>
      </c>
      <c r="W138" s="90">
        <f>$AB$131*SQRT(INDEX($B$131:$Q$146,8,8))</f>
        <v/>
      </c>
      <c r="X138" s="23" t="n"/>
      <c r="Y138" s="538" t="n">
        <v>-0.789368488806289</v>
      </c>
      <c r="Z138" s="532" t="n"/>
      <c r="AA138" s="3" t="n">
        <v>9.379164112033322e-13</v>
      </c>
      <c r="AB138" s="23" t="n"/>
      <c r="AC138" s="23" t="n"/>
      <c r="AD138" s="23" t="n"/>
      <c r="AE138" s="23" t="n"/>
    </row>
    <row r="139" ht="17.1" customHeight="1">
      <c r="B139" s="795" t="n">
        <v>-4.677662793544787e-07</v>
      </c>
      <c r="C139" s="590" t="n">
        <v>-1.057015077195629e-07</v>
      </c>
      <c r="D139" s="590" t="n">
        <v>-3.918124926332002e-07</v>
      </c>
      <c r="E139" s="590" t="n">
        <v>-3.962388428086705e-07</v>
      </c>
      <c r="F139" s="590" t="n">
        <v>3.454322749204688e-08</v>
      </c>
      <c r="G139" s="590" t="n">
        <v>-4.109987705265146e-07</v>
      </c>
      <c r="H139" s="590" t="n">
        <v>1.299679070923573e-07</v>
      </c>
      <c r="I139" s="590" t="n">
        <v>-1.386816508417578e-07</v>
      </c>
      <c r="J139" s="590" t="n">
        <v>7.629388769300234e-07</v>
      </c>
      <c r="K139" s="590" t="n">
        <v>9.345157752620029e-08</v>
      </c>
      <c r="L139" s="590" t="n">
        <v>-9.744037087769691e-08</v>
      </c>
      <c r="M139" s="590" t="n">
        <v>1.325055227258506e-08</v>
      </c>
      <c r="N139" s="590" t="n">
        <v>-3.252753621466034e-08</v>
      </c>
      <c r="O139" s="590" t="n">
        <v>1.254310985691732e-07</v>
      </c>
      <c r="P139" s="590" t="n">
        <v>-2.258626900505313e-07</v>
      </c>
      <c r="Q139" s="590" t="n">
        <v>-2.488599430174804e-07</v>
      </c>
      <c r="R139" s="67" t="n">
        <v>-2.194091970358339</v>
      </c>
      <c r="S139" s="25" t="n">
        <v>1.439600040605015</v>
      </c>
      <c r="T139" s="45" t="n">
        <v>-0.005735458329103642</v>
      </c>
      <c r="U139" s="796" t="n"/>
      <c r="V139" s="800" t="n">
        <v>0.002336706785822855</v>
      </c>
      <c r="W139" s="90">
        <f>$AB$131*SQRT(INDEX($B$131:$Q$146,9,9))</f>
        <v/>
      </c>
      <c r="X139" s="23" t="n"/>
      <c r="Y139" s="538" t="n">
        <v>-1.153913371732266</v>
      </c>
      <c r="Z139" s="538" t="n"/>
      <c r="AA139" s="3" t="n">
        <v>1.9838353182422e-11</v>
      </c>
      <c r="AB139" s="23" t="n"/>
      <c r="AC139" s="23" t="n"/>
      <c r="AD139" s="23" t="n"/>
      <c r="AE139" s="23" t="n"/>
    </row>
    <row r="140">
      <c r="B140" s="675" t="n">
        <v>-2.089547107569161e-07</v>
      </c>
      <c r="C140" s="676" t="n">
        <v>-3.925597034967869e-08</v>
      </c>
      <c r="D140" s="676" t="n">
        <v>-1.865838230892317e-07</v>
      </c>
      <c r="E140" s="676" t="n">
        <v>-1.758027787645114e-07</v>
      </c>
      <c r="F140" s="676" t="n">
        <v>9.016873048339626e-09</v>
      </c>
      <c r="G140" s="676" t="n">
        <v>-1.94908435394084e-07</v>
      </c>
      <c r="H140" s="676" t="n">
        <v>1.012171616659789e-07</v>
      </c>
      <c r="I140" s="676" t="n">
        <v>-4.66768960232379e-08</v>
      </c>
      <c r="J140" s="676" t="n">
        <v>9.345157752620014e-08</v>
      </c>
      <c r="K140" s="676" t="n">
        <v>3.415853251809872e-07</v>
      </c>
      <c r="L140" s="676" t="n">
        <v>-8.573306223703325e-08</v>
      </c>
      <c r="M140" s="676" t="n">
        <v>2.063074291369269e-08</v>
      </c>
      <c r="N140" s="676" t="n">
        <v>-1.548409942894542e-08</v>
      </c>
      <c r="O140" s="676" t="n">
        <v>2.604615310954531e-08</v>
      </c>
      <c r="P140" s="676" t="n">
        <v>-1.277018712529823e-07</v>
      </c>
      <c r="Q140" s="676" t="n">
        <v>-8.956626467137492e-08</v>
      </c>
      <c r="R140" s="677" t="n">
        <v>-0.8499306330998535</v>
      </c>
      <c r="S140" s="678" t="n">
        <v>0.8174466213244</v>
      </c>
      <c r="T140" s="679" t="n">
        <v>-0.001928738199167593</v>
      </c>
      <c r="U140" s="617" t="n"/>
      <c r="V140" s="680" t="n">
        <v>0.002682147804220895</v>
      </c>
      <c r="W140" s="90">
        <f>$AB$131*SQRT(INDEX($B$131:$Q$146,10,10))</f>
        <v/>
      </c>
      <c r="X140" s="23" t="n"/>
      <c r="Y140" s="681" t="n">
        <v>-1.008620077784581</v>
      </c>
      <c r="Z140" s="682" t="n"/>
      <c r="AA140" s="3" t="n">
        <v>-1.925570813909872e-11</v>
      </c>
      <c r="AB140" s="23" t="n"/>
      <c r="AC140" s="23" t="n"/>
      <c r="AD140" s="23" t="n"/>
      <c r="AE140" s="23" t="n"/>
    </row>
    <row r="141" ht="15.95" customHeight="1">
      <c r="B141" s="683" t="n">
        <v>1.952050823495027e-07</v>
      </c>
      <c r="C141" s="684" t="n">
        <v>3.145237270364204e-08</v>
      </c>
      <c r="D141" s="684" t="n">
        <v>1.716359388530948e-07</v>
      </c>
      <c r="E141" s="684" t="n">
        <v>1.797217359329137e-07</v>
      </c>
      <c r="F141" s="684" t="n">
        <v>-1.783452299940251e-08</v>
      </c>
      <c r="G141" s="684" t="n">
        <v>2.00521073248415e-07</v>
      </c>
      <c r="H141" s="684" t="n">
        <v>-1.021365259264188e-07</v>
      </c>
      <c r="I141" s="684" t="n">
        <v>6.393777036751742e-08</v>
      </c>
      <c r="J141" s="684" t="n">
        <v>-9.744037087769689e-08</v>
      </c>
      <c r="K141" s="684" t="n">
        <v>-8.573306223703316e-08</v>
      </c>
      <c r="L141" s="684" t="n">
        <v>9.174502270455517e-08</v>
      </c>
      <c r="M141" s="684" t="n">
        <v>-3.159335567599934e-08</v>
      </c>
      <c r="N141" s="684" t="n">
        <v>1.039150322186358e-08</v>
      </c>
      <c r="O141" s="684" t="n">
        <v>-3.234441469151806e-08</v>
      </c>
      <c r="P141" s="684" t="n">
        <v>1.068295173416358e-07</v>
      </c>
      <c r="Q141" s="684" t="n">
        <v>9.768069232621611e-08</v>
      </c>
      <c r="R141" s="685" t="n">
        <v>0.1544005684702041</v>
      </c>
      <c r="S141" s="686" t="n">
        <v>0.1019185869454885</v>
      </c>
      <c r="T141" s="687" t="n">
        <v>-0.0004060501471931813</v>
      </c>
      <c r="U141" s="542" t="n"/>
      <c r="V141" s="688" t="n">
        <v>-0.001043032149900424</v>
      </c>
      <c r="W141" s="90">
        <f>$AB$131*SQRT(INDEX($B$131:$Q$146,11,11))</f>
        <v/>
      </c>
      <c r="X141" s="23" t="n"/>
      <c r="Y141" s="682" t="n">
        <v>-0.3044770031906747</v>
      </c>
      <c r="Z141" s="538" t="n"/>
      <c r="AA141" s="3" t="n">
        <v>5.684341886080801e-12</v>
      </c>
      <c r="AB141" s="23" t="n"/>
      <c r="AC141" s="23" t="n"/>
      <c r="AD141" s="23" t="n"/>
      <c r="AE141" s="23" t="n"/>
    </row>
    <row r="142">
      <c r="B142" s="683" t="n">
        <v>-1.794521232273146e-08</v>
      </c>
      <c r="C142" s="684" t="n">
        <v>1.803850082013945e-08</v>
      </c>
      <c r="D142" s="684" t="n">
        <v>-1.962731098034098e-08</v>
      </c>
      <c r="E142" s="684" t="n">
        <v>-4.747475711505956e-08</v>
      </c>
      <c r="F142" s="684" t="n">
        <v>-2.546674586891561e-08</v>
      </c>
      <c r="G142" s="684" t="n">
        <v>-5.091613433106463e-08</v>
      </c>
      <c r="H142" s="684" t="n">
        <v>-7.647813591630507e-09</v>
      </c>
      <c r="I142" s="684" t="n">
        <v>-5.989590332734083e-08</v>
      </c>
      <c r="J142" s="684" t="n">
        <v>1.325055227258515e-08</v>
      </c>
      <c r="K142" s="684" t="n">
        <v>2.063074291369287e-08</v>
      </c>
      <c r="L142" s="684" t="n">
        <v>-3.159335567599933e-08</v>
      </c>
      <c r="M142" s="684" t="n">
        <v>7.050140510449618e-08</v>
      </c>
      <c r="N142" s="684" t="n">
        <v>3.924116926762998e-08</v>
      </c>
      <c r="O142" s="684" t="n">
        <v>-1.060550177715532e-08</v>
      </c>
      <c r="P142" s="684" t="n">
        <v>-3.216681404522705e-08</v>
      </c>
      <c r="Q142" s="684" t="n">
        <v>-1.58906294572509e-08</v>
      </c>
      <c r="R142" s="685" t="n">
        <v>-0.3802321253341455</v>
      </c>
      <c r="S142" s="686" t="n">
        <v>0.5499103305924948</v>
      </c>
      <c r="T142" s="687" t="n">
        <v>-0.0008628565627855023</v>
      </c>
      <c r="U142" s="542" t="n"/>
      <c r="V142" s="688" t="n">
        <v>-0.001363280695463906</v>
      </c>
      <c r="W142" s="90">
        <f>$AB$131*SQRT(INDEX($B$131:$Q$146,12,12))</f>
        <v/>
      </c>
      <c r="X142" s="23" t="n"/>
      <c r="Y142" s="682" t="n">
        <v>-0.5323768391896255</v>
      </c>
      <c r="Z142" s="689" t="n"/>
      <c r="AA142" s="3" t="n">
        <v>2.029310053330846e-11</v>
      </c>
      <c r="AB142" s="23" t="n"/>
      <c r="AC142" s="23" t="n"/>
      <c r="AD142" s="23" t="n"/>
      <c r="AE142" s="23" t="n"/>
    </row>
    <row r="143">
      <c r="B143" s="683" t="n">
        <v>8.766448310033287e-08</v>
      </c>
      <c r="C143" s="684" t="n">
        <v>2.735049843078145e-08</v>
      </c>
      <c r="D143" s="684" t="n">
        <v>7.12594199095385e-08</v>
      </c>
      <c r="E143" s="684" t="n">
        <v>4.896368796521239e-08</v>
      </c>
      <c r="F143" s="684" t="n">
        <v>-2.353906583034915e-08</v>
      </c>
      <c r="G143" s="684" t="n">
        <v>5.838392157479858e-08</v>
      </c>
      <c r="H143" s="684" t="n">
        <v>-4.373574738076907e-08</v>
      </c>
      <c r="I143" s="684" t="n">
        <v>-2.826468658377285e-09</v>
      </c>
      <c r="J143" s="684" t="n">
        <v>-3.252753621466012e-08</v>
      </c>
      <c r="K143" s="684" t="n">
        <v>-1.548409942894565e-08</v>
      </c>
      <c r="L143" s="684" t="n">
        <v>1.039150322186374e-08</v>
      </c>
      <c r="M143" s="684" t="n">
        <v>3.924116926762994e-08</v>
      </c>
      <c r="N143" s="684" t="n">
        <v>3.334424415890516e-08</v>
      </c>
      <c r="O143" s="684" t="n">
        <v>-3.641470060925266e-08</v>
      </c>
      <c r="P143" s="684" t="n">
        <v>2.831894955566734e-08</v>
      </c>
      <c r="Q143" s="684" t="n">
        <v>3.185125984235834e-08</v>
      </c>
      <c r="R143" s="685" t="n">
        <v>2.100294386356716</v>
      </c>
      <c r="S143" s="686" t="n">
        <v>-1.006446046086692</v>
      </c>
      <c r="T143" s="687" t="n">
        <v>0.004009745203532637</v>
      </c>
      <c r="U143" s="542" t="n"/>
      <c r="V143" s="688" t="n">
        <v>-0.001171333207477726</v>
      </c>
      <c r="W143" s="90">
        <f>$AB$131*SQRT(INDEX($B$131:$Q$146,13,13))</f>
        <v/>
      </c>
      <c r="X143" s="23" t="n"/>
      <c r="Y143" s="682" t="n">
        <v>-0.5284026687297176</v>
      </c>
      <c r="Z143" s="23" t="n"/>
      <c r="AA143" s="3" t="n">
        <v>6.139089236967266e-12</v>
      </c>
      <c r="AB143" s="23" t="n"/>
      <c r="AC143" s="23" t="n"/>
      <c r="AD143" s="23" t="n"/>
      <c r="AE143" s="23" t="n"/>
    </row>
    <row r="144">
      <c r="B144" s="683" t="n">
        <v>-4.521268555454082e-07</v>
      </c>
      <c r="C144" s="684" t="n">
        <v>-5.860930253525039e-08</v>
      </c>
      <c r="D144" s="684" t="n">
        <v>-3.591185815341219e-07</v>
      </c>
      <c r="E144" s="684" t="n">
        <v>-2.897097793539729e-07</v>
      </c>
      <c r="F144" s="684" t="n">
        <v>3.504881151147121e-09</v>
      </c>
      <c r="G144" s="684" t="n">
        <v>-3.515911069764971e-07</v>
      </c>
      <c r="H144" s="684" t="n">
        <v>6.875911530077058e-08</v>
      </c>
      <c r="I144" s="684" t="n">
        <v>-2.162539669915986e-07</v>
      </c>
      <c r="J144" s="684" t="n">
        <v>1.254310985691726e-07</v>
      </c>
      <c r="K144" s="684" t="n">
        <v>2.604615310954531e-08</v>
      </c>
      <c r="L144" s="684" t="n">
        <v>-3.234441469151804e-08</v>
      </c>
      <c r="M144" s="684" t="n">
        <v>-1.060550177715543e-08</v>
      </c>
      <c r="N144" s="684" t="n">
        <v>-3.641470060925215e-08</v>
      </c>
      <c r="O144" s="684" t="n">
        <v>2.268594687687542e-07</v>
      </c>
      <c r="P144" s="684" t="n">
        <v>-1.955826053336203e-07</v>
      </c>
      <c r="Q144" s="684" t="n">
        <v>-1.383067000770429e-07</v>
      </c>
      <c r="R144" s="685" t="n">
        <v>-0.7828308462761808</v>
      </c>
      <c r="S144" s="686" t="n">
        <v>0.7792271512198419</v>
      </c>
      <c r="T144" s="687" t="n">
        <v>-0.001776469393970151</v>
      </c>
      <c r="U144" s="542" t="n"/>
      <c r="V144" s="688" t="n">
        <v>-0.001230761976803963</v>
      </c>
      <c r="W144" s="90">
        <f>$AB$131*SQRT(INDEX($B$131:$Q$146,14,14))</f>
        <v/>
      </c>
      <c r="X144" s="23" t="n"/>
      <c r="Y144" s="682" t="n">
        <v>-0.1388767060667844</v>
      </c>
      <c r="Z144" s="23" t="n"/>
      <c r="AA144" s="3" t="n">
        <v>-5.030642569181509e-12</v>
      </c>
      <c r="AB144" s="23" t="n"/>
      <c r="AC144" s="23" t="n"/>
      <c r="AD144" s="23" t="n"/>
      <c r="AE144" s="23" t="n"/>
    </row>
    <row r="145">
      <c r="B145" s="683" t="n">
        <v>7.694623711740995e-07</v>
      </c>
      <c r="C145" s="684" t="n">
        <v>1.483767706051222e-07</v>
      </c>
      <c r="D145" s="684" t="n">
        <v>6.565950319058159e-07</v>
      </c>
      <c r="E145" s="684" t="n">
        <v>5.546820385961068e-07</v>
      </c>
      <c r="F145" s="684" t="n">
        <v>4.630674251625774e-08</v>
      </c>
      <c r="G145" s="684" t="n">
        <v>5.962887450639668e-07</v>
      </c>
      <c r="H145" s="684" t="n">
        <v>-1.35148466897303e-07</v>
      </c>
      <c r="I145" s="684" t="n">
        <v>2.277494193788473e-07</v>
      </c>
      <c r="J145" s="684" t="n">
        <v>-2.258626900505307e-07</v>
      </c>
      <c r="K145" s="684" t="n">
        <v>-1.277018712529822e-07</v>
      </c>
      <c r="L145" s="684" t="n">
        <v>1.068295173416358e-07</v>
      </c>
      <c r="M145" s="684" t="n">
        <v>-3.216681404522699e-08</v>
      </c>
      <c r="N145" s="684" t="n">
        <v>2.83189495556666e-08</v>
      </c>
      <c r="O145" s="684" t="n">
        <v>-1.955826053336205e-07</v>
      </c>
      <c r="P145" s="684" t="n">
        <v>4.625871982986946e-07</v>
      </c>
      <c r="Q145" s="684" t="n">
        <v>2.780137960072902e-07</v>
      </c>
      <c r="R145" s="685" t="n">
        <v>1.670855750685207</v>
      </c>
      <c r="S145" s="686" t="n">
        <v>-0.7618414374175201</v>
      </c>
      <c r="T145" s="687" t="n">
        <v>0.003035224850269003</v>
      </c>
      <c r="U145" s="542" t="n"/>
      <c r="V145" s="688" t="n">
        <v>0.001503759948518272</v>
      </c>
      <c r="W145" s="90">
        <f>$AB$131*SQRT(INDEX($B$131:$Q$146,15,15))</f>
        <v/>
      </c>
      <c r="X145" s="23" t="n"/>
      <c r="Y145" s="682" t="n">
        <v>-0.6704638998253329</v>
      </c>
      <c r="Z145" s="23" t="n"/>
      <c r="AA145" s="3" t="n">
        <v>-1.159605744760484e-11</v>
      </c>
      <c r="AB145" s="23" t="n"/>
      <c r="AC145" s="23" t="n"/>
      <c r="AD145" s="23" t="n"/>
      <c r="AE145" s="23" t="n"/>
    </row>
    <row r="146">
      <c r="B146" s="683" t="n">
        <v>6.524456920264783e-07</v>
      </c>
      <c r="C146" s="684" t="n">
        <v>2.078832892317412e-07</v>
      </c>
      <c r="D146" s="684" t="n">
        <v>5.390758237444121e-07</v>
      </c>
      <c r="E146" s="684" t="n">
        <v>6.526508627848143e-07</v>
      </c>
      <c r="F146" s="684" t="n">
        <v>-8.810831604353318e-08</v>
      </c>
      <c r="G146" s="684" t="n">
        <v>5.946722363215095e-07</v>
      </c>
      <c r="H146" s="684" t="n">
        <v>-1.295319521685747e-07</v>
      </c>
      <c r="I146" s="684" t="n">
        <v>1.541973295342942e-07</v>
      </c>
      <c r="J146" s="684" t="n">
        <v>-2.4885994301748e-07</v>
      </c>
      <c r="K146" s="684" t="n">
        <v>-8.9566264671375e-08</v>
      </c>
      <c r="L146" s="684" t="n">
        <v>9.768069232621624e-08</v>
      </c>
      <c r="M146" s="684" t="n">
        <v>-1.589062945725095e-08</v>
      </c>
      <c r="N146" s="684" t="n">
        <v>3.185125984235794e-08</v>
      </c>
      <c r="O146" s="684" t="n">
        <v>-1.383067000770433e-07</v>
      </c>
      <c r="P146" s="684" t="n">
        <v>2.780137960072906e-07</v>
      </c>
      <c r="Q146" s="684" t="n">
        <v>5.019742659299096e-07</v>
      </c>
      <c r="R146" s="685" t="n">
        <v>1.404622204175546</v>
      </c>
      <c r="S146" s="686" t="n">
        <v>-0.4667275741887442</v>
      </c>
      <c r="T146" s="687" t="n">
        <v>0.003187493655466443</v>
      </c>
      <c r="U146" s="542" t="n"/>
      <c r="V146" s="688" t="n">
        <v>0.002662009376325566</v>
      </c>
      <c r="W146" s="91">
        <f>$AB$131*SQRT(INDEX($B$131:$Q$146,16,16))</f>
        <v/>
      </c>
      <c r="X146" s="23" t="n"/>
      <c r="Y146" s="682" t="n">
        <v>-0.3407416260098284</v>
      </c>
      <c r="Z146" s="23" t="n"/>
      <c r="AA146" s="3" t="n">
        <v>2.256683728774078e-11</v>
      </c>
      <c r="AB146" s="23" t="n"/>
      <c r="AC146" s="23" t="n"/>
      <c r="AD146" s="23" t="n"/>
      <c r="AE146" s="23" t="n"/>
    </row>
    <row r="147" ht="25.75" customHeight="1">
      <c r="A147" s="21" t="inlineStr">
        <is>
          <t>S(-1)</t>
        </is>
      </c>
      <c r="B147" s="683" t="n">
        <v>3.710689270124847</v>
      </c>
      <c r="C147" s="684" t="n">
        <v>0.4249653165499239</v>
      </c>
      <c r="D147" s="684" t="n">
        <v>3.375190336006486</v>
      </c>
      <c r="E147" s="684" t="n">
        <v>2.370859134436425</v>
      </c>
      <c r="F147" s="684" t="n">
        <v>-0.5165972997665184</v>
      </c>
      <c r="G147" s="684" t="n">
        <v>3.041857002673151</v>
      </c>
      <c r="H147" s="684" t="n">
        <v>-1.254694954826917</v>
      </c>
      <c r="I147" s="684" t="n">
        <v>1.163062971610323</v>
      </c>
      <c r="J147" s="684" t="n">
        <v>-2.194091970358333</v>
      </c>
      <c r="K147" s="684" t="n">
        <v>-0.8499306330998515</v>
      </c>
      <c r="L147" s="684" t="n">
        <v>0.1544005684702041</v>
      </c>
      <c r="M147" s="684" t="n">
        <v>-0.3802321253341445</v>
      </c>
      <c r="N147" s="684" t="n">
        <v>2.100294386356711</v>
      </c>
      <c r="O147" s="684" t="n">
        <v>-0.7828308462761795</v>
      </c>
      <c r="P147" s="684" t="n">
        <v>1.670855750685204</v>
      </c>
      <c r="Q147" s="684" t="n">
        <v>1.404622204175542</v>
      </c>
      <c r="R147" s="685" t="n">
        <v>-1.433628227953863e-08</v>
      </c>
      <c r="S147" s="686" t="n">
        <v>6.336713938672806e-09</v>
      </c>
      <c r="T147" s="687" t="n">
        <v>-3.233042761585782e-11</v>
      </c>
      <c r="U147" s="542" t="n"/>
      <c r="V147" s="688" t="n"/>
      <c r="W147" s="23" t="n"/>
      <c r="X147" s="23" t="n"/>
      <c r="Y147" s="682" t="n">
        <v>-1.410381126659766</v>
      </c>
      <c r="Z147" s="23" t="n"/>
      <c r="AA147" s="3" t="n">
        <v>5.790035118025116e-12</v>
      </c>
      <c r="AB147" s="23" t="n"/>
      <c r="AC147" s="23" t="n"/>
      <c r="AD147" s="23" t="n"/>
      <c r="AE147" s="23" t="n"/>
    </row>
    <row r="148">
      <c r="A148" s="601" t="n"/>
      <c r="B148" s="683" t="n">
        <v>-1.923713328596075</v>
      </c>
      <c r="C148" s="684" t="n">
        <v>0.09127668933780159</v>
      </c>
      <c r="D148" s="684" t="n">
        <v>-1.732615978073287</v>
      </c>
      <c r="E148" s="684" t="n">
        <v>-1.017087943694374</v>
      </c>
      <c r="F148" s="684" t="n">
        <v>0.4841132879910653</v>
      </c>
      <c r="G148" s="684" t="n">
        <v>-1.399282644739953</v>
      </c>
      <c r="H148" s="684" t="n">
        <v>0.9045274591412017</v>
      </c>
      <c r="I148" s="684" t="n">
        <v>-0.3291374818123354</v>
      </c>
      <c r="J148" s="684" t="n">
        <v>1.439600040605012</v>
      </c>
      <c r="K148" s="684" t="n">
        <v>0.8174466213243987</v>
      </c>
      <c r="L148" s="684" t="n">
        <v>0.1019185869454887</v>
      </c>
      <c r="M148" s="684" t="n">
        <v>0.5499103305924944</v>
      </c>
      <c r="N148" s="684" t="n">
        <v>-1.00644604608669</v>
      </c>
      <c r="O148" s="684" t="n">
        <v>0.7792271512198414</v>
      </c>
      <c r="P148" s="684" t="n">
        <v>-0.7618414374175184</v>
      </c>
      <c r="Q148" s="684" t="n">
        <v>-0.4667275741887422</v>
      </c>
      <c r="R148" s="685" t="n">
        <v>6.34904857395418e-09</v>
      </c>
      <c r="S148" s="686" t="n">
        <v>-2.468047880580971e-09</v>
      </c>
      <c r="T148" s="687" t="n">
        <v>1.436849484647903e-11</v>
      </c>
      <c r="U148" s="542" t="n"/>
      <c r="V148" s="688" t="n"/>
      <c r="W148" s="23" t="n"/>
      <c r="X148" s="23" t="n"/>
      <c r="Y148" s="682" t="n">
        <v>-0.8001483801194154</v>
      </c>
      <c r="Z148" s="23" t="n"/>
      <c r="AA148" s="3" t="n">
        <v>-8.753886504564434e-12</v>
      </c>
      <c r="AB148" s="23" t="n"/>
      <c r="AE148" s="23" t="n"/>
    </row>
    <row r="149">
      <c r="A149" s="606" t="n"/>
      <c r="B149" s="683" t="n">
        <v>0.007664196528271214</v>
      </c>
      <c r="C149" s="684" t="n">
        <v>0.0009643690995837914</v>
      </c>
      <c r="D149" s="684" t="n">
        <v>0.006902852502284011</v>
      </c>
      <c r="E149" s="684" t="n">
        <v>0.005380164450309589</v>
      </c>
      <c r="F149" s="684" t="n">
        <v>-0.001928738199167591</v>
      </c>
      <c r="G149" s="684" t="n">
        <v>0.006902852502284008</v>
      </c>
      <c r="H149" s="684" t="n">
        <v>-0.003603695056339449</v>
      </c>
      <c r="I149" s="684" t="n">
        <v>0.002639325956755651</v>
      </c>
      <c r="J149" s="684" t="n">
        <v>-0.005735458329103632</v>
      </c>
      <c r="K149" s="684" t="n">
        <v>-0.001928738199167591</v>
      </c>
      <c r="L149" s="684" t="n">
        <v>-0.0004060501471931826</v>
      </c>
      <c r="M149" s="684" t="n">
        <v>-0.0008628565627855022</v>
      </c>
      <c r="N149" s="684" t="n">
        <v>0.004009745203532629</v>
      </c>
      <c r="O149" s="684" t="n">
        <v>-0.001776469393970151</v>
      </c>
      <c r="P149" s="684" t="n">
        <v>0.003035224850268997</v>
      </c>
      <c r="Q149" s="684" t="n">
        <v>0.003187493655466435</v>
      </c>
      <c r="R149" s="685" t="n">
        <v>-3.13166732399176e-11</v>
      </c>
      <c r="S149" s="686" t="n">
        <v>1.404193476190377e-11</v>
      </c>
      <c r="T149" s="687" t="n">
        <v>-7.237170306907392e-14</v>
      </c>
      <c r="U149" s="542" t="n"/>
      <c r="V149" s="688" t="n"/>
      <c r="W149" s="23" t="n"/>
      <c r="X149" s="23" t="n"/>
      <c r="Y149" s="682" t="n">
        <v>-0.2297874724123066</v>
      </c>
      <c r="Z149" s="23" t="n"/>
      <c r="AA149" s="4" t="n">
        <v>-2.256683728774078e-11</v>
      </c>
      <c r="AB149" s="23" t="n"/>
      <c r="AE149" s="23" t="n"/>
    </row>
    <row r="150">
      <c r="B150" s="683" t="n"/>
      <c r="C150" s="684" t="n"/>
      <c r="D150" s="684" t="n"/>
      <c r="E150" s="684" t="n"/>
      <c r="F150" s="684" t="n"/>
      <c r="G150" s="684" t="n"/>
      <c r="H150" s="684" t="n"/>
      <c r="I150" s="684" t="n"/>
      <c r="J150" s="684" t="n"/>
      <c r="K150" s="684" t="n"/>
      <c r="L150" s="684" t="n"/>
      <c r="M150" s="684" t="n"/>
      <c r="N150" s="684" t="n"/>
      <c r="O150" s="684" t="n"/>
      <c r="P150" s="684" t="n"/>
      <c r="Q150" s="684" t="n"/>
      <c r="R150" s="685" t="n"/>
      <c r="S150" s="686" t="n"/>
      <c r="T150" s="687" t="n"/>
      <c r="U150" s="542" t="n"/>
      <c r="V150" s="688" t="n"/>
      <c r="W150" s="23" t="n"/>
      <c r="X150" s="23" t="n"/>
      <c r="Y150" s="682" t="n">
        <v>-0.2180114450053522</v>
      </c>
      <c r="Z150" s="23" t="n"/>
      <c r="AB150" s="23" t="n"/>
      <c r="AE150" s="23" t="n"/>
    </row>
    <row r="151">
      <c r="B151" s="683" t="n"/>
      <c r="C151" s="684" t="n"/>
      <c r="D151" s="684" t="n"/>
      <c r="E151" s="684" t="n"/>
      <c r="F151" s="684" t="n"/>
      <c r="G151" s="684" t="n"/>
      <c r="H151" s="684" t="n"/>
      <c r="I151" s="684" t="n"/>
      <c r="J151" s="684" t="n"/>
      <c r="K151" s="684" t="n"/>
      <c r="L151" s="684" t="n"/>
      <c r="M151" s="684" t="n"/>
      <c r="N151" s="684" t="n"/>
      <c r="O151" s="684" t="n"/>
      <c r="P151" s="684" t="n"/>
      <c r="Q151" s="684" t="n"/>
      <c r="R151" s="685" t="n"/>
      <c r="S151" s="686" t="n"/>
      <c r="T151" s="687" t="n"/>
      <c r="U151" s="542" t="n"/>
      <c r="V151" s="688" t="n"/>
      <c r="W151" s="23" t="n"/>
      <c r="X151" s="23" t="n"/>
      <c r="Y151" s="682" t="n"/>
      <c r="Z151" s="23" t="n"/>
      <c r="AA151" s="23" t="n"/>
      <c r="AB151" s="23" t="n"/>
      <c r="AE151" s="23" t="n"/>
    </row>
    <row r="152">
      <c r="B152" s="683" t="n"/>
      <c r="C152" s="684" t="n"/>
      <c r="D152" s="684" t="n"/>
      <c r="E152" s="684" t="n"/>
      <c r="F152" s="684" t="n"/>
      <c r="G152" s="684" t="n"/>
      <c r="H152" s="684" t="n"/>
      <c r="I152" s="684" t="n"/>
      <c r="J152" s="684" t="n"/>
      <c r="K152" s="684" t="n"/>
      <c r="L152" s="684" t="n"/>
      <c r="M152" s="684" t="n"/>
      <c r="N152" s="684" t="n"/>
      <c r="O152" s="684" t="n"/>
      <c r="P152" s="684" t="n"/>
      <c r="Q152" s="684" t="n"/>
      <c r="R152" s="685" t="n"/>
      <c r="S152" s="686" t="n"/>
      <c r="T152" s="687" t="n"/>
      <c r="U152" s="542" t="n"/>
      <c r="V152" s="688" t="n"/>
      <c r="W152" s="23" t="n"/>
      <c r="X152" s="23" t="n"/>
      <c r="Y152" s="682" t="n"/>
      <c r="Z152" s="23" t="n"/>
      <c r="AA152" s="23" t="n"/>
      <c r="AB152" s="23" t="n"/>
      <c r="AC152" s="23" t="n"/>
      <c r="AD152" s="23" t="n"/>
      <c r="AE152" s="23" t="n"/>
    </row>
    <row r="153">
      <c r="B153" s="683" t="n"/>
      <c r="C153" s="684" t="n"/>
      <c r="D153" s="684" t="n"/>
      <c r="E153" s="684" t="n"/>
      <c r="F153" s="684" t="n"/>
      <c r="G153" s="684" t="n"/>
      <c r="H153" s="684" t="n"/>
      <c r="I153" s="684" t="n"/>
      <c r="J153" s="684" t="n"/>
      <c r="K153" s="684" t="n"/>
      <c r="L153" s="684" t="n"/>
      <c r="M153" s="684" t="n"/>
      <c r="N153" s="684" t="n"/>
      <c r="O153" s="684" t="n"/>
      <c r="P153" s="684" t="n"/>
      <c r="Q153" s="684" t="n"/>
      <c r="R153" s="685" t="n"/>
      <c r="S153" s="686" t="n"/>
      <c r="T153" s="687" t="n"/>
      <c r="U153" s="542" t="n"/>
      <c r="V153" s="688" t="n"/>
      <c r="Y153" s="682" t="n"/>
    </row>
    <row r="154">
      <c r="B154" s="683" t="inlineStr">
        <is>
          <t>I</t>
        </is>
      </c>
      <c r="C154" s="506" t="n"/>
      <c r="D154" s="506" t="n"/>
      <c r="E154" s="506" t="n"/>
      <c r="F154" s="506" t="n"/>
      <c r="G154" s="506" t="n"/>
      <c r="H154" s="506" t="n"/>
      <c r="I154" s="506" t="n"/>
      <c r="J154" s="506" t="n"/>
      <c r="K154" s="506" t="n"/>
      <c r="L154" s="506" t="n"/>
      <c r="M154" s="506" t="n"/>
      <c r="N154" s="506" t="n"/>
      <c r="O154" s="506" t="n"/>
      <c r="P154" s="506" t="n"/>
      <c r="Q154" s="506" t="n"/>
      <c r="R154" s="506" t="n"/>
      <c r="S154" s="506" t="n"/>
      <c r="T154" s="506" t="n"/>
      <c r="U154" s="506" t="n"/>
      <c r="V154" s="506" t="n"/>
      <c r="W154" s="506" t="n"/>
      <c r="X154" s="506" t="n"/>
      <c r="Y154" s="506" t="n"/>
      <c r="Z154" s="506" t="n"/>
      <c r="AA154" s="506" t="n"/>
      <c r="AB154" s="506" t="n"/>
      <c r="AC154" s="506" t="n"/>
      <c r="AD154" s="506" t="n"/>
      <c r="AE154" s="506" t="n"/>
      <c r="AF154" s="506" t="n"/>
      <c r="AG154" s="507" t="n"/>
      <c r="AJ154" s="690" t="inlineStr">
        <is>
          <t>(ATA)-1AT</t>
        </is>
      </c>
      <c r="AK154" s="596" t="n"/>
      <c r="AL154" s="596" t="n"/>
      <c r="AM154" s="596" t="n"/>
      <c r="AN154" s="596" t="n"/>
      <c r="AO154" s="596" t="n"/>
      <c r="AP154" s="596" t="n"/>
      <c r="AQ154" s="596" t="n"/>
      <c r="AR154" s="596" t="n"/>
      <c r="AS154" s="596" t="n"/>
      <c r="AT154" s="596" t="n"/>
      <c r="AU154" s="596" t="n"/>
      <c r="AV154" s="596" t="n"/>
      <c r="AW154" s="596" t="n"/>
      <c r="AX154" s="596" t="n"/>
      <c r="AY154" s="596" t="n"/>
      <c r="AZ154" s="596" t="n"/>
      <c r="BA154" s="596" t="n"/>
      <c r="BB154" s="596" t="n"/>
      <c r="BC154" s="596" t="n"/>
      <c r="BD154" s="596" t="n"/>
      <c r="BE154" s="596" t="n"/>
      <c r="BF154" s="596" t="n"/>
      <c r="BG154" s="596" t="n"/>
      <c r="BH154" s="596" t="n"/>
      <c r="BI154" s="596" t="n"/>
      <c r="BJ154" s="596" t="n"/>
      <c r="BK154" s="596" t="n"/>
      <c r="BL154" s="596" t="n"/>
      <c r="BM154" s="596" t="n"/>
      <c r="BN154" s="596" t="n"/>
      <c r="BO154" s="597" t="n"/>
    </row>
    <row r="155">
      <c r="A155" t="n">
        <v>1</v>
      </c>
      <c r="B155" s="683">
        <f t="array" ref="B155:AG186">_xlfn.MUNIT(32)</f>
        <v/>
      </c>
      <c r="C155" s="684" t="n">
        <v>0</v>
      </c>
      <c r="D155" s="684" t="n">
        <v>0</v>
      </c>
      <c r="E155" s="684" t="n">
        <v>0</v>
      </c>
      <c r="F155" s="684" t="n">
        <v>0</v>
      </c>
      <c r="G155" s="684" t="n">
        <v>0</v>
      </c>
      <c r="H155" s="684" t="n">
        <v>0</v>
      </c>
      <c r="I155" s="684" t="n">
        <v>0</v>
      </c>
      <c r="J155" s="684" t="n">
        <v>0</v>
      </c>
      <c r="K155" s="684" t="n">
        <v>0</v>
      </c>
      <c r="L155" s="684" t="n">
        <v>0</v>
      </c>
      <c r="M155" s="684" t="n">
        <v>0</v>
      </c>
      <c r="N155" s="684" t="n">
        <v>0</v>
      </c>
      <c r="O155" s="684" t="n">
        <v>0</v>
      </c>
      <c r="P155" s="684" t="n">
        <v>0</v>
      </c>
      <c r="Q155" s="684" t="n">
        <v>0</v>
      </c>
      <c r="R155" s="685" t="n">
        <v>0</v>
      </c>
      <c r="S155" s="686" t="n">
        <v>0</v>
      </c>
      <c r="T155" s="687" t="n">
        <v>0</v>
      </c>
      <c r="U155" s="589" t="n">
        <v>0</v>
      </c>
      <c r="V155" s="691" t="n">
        <v>0</v>
      </c>
      <c r="W155" s="9" t="n">
        <v>0</v>
      </c>
      <c r="X155" s="9" t="n">
        <v>0</v>
      </c>
      <c r="Y155" s="689" t="n">
        <v>0</v>
      </c>
      <c r="Z155" s="9" t="n">
        <v>0</v>
      </c>
      <c r="AA155" s="9" t="n">
        <v>0</v>
      </c>
      <c r="AB155" s="9" t="n">
        <v>0</v>
      </c>
      <c r="AC155" s="9" t="n">
        <v>0</v>
      </c>
      <c r="AD155" s="9" t="n">
        <v>0</v>
      </c>
      <c r="AE155" s="9" t="n">
        <v>0</v>
      </c>
      <c r="AF155" s="9" t="n">
        <v>0</v>
      </c>
      <c r="AG155" s="10" t="n">
        <v>0</v>
      </c>
      <c r="AH155" s="23" t="n"/>
      <c r="AI155" s="23" t="n">
        <v>1</v>
      </c>
      <c r="AJ155" s="8">
        <f t="array" ref="AJ155:BO186">MMULT(MMULT(B76:Q107,B131:Q146),_xlfn.ANCHORARRAY(U92))</f>
        <v/>
      </c>
      <c r="AK155" s="9" t="n">
        <v>-0.004233484189268211</v>
      </c>
      <c r="AL155" s="9" t="n">
        <v>-0.02457566580324555</v>
      </c>
      <c r="AM155" s="9" t="n">
        <v>0.05777410052184091</v>
      </c>
      <c r="AN155" s="9" t="n">
        <v>0.0695232806328501</v>
      </c>
      <c r="AO155" s="9" t="n">
        <v>0.1391854210289087</v>
      </c>
      <c r="AP155" s="9" t="n">
        <v>-0.04513482722653962</v>
      </c>
      <c r="AQ155" s="9" t="n">
        <v>0.05777398477951479</v>
      </c>
      <c r="AR155" s="9" t="n">
        <v>0.04585757223888669</v>
      </c>
      <c r="AS155" s="9" t="n">
        <v>0.0924779204326347</v>
      </c>
      <c r="AT155" s="9" t="n">
        <v>0.2139351986037583</v>
      </c>
      <c r="AU155" s="9" t="n">
        <v>0.2682017639604348</v>
      </c>
      <c r="AV155" s="9" t="n">
        <v>-0.0306915910530612</v>
      </c>
      <c r="AW155" s="9" t="n">
        <v>-0.01514614494543087</v>
      </c>
      <c r="AX155" s="9" t="n">
        <v>0.00858404248163458</v>
      </c>
      <c r="AY155" s="9" t="n">
        <v>0.008366932512830487</v>
      </c>
      <c r="AZ155" s="9" t="n">
        <v>0.009750312393146932</v>
      </c>
      <c r="BA155" s="9" t="n">
        <v>0.02782181125326675</v>
      </c>
      <c r="BB155" s="9" t="n">
        <v>0.04564590343344235</v>
      </c>
      <c r="BC155" s="9" t="n">
        <v>-0.003560198334286441</v>
      </c>
      <c r="BD155" s="9" t="n">
        <v>-0.05096714958524075</v>
      </c>
      <c r="BE155" s="9" t="n">
        <v>-0.01213801987599799</v>
      </c>
      <c r="BF155" s="9" t="n">
        <v>-0.03062651358332649</v>
      </c>
      <c r="BG155" s="9" t="n">
        <v>-0.06804143342133681</v>
      </c>
      <c r="BH155" s="9" t="n">
        <v>0.06589838443981647</v>
      </c>
      <c r="BI155" s="9" t="n">
        <v>0.09587473202608557</v>
      </c>
      <c r="BJ155" s="9" t="n">
        <v>-0.05907134460494858</v>
      </c>
      <c r="BK155" s="9" t="n">
        <v>0.002928763398369252</v>
      </c>
      <c r="BL155" s="9" t="n">
        <v>0.01325414497026697</v>
      </c>
      <c r="BM155" s="9" t="n">
        <v>-0.03815349058760104</v>
      </c>
      <c r="BN155" s="9" t="n">
        <v>0.0488737349029213</v>
      </c>
      <c r="BO155" s="10" t="n">
        <v>-0.02697317466543392</v>
      </c>
      <c r="BP155" s="23" t="n"/>
      <c r="BQ155" s="23" t="n"/>
      <c r="BR155" s="23" t="n"/>
      <c r="BS155" s="23" t="n"/>
      <c r="BT155" s="23" t="n"/>
    </row>
    <row r="156">
      <c r="A156" t="n">
        <v>2</v>
      </c>
      <c r="B156" s="677" t="n">
        <v>0</v>
      </c>
      <c r="C156" s="678" t="n">
        <v>1</v>
      </c>
      <c r="D156" s="678" t="n">
        <v>0</v>
      </c>
      <c r="E156" s="678" t="n">
        <v>0</v>
      </c>
      <c r="F156" s="678" t="n">
        <v>0</v>
      </c>
      <c r="G156" s="678" t="n">
        <v>0</v>
      </c>
      <c r="H156" s="678" t="n">
        <v>0</v>
      </c>
      <c r="I156" s="678" t="n">
        <v>0</v>
      </c>
      <c r="J156" s="678" t="n">
        <v>0</v>
      </c>
      <c r="K156" s="678" t="n">
        <v>0</v>
      </c>
      <c r="L156" s="678" t="n">
        <v>0</v>
      </c>
      <c r="M156" s="678" t="n">
        <v>0</v>
      </c>
      <c r="N156" s="678" t="n">
        <v>0</v>
      </c>
      <c r="O156" s="678" t="n">
        <v>0</v>
      </c>
      <c r="P156" s="678" t="n">
        <v>0</v>
      </c>
      <c r="Q156" s="678" t="n">
        <v>0</v>
      </c>
      <c r="R156" s="677" t="n">
        <v>0</v>
      </c>
      <c r="S156" s="678" t="n">
        <v>0</v>
      </c>
      <c r="T156" s="679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2" t="n">
        <v>0</v>
      </c>
      <c r="AH156" s="23" t="n"/>
      <c r="AI156" s="23" t="n">
        <v>2</v>
      </c>
      <c r="AJ156" s="11" t="n">
        <v>-0.00423348418926818</v>
      </c>
      <c r="AK156" s="1" t="n">
        <v>0.2280985157251495</v>
      </c>
      <c r="AL156" s="1" t="n">
        <v>0.09652111725252449</v>
      </c>
      <c r="AM156" s="1" t="n">
        <v>-0.006197984875864697</v>
      </c>
      <c r="AN156" s="1" t="n">
        <v>0.03411503099053671</v>
      </c>
      <c r="AO156" s="1" t="n">
        <v>0.01246938966554775</v>
      </c>
      <c r="AP156" s="1" t="n">
        <v>0.04880567663816533</v>
      </c>
      <c r="AQ156" s="1" t="n">
        <v>-0.006197972459069293</v>
      </c>
      <c r="AR156" s="1" t="n">
        <v>0.1013137728472479</v>
      </c>
      <c r="AS156" s="1" t="n">
        <v>-0.008866755135934191</v>
      </c>
      <c r="AT156" s="1" t="n">
        <v>0.005487470994036688</v>
      </c>
      <c r="AU156" s="1" t="n">
        <v>-0.004233488184060837</v>
      </c>
      <c r="AV156" s="1" t="n">
        <v>0.01409598140508857</v>
      </c>
      <c r="AW156" s="1" t="n">
        <v>-0.01982617550785661</v>
      </c>
      <c r="AX156" s="1" t="n">
        <v>0.01858441148654733</v>
      </c>
      <c r="AY156" s="1" t="n">
        <v>-0.003837056241899332</v>
      </c>
      <c r="AZ156" s="1" t="n">
        <v>0.108952673352034</v>
      </c>
      <c r="BA156" s="1" t="n">
        <v>0.04535066182825853</v>
      </c>
      <c r="BB156" s="1" t="n">
        <v>0.05917312953627967</v>
      </c>
      <c r="BC156" s="1" t="n">
        <v>0.04185154404291312</v>
      </c>
      <c r="BD156" s="1" t="n">
        <v>-0.009584222510082459</v>
      </c>
      <c r="BE156" s="1" t="n">
        <v>-0.01604003709737207</v>
      </c>
      <c r="BF156" s="1" t="n">
        <v>-0.09230566523806133</v>
      </c>
      <c r="BG156" s="1" t="n">
        <v>0.2039260216335972</v>
      </c>
      <c r="BH156" s="1" t="n">
        <v>-0.06705057816630224</v>
      </c>
      <c r="BI156" s="1" t="n">
        <v>-0.01894551862177905</v>
      </c>
      <c r="BJ156" s="1" t="n">
        <v>-0.1002330471913578</v>
      </c>
      <c r="BK156" s="1" t="n">
        <v>0.105164895168515</v>
      </c>
      <c r="BL156" s="1" t="n">
        <v>0.1533030621153924</v>
      </c>
      <c r="BM156" s="1" t="n">
        <v>-0.08158059336890562</v>
      </c>
      <c r="BN156" s="1" t="n">
        <v>-0.1373584044984987</v>
      </c>
      <c r="BO156" s="12" t="n">
        <v>-0.08362365497938787</v>
      </c>
      <c r="BP156" s="23" t="n"/>
      <c r="BQ156" s="23" t="n"/>
      <c r="BR156" s="23" t="n"/>
      <c r="BS156" s="23" t="n"/>
      <c r="BT156" s="23" t="n"/>
    </row>
    <row r="157">
      <c r="A157" t="n">
        <v>3</v>
      </c>
      <c r="B157" s="685" t="n">
        <v>0</v>
      </c>
      <c r="C157" s="686" t="n">
        <v>0</v>
      </c>
      <c r="D157" s="686" t="n">
        <v>1</v>
      </c>
      <c r="E157" s="686" t="n">
        <v>0</v>
      </c>
      <c r="F157" s="686" t="n">
        <v>0</v>
      </c>
      <c r="G157" s="686" t="n">
        <v>0</v>
      </c>
      <c r="H157" s="686" t="n">
        <v>0</v>
      </c>
      <c r="I157" s="686" t="n">
        <v>0</v>
      </c>
      <c r="J157" s="686" t="n">
        <v>0</v>
      </c>
      <c r="K157" s="686" t="n">
        <v>0</v>
      </c>
      <c r="L157" s="686" t="n">
        <v>0</v>
      </c>
      <c r="M157" s="686" t="n">
        <v>0</v>
      </c>
      <c r="N157" s="686" t="n">
        <v>0</v>
      </c>
      <c r="O157" s="686" t="n">
        <v>0</v>
      </c>
      <c r="P157" s="686" t="n">
        <v>0</v>
      </c>
      <c r="Q157" s="686" t="n">
        <v>0</v>
      </c>
      <c r="R157" s="685" t="n">
        <v>0</v>
      </c>
      <c r="S157" s="686" t="n">
        <v>0</v>
      </c>
      <c r="T157" s="687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2" t="n">
        <v>0</v>
      </c>
      <c r="AH157" s="23" t="n"/>
      <c r="AI157" s="23" t="n">
        <v>3</v>
      </c>
      <c r="AJ157" s="11" t="n">
        <v>-0.02457566580324555</v>
      </c>
      <c r="AK157" s="1" t="n">
        <v>0.09652111725252445</v>
      </c>
      <c r="AL157" s="1" t="n">
        <v>0.2486060451823781</v>
      </c>
      <c r="AM157" s="1" t="n">
        <v>-0.04099596973095909</v>
      </c>
      <c r="AN157" s="1" t="n">
        <v>-0.03183981639194947</v>
      </c>
      <c r="AO157" s="1" t="n">
        <v>0.01490793648287272</v>
      </c>
      <c r="AP157" s="1" t="n">
        <v>0.01070362471181394</v>
      </c>
      <c r="AQ157" s="1" t="n">
        <v>-0.04099588760127026</v>
      </c>
      <c r="AR157" s="1" t="n">
        <v>0.1769381139544338</v>
      </c>
      <c r="AS157" s="1" t="n">
        <v>0.00502694178414167</v>
      </c>
      <c r="AT157" s="1" t="n">
        <v>0.02543287522426311</v>
      </c>
      <c r="AU157" s="1" t="n">
        <v>-0.0245756889932907</v>
      </c>
      <c r="AV157" s="1" t="n">
        <v>-0.0004645280769879083</v>
      </c>
      <c r="AW157" s="1" t="n">
        <v>-0.003510649140802899</v>
      </c>
      <c r="AX157" s="1" t="n">
        <v>0.003131776947444343</v>
      </c>
      <c r="AY157" s="1" t="n">
        <v>-0.005925683265346905</v>
      </c>
      <c r="AZ157" s="1" t="n">
        <v>0.03084690565711994</v>
      </c>
      <c r="BA157" s="1" t="n">
        <v>0.01237076956309815</v>
      </c>
      <c r="BB157" s="1" t="n">
        <v>0.1758077461635875</v>
      </c>
      <c r="BC157" s="1" t="n">
        <v>0.1696859131928916</v>
      </c>
      <c r="BD157" s="1" t="n">
        <v>-0.0156077707236728</v>
      </c>
      <c r="BE157" s="1" t="n">
        <v>-0.01398424104635079</v>
      </c>
      <c r="BF157" s="1" t="n">
        <v>-0.03161948580277266</v>
      </c>
      <c r="BG157" s="1" t="n">
        <v>0.1111065924245316</v>
      </c>
      <c r="BH157" s="1" t="n">
        <v>-0.04706658293239325</v>
      </c>
      <c r="BI157" s="1" t="n">
        <v>-0.002828511919342136</v>
      </c>
      <c r="BJ157" s="1" t="n">
        <v>-0.01623681928972537</v>
      </c>
      <c r="BK157" s="1" t="n">
        <v>-0.05506210495563663</v>
      </c>
      <c r="BL157" s="1" t="n">
        <v>-0.1055595762979113</v>
      </c>
      <c r="BM157" s="1" t="n">
        <v>0.1881094011907278</v>
      </c>
      <c r="BN157" s="1" t="n">
        <v>-0.1114887984906825</v>
      </c>
      <c r="BO157" s="12" t="n">
        <v>-0.02149233389022765</v>
      </c>
      <c r="BP157" s="23" t="n"/>
      <c r="BQ157" s="23" t="n"/>
      <c r="BR157" s="23" t="n"/>
      <c r="BS157" s="23" t="n"/>
      <c r="BT157" s="23" t="n"/>
    </row>
    <row r="158">
      <c r="A158" t="n">
        <v>4</v>
      </c>
      <c r="B158" s="692" t="n">
        <v>0</v>
      </c>
      <c r="C158" s="693" t="n">
        <v>0</v>
      </c>
      <c r="D158" s="693" t="n">
        <v>0</v>
      </c>
      <c r="E158" s="693" t="n">
        <v>1</v>
      </c>
      <c r="F158" s="693" t="n">
        <v>0</v>
      </c>
      <c r="G158" s="693" t="n">
        <v>0</v>
      </c>
      <c r="H158" s="693" t="n">
        <v>0</v>
      </c>
      <c r="I158" s="693" t="n">
        <v>0</v>
      </c>
      <c r="J158" s="693" t="n">
        <v>0</v>
      </c>
      <c r="K158" s="693" t="n">
        <v>0</v>
      </c>
      <c r="L158" s="693" t="n">
        <v>0</v>
      </c>
      <c r="M158" s="693" t="n">
        <v>0</v>
      </c>
      <c r="N158" s="693" t="n">
        <v>0</v>
      </c>
      <c r="O158" s="693" t="n">
        <v>0</v>
      </c>
      <c r="P158" s="693" t="n">
        <v>0</v>
      </c>
      <c r="Q158" s="693" t="n">
        <v>0</v>
      </c>
      <c r="R158" s="692" t="n">
        <v>0</v>
      </c>
      <c r="S158" s="693" t="n">
        <v>0</v>
      </c>
      <c r="T158" s="694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2" t="n">
        <v>0</v>
      </c>
      <c r="AH158" s="23" t="n"/>
      <c r="AI158" s="23" t="n">
        <v>4</v>
      </c>
      <c r="AJ158" s="11" t="n">
        <v>0.05777410052184093</v>
      </c>
      <c r="AK158" s="1" t="n">
        <v>-0.00619798487586469</v>
      </c>
      <c r="AL158" s="1" t="n">
        <v>-0.04099596973095908</v>
      </c>
      <c r="AM158" s="1" t="n">
        <v>0.2124738165802105</v>
      </c>
      <c r="AN158" s="1" t="n">
        <v>0.05697984711552388</v>
      </c>
      <c r="AO158" s="1" t="n">
        <v>-0.01481990015170789</v>
      </c>
      <c r="AP158" s="1" t="n">
        <v>0.1305687827018136</v>
      </c>
      <c r="AQ158" s="1" t="n">
        <v>0.2124733909186503</v>
      </c>
      <c r="AR158" s="1" t="n">
        <v>0.141972820429437</v>
      </c>
      <c r="AS158" s="1" t="n">
        <v>-0.04624052989013297</v>
      </c>
      <c r="AT158" s="1" t="n">
        <v>-0.04894088027384604</v>
      </c>
      <c r="AU158" s="1" t="n">
        <v>0.05777415503853285</v>
      </c>
      <c r="AV158" s="1" t="n">
        <v>0.0535203846226049</v>
      </c>
      <c r="AW158" s="1" t="n">
        <v>-0.01998496947387045</v>
      </c>
      <c r="AX158" s="1" t="n">
        <v>-0.00396874317305862</v>
      </c>
      <c r="AY158" s="1" t="n">
        <v>-0.001465632111719246</v>
      </c>
      <c r="AZ158" s="1" t="n">
        <v>0.00419764432516306</v>
      </c>
      <c r="BA158" s="1" t="n">
        <v>0.02200033662296756</v>
      </c>
      <c r="BB158" s="1" t="n">
        <v>0.01220493019344814</v>
      </c>
      <c r="BC158" s="1" t="n">
        <v>-0.03422086272355981</v>
      </c>
      <c r="BD158" s="1" t="n">
        <v>-0.01874835833435531</v>
      </c>
      <c r="BE158" s="1" t="n">
        <v>-0.02524746127899639</v>
      </c>
      <c r="BF158" s="1" t="n">
        <v>-0.0322108271596268</v>
      </c>
      <c r="BG158" s="1" t="n">
        <v>-0.0549730253753993</v>
      </c>
      <c r="BH158" s="1" t="n">
        <v>0.2117974566131434</v>
      </c>
      <c r="BI158" s="1" t="n">
        <v>-0.08061778446476574</v>
      </c>
      <c r="BJ158" s="1" t="n">
        <v>0.05037954957513515</v>
      </c>
      <c r="BK158" s="1" t="n">
        <v>0.02622038115143795</v>
      </c>
      <c r="BL158" s="1" t="n">
        <v>0.01974001542494037</v>
      </c>
      <c r="BM158" s="1" t="n">
        <v>-0.03339385450287853</v>
      </c>
      <c r="BN158" s="1" t="n">
        <v>0.04664854130186612</v>
      </c>
      <c r="BO158" s="12" t="n">
        <v>-0.01299809111770742</v>
      </c>
      <c r="BP158" s="23" t="n"/>
      <c r="BQ158" s="23" t="n"/>
      <c r="BR158" s="23" t="n"/>
      <c r="BS158" s="23" t="n"/>
      <c r="BT158" s="23" t="n"/>
    </row>
    <row r="159">
      <c r="A159" t="n">
        <v>5</v>
      </c>
      <c r="B159" s="1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2" t="n">
        <v>0</v>
      </c>
      <c r="AH159" s="23" t="n"/>
      <c r="AI159" s="23" t="n">
        <v>5</v>
      </c>
      <c r="AJ159" s="11" t="n">
        <v>0.06952328063285004</v>
      </c>
      <c r="AK159" s="1" t="n">
        <v>0.0341150309905367</v>
      </c>
      <c r="AL159" s="1" t="n">
        <v>-0.03183981639194947</v>
      </c>
      <c r="AM159" s="1" t="n">
        <v>0.0569798471155238</v>
      </c>
      <c r="AN159" s="1" t="n">
        <v>0.1976405034704358</v>
      </c>
      <c r="AO159" s="1" t="n">
        <v>-0.01129084229096595</v>
      </c>
      <c r="AP159" s="1" t="n">
        <v>0.01517069797484986</v>
      </c>
      <c r="AQ159" s="1" t="n">
        <v>0.05697973296437324</v>
      </c>
      <c r="AR159" s="1" t="n">
        <v>0.05175321368569883</v>
      </c>
      <c r="AS159" s="1" t="n">
        <v>-0.01374892591834676</v>
      </c>
      <c r="AT159" s="1" t="n">
        <v>-0.0867067553384389</v>
      </c>
      <c r="AU159" s="1" t="n">
        <v>0.0695233462362819</v>
      </c>
      <c r="AV159" s="1" t="n">
        <v>0.02535121148557201</v>
      </c>
      <c r="AW159" s="1" t="n">
        <v>-0.04247349388827418</v>
      </c>
      <c r="AX159" s="1" t="n">
        <v>0.04229270036195841</v>
      </c>
      <c r="AY159" s="1" t="n">
        <v>0.05234695305005964</v>
      </c>
      <c r="AZ159" s="1" t="n">
        <v>0.0848461450898147</v>
      </c>
      <c r="BA159" s="1" t="n">
        <v>0.05426570177481102</v>
      </c>
      <c r="BB159" s="1" t="n">
        <v>0.1303474173559649</v>
      </c>
      <c r="BC159" s="1" t="n">
        <v>0.004448407965700998</v>
      </c>
      <c r="BD159" s="1" t="n">
        <v>0.09180776140412074</v>
      </c>
      <c r="BE159" s="1" t="n">
        <v>0.07844945446198585</v>
      </c>
      <c r="BF159" s="1" t="n">
        <v>-0.02862811631971877</v>
      </c>
      <c r="BG159" s="1" t="n">
        <v>-0.1054793124773668</v>
      </c>
      <c r="BH159" s="1" t="n">
        <v>-0.07314023974529782</v>
      </c>
      <c r="BI159" s="1" t="n">
        <v>0.03699045267627686</v>
      </c>
      <c r="BJ159" s="1" t="n">
        <v>-0.1089426732431557</v>
      </c>
      <c r="BK159" s="1" t="n">
        <v>0.0742886237302989</v>
      </c>
      <c r="BL159" s="1" t="n">
        <v>0.004591817569736603</v>
      </c>
      <c r="BM159" s="1" t="n">
        <v>-0.09698943012648614</v>
      </c>
      <c r="BN159" s="1" t="n">
        <v>0.1589934940157896</v>
      </c>
      <c r="BO159" s="12" t="n">
        <v>-0.1001384146216118</v>
      </c>
      <c r="BP159" s="23" t="n"/>
      <c r="BQ159" s="23" t="n"/>
      <c r="BR159" s="23" t="n"/>
      <c r="BS159" s="23" t="n"/>
      <c r="BT159" s="23" t="n"/>
    </row>
    <row r="160">
      <c r="A160" t="n">
        <v>6</v>
      </c>
      <c r="B160" s="1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2" t="n">
        <v>0</v>
      </c>
      <c r="AH160" s="23" t="n"/>
      <c r="AI160" s="23" t="n">
        <v>6</v>
      </c>
      <c r="AJ160" s="11" t="n">
        <v>0.1391854210289085</v>
      </c>
      <c r="AK160" s="1" t="n">
        <v>0.01246938966554773</v>
      </c>
      <c r="AL160" s="1" t="n">
        <v>0.01490793648287277</v>
      </c>
      <c r="AM160" s="1" t="n">
        <v>-0.01481990015170783</v>
      </c>
      <c r="AN160" s="1" t="n">
        <v>-0.01129084229096589</v>
      </c>
      <c r="AO160" s="1" t="n">
        <v>0.2795624606189285</v>
      </c>
      <c r="AP160" s="1" t="n">
        <v>0.1542489182553468</v>
      </c>
      <c r="AQ160" s="1" t="n">
        <v>-0.01481987046211158</v>
      </c>
      <c r="AR160" s="1" t="n">
        <v>-0.02758791408413161</v>
      </c>
      <c r="AS160" s="1" t="n">
        <v>0.005413090729433585</v>
      </c>
      <c r="AT160" s="1" t="n">
        <v>0.1341420791419224</v>
      </c>
      <c r="AU160" s="1" t="n">
        <v>0.1391855523668029</v>
      </c>
      <c r="AV160" s="1" t="n">
        <v>0.1269323521644195</v>
      </c>
      <c r="AW160" s="1" t="n">
        <v>-0.06131674947191307</v>
      </c>
      <c r="AX160" s="1" t="n">
        <v>-0.04586269462568168</v>
      </c>
      <c r="AY160" s="1" t="n">
        <v>-0.0171637614530663</v>
      </c>
      <c r="AZ160" s="1" t="n">
        <v>-0.003044616827058574</v>
      </c>
      <c r="BA160" s="1" t="n">
        <v>0.008453467679187691</v>
      </c>
      <c r="BB160" s="1" t="n">
        <v>-0.008949590647519989</v>
      </c>
      <c r="BC160" s="1" t="n">
        <v>-0.02130728587910675</v>
      </c>
      <c r="BD160" s="1" t="n">
        <v>-0.09408548944118092</v>
      </c>
      <c r="BE160" s="1" t="n">
        <v>-0.03226954826776365</v>
      </c>
      <c r="BF160" s="1" t="n">
        <v>-0.0243782825231631</v>
      </c>
      <c r="BG160" s="1" t="n">
        <v>0.01952587491586941</v>
      </c>
      <c r="BH160" s="1" t="n">
        <v>-0.111338689920065</v>
      </c>
      <c r="BI160" s="1" t="n">
        <v>0.2425461352363032</v>
      </c>
      <c r="BJ160" s="1" t="n">
        <v>0.1056013410370576</v>
      </c>
      <c r="BK160" s="1" t="n">
        <v>0.02257235443881783</v>
      </c>
      <c r="BL160" s="1" t="n">
        <v>-0.001915005311229234</v>
      </c>
      <c r="BM160" s="1" t="n">
        <v>0.03952480560277689</v>
      </c>
      <c r="BN160" s="1" t="n">
        <v>-0.02096200994161155</v>
      </c>
      <c r="BO160" s="12" t="n">
        <v>0.02226412262880934</v>
      </c>
      <c r="BP160" s="23" t="n"/>
      <c r="BQ160" s="23" t="n"/>
      <c r="BR160" s="23" t="n"/>
      <c r="BS160" s="23" t="n"/>
      <c r="BT160" s="23" t="n"/>
    </row>
    <row r="161">
      <c r="A161" t="n">
        <v>7</v>
      </c>
      <c r="B161" s="80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2" t="n">
        <v>0</v>
      </c>
      <c r="AH161" s="658" t="n"/>
      <c r="AI161" s="23" t="n">
        <v>7</v>
      </c>
      <c r="AJ161" s="695" t="n">
        <v>-0.04513482722653962</v>
      </c>
      <c r="AK161" s="1" t="n">
        <v>0.04880567663816533</v>
      </c>
      <c r="AL161" s="1" t="n">
        <v>0.01070362471181399</v>
      </c>
      <c r="AM161" s="1" t="n">
        <v>0.1305687827018136</v>
      </c>
      <c r="AN161" s="1" t="n">
        <v>0.01517069797484993</v>
      </c>
      <c r="AO161" s="1" t="n">
        <v>0.1542489182553466</v>
      </c>
      <c r="AP161" s="1" t="n">
        <v>0.4511954881529697</v>
      </c>
      <c r="AQ161" s="1" t="n">
        <v>0.130568521125528</v>
      </c>
      <c r="AR161" s="1" t="n">
        <v>0.06389336761552858</v>
      </c>
      <c r="AS161" s="1" t="n">
        <v>-0.03453645134489051</v>
      </c>
      <c r="AT161" s="1" t="n">
        <v>0.01307748436890188</v>
      </c>
      <c r="AU161" s="1" t="n">
        <v>-0.04513486981658314</v>
      </c>
      <c r="AV161" s="1" t="n">
        <v>0.2369683737036322</v>
      </c>
      <c r="AW161" s="1" t="n">
        <v>-0.1187855786454273</v>
      </c>
      <c r="AX161" s="1" t="n">
        <v>-0.05729726388495116</v>
      </c>
      <c r="AY161" s="1" t="n">
        <v>0.01161137309178656</v>
      </c>
      <c r="AZ161" s="1" t="n">
        <v>0.05636606390860958</v>
      </c>
      <c r="BA161" s="1" t="n">
        <v>-0.002236830520098237</v>
      </c>
      <c r="BB161" s="1" t="n">
        <v>-0.02375312073380006</v>
      </c>
      <c r="BC161" s="1" t="n">
        <v>-0.0445060783169491</v>
      </c>
      <c r="BD161" s="1" t="n">
        <v>-0.003767301379239529</v>
      </c>
      <c r="BE161" s="1" t="n">
        <v>0.07689860150519869</v>
      </c>
      <c r="BF161" s="1" t="n">
        <v>0.02091187150566187</v>
      </c>
      <c r="BG161" s="1" t="n">
        <v>0.07534367017282129</v>
      </c>
      <c r="BH161" s="1" t="n">
        <v>-0.08661350374063964</v>
      </c>
      <c r="BI161" s="1" t="n">
        <v>-0.08277333806380285</v>
      </c>
      <c r="BJ161" s="1" t="n">
        <v>0.2410178548476239</v>
      </c>
      <c r="BK161" s="1" t="n">
        <v>0.1103917403286762</v>
      </c>
      <c r="BL161" s="1" t="n">
        <v>-0.01345460437067666</v>
      </c>
      <c r="BM161" s="1" t="n">
        <v>0.02262425904999567</v>
      </c>
      <c r="BN161" s="1" t="n">
        <v>0.02633127146592354</v>
      </c>
      <c r="BO161" s="12" t="n">
        <v>0.003982860413864558</v>
      </c>
      <c r="BP161" s="23" t="n"/>
      <c r="BQ161" s="658" t="n"/>
      <c r="BR161" s="23" t="n"/>
      <c r="BS161" s="23" t="n"/>
      <c r="BT161" s="23" t="n"/>
    </row>
    <row r="162">
      <c r="A162" t="n">
        <v>8</v>
      </c>
      <c r="B162" s="696" t="n">
        <v>0</v>
      </c>
      <c r="C162" s="697" t="n">
        <v>0</v>
      </c>
      <c r="D162" s="697" t="n">
        <v>0</v>
      </c>
      <c r="E162" s="697" t="n">
        <v>0</v>
      </c>
      <c r="F162" s="697" t="n">
        <v>0</v>
      </c>
      <c r="G162" s="697" t="n">
        <v>0</v>
      </c>
      <c r="H162" s="697" t="n">
        <v>0</v>
      </c>
      <c r="I162" s="697" t="n">
        <v>1</v>
      </c>
      <c r="J162" s="697" t="n">
        <v>0</v>
      </c>
      <c r="K162" s="697" t="n">
        <v>0</v>
      </c>
      <c r="L162" s="697" t="n">
        <v>0</v>
      </c>
      <c r="M162" s="697" t="n">
        <v>0</v>
      </c>
      <c r="N162" s="697" t="n">
        <v>0</v>
      </c>
      <c r="O162" s="697" t="n">
        <v>0</v>
      </c>
      <c r="P162" s="697" t="n">
        <v>0</v>
      </c>
      <c r="Q162" s="697" t="n">
        <v>0</v>
      </c>
      <c r="R162" s="697" t="n">
        <v>0</v>
      </c>
      <c r="S162" s="697" t="n">
        <v>0</v>
      </c>
      <c r="T162" s="697" t="n">
        <v>0</v>
      </c>
      <c r="U162" s="697" t="n">
        <v>0</v>
      </c>
      <c r="V162" s="697" t="n">
        <v>0</v>
      </c>
      <c r="W162" s="697" t="n">
        <v>0</v>
      </c>
      <c r="X162" s="697" t="n">
        <v>0</v>
      </c>
      <c r="Y162" s="697" t="n">
        <v>0</v>
      </c>
      <c r="Z162" s="697" t="n">
        <v>0</v>
      </c>
      <c r="AA162" s="697" t="n">
        <v>0</v>
      </c>
      <c r="AB162" s="697" t="n">
        <v>0</v>
      </c>
      <c r="AC162" s="697" t="n">
        <v>0</v>
      </c>
      <c r="AD162" s="697" t="n">
        <v>0</v>
      </c>
      <c r="AE162" s="697" t="n">
        <v>0</v>
      </c>
      <c r="AF162" s="697" t="n">
        <v>0</v>
      </c>
      <c r="AG162" s="698" t="n">
        <v>0</v>
      </c>
      <c r="AH162" s="699" t="n"/>
      <c r="AI162" s="23" t="n">
        <v>8</v>
      </c>
      <c r="AJ162" s="580" t="n">
        <v>0.05777398477951481</v>
      </c>
      <c r="AK162" s="581" t="n">
        <v>-0.006197972459069279</v>
      </c>
      <c r="AL162" s="581" t="n">
        <v>-0.04099588760127026</v>
      </c>
      <c r="AM162" s="581" t="n">
        <v>0.2124733909186503</v>
      </c>
      <c r="AN162" s="581" t="n">
        <v>0.05697973296437334</v>
      </c>
      <c r="AO162" s="581" t="n">
        <v>-0.01481987046211164</v>
      </c>
      <c r="AP162" s="581" t="n">
        <v>0.1305685211255279</v>
      </c>
      <c r="AQ162" s="581" t="n">
        <v>0.2124729652579429</v>
      </c>
      <c r="AR162" s="581" t="n">
        <v>0.1419725360067574</v>
      </c>
      <c r="AS162" s="581" t="n">
        <v>-0.04624043725370177</v>
      </c>
      <c r="AT162" s="581" t="n">
        <v>-0.04894078222764071</v>
      </c>
      <c r="AU162" s="581" t="n">
        <v>0.05777403929609753</v>
      </c>
      <c r="AV162" s="581" t="n">
        <v>0.05352027740200343</v>
      </c>
      <c r="AW162" s="581" t="n">
        <v>-0.01998492943678064</v>
      </c>
      <c r="AX162" s="581" t="n">
        <v>-0.003968735222237035</v>
      </c>
      <c r="AY162" s="581" t="n">
        <v>-0.001465629175530371</v>
      </c>
      <c r="AZ162" s="581" t="n">
        <v>0.004197635915770022</v>
      </c>
      <c r="BA162" s="581" t="n">
        <v>0.02200029254837164</v>
      </c>
      <c r="BB162" s="581" t="n">
        <v>0.01220490574257831</v>
      </c>
      <c r="BC162" s="581" t="n">
        <v>-0.03422079416684989</v>
      </c>
      <c r="BD162" s="581" t="n">
        <v>-0.01874832077464286</v>
      </c>
      <c r="BE162" s="581" t="n">
        <v>-0.02524741069924055</v>
      </c>
      <c r="BF162" s="581" t="n">
        <v>-0.03221076262974182</v>
      </c>
      <c r="BG162" s="581" t="n">
        <v>-0.05497291524463531</v>
      </c>
      <c r="BH162" s="581" t="n">
        <v>0.2117970323065757</v>
      </c>
      <c r="BI162" s="581" t="n">
        <v>-0.08061762295831537</v>
      </c>
      <c r="BJ162" s="581" t="n">
        <v>0.05037944864675722</v>
      </c>
      <c r="BK162" s="581" t="n">
        <v>0.02622032862257329</v>
      </c>
      <c r="BL162" s="581" t="n">
        <v>0.01973997587858168</v>
      </c>
      <c r="BM162" s="581" t="n">
        <v>-0.03339378760296378</v>
      </c>
      <c r="BN162" s="581" t="n">
        <v>0.04664844784804111</v>
      </c>
      <c r="BO162" s="555" t="n">
        <v>-0.01299806507785074</v>
      </c>
      <c r="BP162" s="23" t="n"/>
      <c r="BQ162" s="700" t="n"/>
      <c r="BR162" s="648" t="n"/>
      <c r="BS162" s="648" t="n"/>
      <c r="BT162" s="648" t="n"/>
    </row>
    <row r="163">
      <c r="A163" t="n">
        <v>9</v>
      </c>
      <c r="B163" s="701" t="n">
        <v>0</v>
      </c>
      <c r="C163" s="702" t="n">
        <v>0</v>
      </c>
      <c r="D163" s="702" t="n">
        <v>0</v>
      </c>
      <c r="E163" s="702" t="n">
        <v>0</v>
      </c>
      <c r="F163" s="702" t="n">
        <v>0</v>
      </c>
      <c r="G163" s="702" t="n">
        <v>0</v>
      </c>
      <c r="H163" s="702" t="n">
        <v>0</v>
      </c>
      <c r="I163" s="702" t="n">
        <v>0</v>
      </c>
      <c r="J163" s="702" t="n">
        <v>1</v>
      </c>
      <c r="K163" s="702" t="n">
        <v>0</v>
      </c>
      <c r="L163" s="702" t="n">
        <v>0</v>
      </c>
      <c r="M163" s="702" t="n">
        <v>0</v>
      </c>
      <c r="N163" s="702" t="n">
        <v>0</v>
      </c>
      <c r="O163" s="702" t="n">
        <v>0</v>
      </c>
      <c r="P163" s="702" t="n">
        <v>0</v>
      </c>
      <c r="Q163" s="702" t="n">
        <v>0</v>
      </c>
      <c r="R163" s="702" t="n">
        <v>0</v>
      </c>
      <c r="S163" s="702" t="n">
        <v>0</v>
      </c>
      <c r="T163" s="702" t="n">
        <v>0</v>
      </c>
      <c r="U163" s="702" t="n">
        <v>0</v>
      </c>
      <c r="V163" s="702" t="n">
        <v>0</v>
      </c>
      <c r="W163" s="702" t="n">
        <v>0</v>
      </c>
      <c r="X163" s="702" t="n">
        <v>0</v>
      </c>
      <c r="Y163" s="702" t="n">
        <v>0</v>
      </c>
      <c r="Z163" s="702" t="n">
        <v>0</v>
      </c>
      <c r="AA163" s="702" t="n">
        <v>0</v>
      </c>
      <c r="AB163" s="702" t="n">
        <v>0</v>
      </c>
      <c r="AC163" s="702" t="n">
        <v>0</v>
      </c>
      <c r="AD163" s="702" t="n">
        <v>0</v>
      </c>
      <c r="AE163" s="702" t="n">
        <v>0</v>
      </c>
      <c r="AF163" s="702" t="n">
        <v>0</v>
      </c>
      <c r="AG163" s="703" t="n">
        <v>0</v>
      </c>
      <c r="AH163" s="704" t="n"/>
      <c r="AI163" s="23" t="n">
        <v>9</v>
      </c>
      <c r="AJ163" s="543" t="n">
        <v>0.04585757223888668</v>
      </c>
      <c r="AK163" s="1" t="n">
        <v>0.1013137728472479</v>
      </c>
      <c r="AL163" s="1" t="n">
        <v>0.1769381139544337</v>
      </c>
      <c r="AM163" s="1" t="n">
        <v>0.1419728204294369</v>
      </c>
      <c r="AN163" s="1" t="n">
        <v>0.05175321368569889</v>
      </c>
      <c r="AO163" s="1" t="n">
        <v>-0.02758791408413167</v>
      </c>
      <c r="AP163" s="1" t="n">
        <v>0.06389336761552857</v>
      </c>
      <c r="AQ163" s="1" t="n">
        <v>0.1419725360067574</v>
      </c>
      <c r="AR163" s="1" t="n">
        <v>0.2973225435625371</v>
      </c>
      <c r="AS163" s="1" t="n">
        <v>-0.03574816053024758</v>
      </c>
      <c r="AT163" s="1" t="n">
        <v>-0.03199067605764659</v>
      </c>
      <c r="AU163" s="1" t="n">
        <v>0.0458576155109258</v>
      </c>
      <c r="AV163" s="1" t="n">
        <v>0.01498568396165489</v>
      </c>
      <c r="AW163" s="1" t="n">
        <v>-0.003769014410148357</v>
      </c>
      <c r="AX163" s="1" t="n">
        <v>0.007470073491341225</v>
      </c>
      <c r="AY163" s="1" t="n">
        <v>-0.01355631196258177</v>
      </c>
      <c r="AZ163" s="1" t="n">
        <v>0.04853455877054019</v>
      </c>
      <c r="BA163" s="1" t="n">
        <v>0.03051075086446338</v>
      </c>
      <c r="BB163" s="1" t="n">
        <v>0.1612015325117618</v>
      </c>
      <c r="BC163" s="1" t="n">
        <v>0.08273239658714872</v>
      </c>
      <c r="BD163" s="1" t="n">
        <v>-0.02760432529236517</v>
      </c>
      <c r="BE163" s="1" t="n">
        <v>-0.04518358820132181</v>
      </c>
      <c r="BF163" s="1" t="n">
        <v>-0.07129452284402873</v>
      </c>
      <c r="BG163" s="1" t="n">
        <v>0.06509343308607418</v>
      </c>
      <c r="BH163" s="1" t="n">
        <v>0.1454617617276775</v>
      </c>
      <c r="BI163" s="1" t="n">
        <v>-0.06647275847603597</v>
      </c>
      <c r="BJ163" s="1" t="n">
        <v>-0.08555918799064396</v>
      </c>
      <c r="BK163" s="1" t="n">
        <v>0.04137203083868077</v>
      </c>
      <c r="BL163" s="1" t="n">
        <v>-0.07970723005880434</v>
      </c>
      <c r="BM163" s="1" t="n">
        <v>0.1446979313528875</v>
      </c>
      <c r="BN163" s="1" t="n">
        <v>-0.02640696951592127</v>
      </c>
      <c r="BO163" s="544" t="n">
        <v>-0.04113233734175637</v>
      </c>
      <c r="BP163" s="23" t="n"/>
      <c r="BQ163" s="705" t="n"/>
      <c r="BR163" s="487" t="n"/>
      <c r="BS163" s="487" t="n"/>
      <c r="BT163" s="487" t="n"/>
    </row>
    <row r="164">
      <c r="A164" t="n">
        <v>10</v>
      </c>
      <c r="B164" s="701" t="n">
        <v>0</v>
      </c>
      <c r="C164" s="702" t="n">
        <v>0</v>
      </c>
      <c r="D164" s="702" t="n">
        <v>0</v>
      </c>
      <c r="E164" s="702" t="n">
        <v>0</v>
      </c>
      <c r="F164" s="702" t="n">
        <v>0</v>
      </c>
      <c r="G164" s="702" t="n">
        <v>0</v>
      </c>
      <c r="H164" s="702" t="n">
        <v>0</v>
      </c>
      <c r="I164" s="702" t="n">
        <v>0</v>
      </c>
      <c r="J164" s="702" t="n">
        <v>0</v>
      </c>
      <c r="K164" s="702" t="n">
        <v>1</v>
      </c>
      <c r="L164" s="702" t="n">
        <v>0</v>
      </c>
      <c r="M164" s="702" t="n">
        <v>0</v>
      </c>
      <c r="N164" s="702" t="n">
        <v>0</v>
      </c>
      <c r="O164" s="702" t="n">
        <v>0</v>
      </c>
      <c r="P164" s="702" t="n">
        <v>0</v>
      </c>
      <c r="Q164" s="702" t="n">
        <v>0</v>
      </c>
      <c r="R164" s="702" t="n">
        <v>0</v>
      </c>
      <c r="S164" s="702" t="n">
        <v>0</v>
      </c>
      <c r="T164" s="702" t="n">
        <v>0</v>
      </c>
      <c r="U164" s="702" t="n">
        <v>0</v>
      </c>
      <c r="V164" s="702" t="n">
        <v>0</v>
      </c>
      <c r="W164" s="702" t="n">
        <v>0</v>
      </c>
      <c r="X164" s="702" t="n">
        <v>0</v>
      </c>
      <c r="Y164" s="702" t="n">
        <v>0</v>
      </c>
      <c r="Z164" s="702" t="n">
        <v>0</v>
      </c>
      <c r="AA164" s="702" t="n">
        <v>0</v>
      </c>
      <c r="AB164" s="702" t="n">
        <v>0</v>
      </c>
      <c r="AC164" s="702" t="n">
        <v>0</v>
      </c>
      <c r="AD164" s="702" t="n">
        <v>0</v>
      </c>
      <c r="AE164" s="702" t="n">
        <v>0</v>
      </c>
      <c r="AF164" s="702" t="n">
        <v>0</v>
      </c>
      <c r="AG164" s="703" t="n">
        <v>0</v>
      </c>
      <c r="AH164" s="704" t="n"/>
      <c r="AI164" s="23" t="n">
        <v>10</v>
      </c>
      <c r="AJ164" s="543" t="n">
        <v>0.09247792043263486</v>
      </c>
      <c r="AK164" s="1" t="n">
        <v>-0.008866755135934268</v>
      </c>
      <c r="AL164" s="1" t="n">
        <v>0.005026941784141626</v>
      </c>
      <c r="AM164" s="1" t="n">
        <v>-0.04624052989013307</v>
      </c>
      <c r="AN164" s="1" t="n">
        <v>-0.01374892591834694</v>
      </c>
      <c r="AO164" s="1" t="n">
        <v>0.005413090729433585</v>
      </c>
      <c r="AP164" s="1" t="n">
        <v>-0.03453645134489108</v>
      </c>
      <c r="AQ164" s="1" t="n">
        <v>-0.04624043725370185</v>
      </c>
      <c r="AR164" s="1" t="n">
        <v>-0.03574816053024769</v>
      </c>
      <c r="AS164" s="1" t="n">
        <v>0.3478469427311831</v>
      </c>
      <c r="AT164" s="1" t="n">
        <v>0.249476645584585</v>
      </c>
      <c r="AU164" s="1" t="n">
        <v>0.09247800769648214</v>
      </c>
      <c r="AV164" s="1" t="n">
        <v>0.09985041514927506</v>
      </c>
      <c r="AW164" s="1" t="n">
        <v>0.1155999412317625</v>
      </c>
      <c r="AX164" s="1" t="n">
        <v>0.04853705201903767</v>
      </c>
      <c r="AY164" s="1" t="n">
        <v>-0.0203874669380822</v>
      </c>
      <c r="AZ164" s="1" t="n">
        <v>-0.02759419630632309</v>
      </c>
      <c r="BA164" s="1" t="n">
        <v>-0.01082470887694644</v>
      </c>
      <c r="BB164" s="1" t="n">
        <v>-0.00253027939770251</v>
      </c>
      <c r="BC164" s="1" t="n">
        <v>0.002023514851482151</v>
      </c>
      <c r="BD164" s="1" t="n">
        <v>0.2860384841038135</v>
      </c>
      <c r="BE164" s="1" t="n">
        <v>-0.0643100194397748</v>
      </c>
      <c r="BF164" s="1" t="n">
        <v>-0.01838902035279051</v>
      </c>
      <c r="BG164" s="1" t="n">
        <v>-0.00498425801983942</v>
      </c>
      <c r="BH164" s="1" t="n">
        <v>-0.04120835305477751</v>
      </c>
      <c r="BI164" s="1" t="n">
        <v>-0.1571468332366312</v>
      </c>
      <c r="BJ164" s="1" t="n">
        <v>-0.004804267463149109</v>
      </c>
      <c r="BK164" s="1" t="n">
        <v>-0.01594726958614692</v>
      </c>
      <c r="BL164" s="1" t="n">
        <v>-0.003786064187979133</v>
      </c>
      <c r="BM164" s="1" t="n">
        <v>0.0156232251034639</v>
      </c>
      <c r="BN164" s="1" t="n">
        <v>-0.01381372646361697</v>
      </c>
      <c r="BO164" s="544" t="n">
        <v>-0.002545076088209303</v>
      </c>
      <c r="BP164" s="23" t="n"/>
      <c r="BQ164" s="705" t="n"/>
      <c r="BR164" s="487" t="n"/>
      <c r="BS164" s="487" t="n"/>
      <c r="BT164" s="487" t="n"/>
    </row>
    <row r="165">
      <c r="A165" t="n">
        <v>11</v>
      </c>
      <c r="B165" s="701" t="n">
        <v>0</v>
      </c>
      <c r="C165" s="702" t="n">
        <v>0</v>
      </c>
      <c r="D165" s="702" t="n">
        <v>0</v>
      </c>
      <c r="E165" s="702" t="n">
        <v>0</v>
      </c>
      <c r="F165" s="702" t="n">
        <v>0</v>
      </c>
      <c r="G165" s="702" t="n">
        <v>0</v>
      </c>
      <c r="H165" s="702" t="n">
        <v>0</v>
      </c>
      <c r="I165" s="702" t="n">
        <v>0</v>
      </c>
      <c r="J165" s="702" t="n">
        <v>0</v>
      </c>
      <c r="K165" s="702" t="n">
        <v>0</v>
      </c>
      <c r="L165" s="702" t="n">
        <v>1</v>
      </c>
      <c r="M165" s="702" t="n">
        <v>0</v>
      </c>
      <c r="N165" s="702" t="n">
        <v>0</v>
      </c>
      <c r="O165" s="702" t="n">
        <v>0</v>
      </c>
      <c r="P165" s="702" t="n">
        <v>0</v>
      </c>
      <c r="Q165" s="702" t="n">
        <v>0</v>
      </c>
      <c r="R165" s="702" t="n">
        <v>0</v>
      </c>
      <c r="S165" s="702" t="n">
        <v>0</v>
      </c>
      <c r="T165" s="702" t="n">
        <v>0</v>
      </c>
      <c r="U165" s="702" t="n">
        <v>0</v>
      </c>
      <c r="V165" s="702" t="n">
        <v>0</v>
      </c>
      <c r="W165" s="702" t="n">
        <v>0</v>
      </c>
      <c r="X165" s="702" t="n">
        <v>0</v>
      </c>
      <c r="Y165" s="702" t="n">
        <v>0</v>
      </c>
      <c r="Z165" s="702" t="n">
        <v>0</v>
      </c>
      <c r="AA165" s="702" t="n">
        <v>0</v>
      </c>
      <c r="AB165" s="702" t="n">
        <v>0</v>
      </c>
      <c r="AC165" s="702" t="n">
        <v>0</v>
      </c>
      <c r="AD165" s="702" t="n">
        <v>0</v>
      </c>
      <c r="AE165" s="702" t="n">
        <v>0</v>
      </c>
      <c r="AF165" s="702" t="n">
        <v>0</v>
      </c>
      <c r="AG165" s="703" t="n">
        <v>0</v>
      </c>
      <c r="AH165" s="704" t="n"/>
      <c r="AI165" s="23" t="n">
        <v>11</v>
      </c>
      <c r="AJ165" s="543" t="n">
        <v>0.2139351986037583</v>
      </c>
      <c r="AK165" s="1" t="n">
        <v>0.005487470994036698</v>
      </c>
      <c r="AL165" s="1" t="n">
        <v>0.02543287522426307</v>
      </c>
      <c r="AM165" s="1" t="n">
        <v>-0.04894088027384605</v>
      </c>
      <c r="AN165" s="1" t="n">
        <v>-0.08670675533843888</v>
      </c>
      <c r="AO165" s="1" t="n">
        <v>0.1341420791419224</v>
      </c>
      <c r="AP165" s="1" t="n">
        <v>0.01307748436890179</v>
      </c>
      <c r="AQ165" s="1" t="n">
        <v>-0.04894078222764069</v>
      </c>
      <c r="AR165" s="1" t="n">
        <v>-0.03199067605764658</v>
      </c>
      <c r="AS165" s="1" t="n">
        <v>0.2494766455845848</v>
      </c>
      <c r="AT165" s="1" t="n">
        <v>0.4816629145964251</v>
      </c>
      <c r="AU165" s="1" t="n">
        <v>0.2139354004769019</v>
      </c>
      <c r="AV165" s="1" t="n">
        <v>-0.0742902360188048</v>
      </c>
      <c r="AW165" s="1" t="n">
        <v>-0.01771801170747692</v>
      </c>
      <c r="AX165" s="1" t="n">
        <v>-0.01952728897007339</v>
      </c>
      <c r="AY165" s="1" t="n">
        <v>0.008039847935152849</v>
      </c>
      <c r="AZ165" s="1" t="n">
        <v>0.003684414313008073</v>
      </c>
      <c r="BA165" s="1" t="n">
        <v>-0.03763639649263964</v>
      </c>
      <c r="BB165" s="1" t="n">
        <v>-0.06004464102056147</v>
      </c>
      <c r="BC165" s="1" t="n">
        <v>0.01392196184807679</v>
      </c>
      <c r="BD165" s="1" t="n">
        <v>-0.05143716502752309</v>
      </c>
      <c r="BE165" s="1" t="n">
        <v>0.0705945157142428</v>
      </c>
      <c r="BF165" s="1" t="n">
        <v>0.06639698162977054</v>
      </c>
      <c r="BG165" s="1" t="n">
        <v>0.09177640524216175</v>
      </c>
      <c r="BH165" s="1" t="n">
        <v>-0.01835953121865325</v>
      </c>
      <c r="BI165" s="1" t="n">
        <v>-0.1589712063399988</v>
      </c>
      <c r="BJ165" s="1" t="n">
        <v>0.03839510492470247</v>
      </c>
      <c r="BK165" s="1" t="n">
        <v>-0.00538171642970087</v>
      </c>
      <c r="BL165" s="1" t="n">
        <v>-0.01595335976699705</v>
      </c>
      <c r="BM165" s="1" t="n">
        <v>0.02718600500765819</v>
      </c>
      <c r="BN165" s="1" t="n">
        <v>-0.05239642727875324</v>
      </c>
      <c r="BO165" s="544" t="n">
        <v>0.02990896071622495</v>
      </c>
      <c r="BP165" s="23" t="n"/>
      <c r="BQ165" s="705" t="n"/>
      <c r="BR165" s="487" t="n"/>
      <c r="BS165" s="487" t="n"/>
      <c r="BT165" s="487" t="n"/>
    </row>
    <row r="166">
      <c r="A166" t="n">
        <v>12</v>
      </c>
      <c r="B166" s="701" t="n">
        <v>0</v>
      </c>
      <c r="C166" s="702" t="n">
        <v>0</v>
      </c>
      <c r="D166" s="702" t="n">
        <v>0</v>
      </c>
      <c r="E166" s="702" t="n">
        <v>0</v>
      </c>
      <c r="F166" s="702" t="n">
        <v>0</v>
      </c>
      <c r="G166" s="702" t="n">
        <v>0</v>
      </c>
      <c r="H166" s="702" t="n">
        <v>0</v>
      </c>
      <c r="I166" s="702" t="n">
        <v>0</v>
      </c>
      <c r="J166" s="702" t="n">
        <v>0</v>
      </c>
      <c r="K166" s="702" t="n">
        <v>0</v>
      </c>
      <c r="L166" s="702" t="n">
        <v>0</v>
      </c>
      <c r="M166" s="702" t="n">
        <v>1</v>
      </c>
      <c r="N166" s="702" t="n">
        <v>0</v>
      </c>
      <c r="O166" s="702" t="n">
        <v>0</v>
      </c>
      <c r="P166" s="702" t="n">
        <v>0</v>
      </c>
      <c r="Q166" s="702" t="n">
        <v>0</v>
      </c>
      <c r="R166" s="702" t="n">
        <v>0</v>
      </c>
      <c r="S166" s="702" t="n">
        <v>0</v>
      </c>
      <c r="T166" s="702" t="n">
        <v>0</v>
      </c>
      <c r="U166" s="702" t="n">
        <v>0</v>
      </c>
      <c r="V166" s="702" t="n">
        <v>0</v>
      </c>
      <c r="W166" s="702" t="n">
        <v>0</v>
      </c>
      <c r="X166" s="702" t="n">
        <v>0</v>
      </c>
      <c r="Y166" s="702" t="n">
        <v>0</v>
      </c>
      <c r="Z166" s="702" t="n">
        <v>0</v>
      </c>
      <c r="AA166" s="702" t="n">
        <v>0</v>
      </c>
      <c r="AB166" s="702" t="n">
        <v>0</v>
      </c>
      <c r="AC166" s="702" t="n">
        <v>0</v>
      </c>
      <c r="AD166" s="702" t="n">
        <v>0</v>
      </c>
      <c r="AE166" s="702" t="n">
        <v>0</v>
      </c>
      <c r="AF166" s="702" t="n">
        <v>0</v>
      </c>
      <c r="AG166" s="703" t="n">
        <v>0</v>
      </c>
      <c r="AH166" s="704" t="n"/>
      <c r="AI166" s="23" t="n">
        <v>12</v>
      </c>
      <c r="AJ166" s="543" t="n">
        <v>0.2682017639604348</v>
      </c>
      <c r="AK166" s="1" t="n">
        <v>-0.004233488184060864</v>
      </c>
      <c r="AL166" s="1" t="n">
        <v>-0.02457568899329071</v>
      </c>
      <c r="AM166" s="1" t="n">
        <v>0.05777415503853284</v>
      </c>
      <c r="AN166" s="1" t="n">
        <v>0.06952334623628195</v>
      </c>
      <c r="AO166" s="1" t="n">
        <v>0.139185552366803</v>
      </c>
      <c r="AP166" s="1" t="n">
        <v>-0.04513486981658315</v>
      </c>
      <c r="AQ166" s="1" t="n">
        <v>0.0577740392960975</v>
      </c>
      <c r="AR166" s="1" t="n">
        <v>0.04585761551092579</v>
      </c>
      <c r="AS166" s="1" t="n">
        <v>0.09247800769648197</v>
      </c>
      <c r="AT166" s="1" t="n">
        <v>0.2139354004769019</v>
      </c>
      <c r="AU166" s="1" t="n">
        <v>0.2682020170404963</v>
      </c>
      <c r="AV166" s="1" t="n">
        <v>-0.03069162001420452</v>
      </c>
      <c r="AW166" s="1" t="n">
        <v>-0.0151461592376087</v>
      </c>
      <c r="AX166" s="1" t="n">
        <v>0.008584050581693127</v>
      </c>
      <c r="AY166" s="1" t="n">
        <v>0.008366940408020116</v>
      </c>
      <c r="AZ166" s="1" t="n">
        <v>0.009750321593719016</v>
      </c>
      <c r="BA166" s="1" t="n">
        <v>0.02782183750643375</v>
      </c>
      <c r="BB166" s="1" t="n">
        <v>0.04564594650574685</v>
      </c>
      <c r="BC166" s="1" t="n">
        <v>-0.003560201693754334</v>
      </c>
      <c r="BD166" s="1" t="n">
        <v>-0.05096719767876999</v>
      </c>
      <c r="BE166" s="1" t="n">
        <v>-0.01213803132965427</v>
      </c>
      <c r="BF166" s="1" t="n">
        <v>-0.03062654248306165</v>
      </c>
      <c r="BG166" s="1" t="n">
        <v>-0.06804149762647065</v>
      </c>
      <c r="BH166" s="1" t="n">
        <v>0.06589844662273034</v>
      </c>
      <c r="BI166" s="1" t="n">
        <v>0.09587482249522619</v>
      </c>
      <c r="BJ166" s="1" t="n">
        <v>-0.05907140034574342</v>
      </c>
      <c r="BK166" s="1" t="n">
        <v>0.002928766162003708</v>
      </c>
      <c r="BL166" s="1" t="n">
        <v>0.01325415747711916</v>
      </c>
      <c r="BM166" s="1" t="n">
        <v>-0.03815352658992857</v>
      </c>
      <c r="BN166" s="1" t="n">
        <v>0.04887378102106633</v>
      </c>
      <c r="BO166" s="544" t="n">
        <v>-0.026973200117812</v>
      </c>
      <c r="BP166" s="23" t="n"/>
      <c r="BQ166" s="705" t="n"/>
      <c r="BR166" s="487" t="n"/>
      <c r="BS166" s="487" t="n"/>
      <c r="BT166" s="487" t="n"/>
    </row>
    <row r="167">
      <c r="A167" t="n">
        <v>13</v>
      </c>
      <c r="B167" s="701" t="n">
        <v>0</v>
      </c>
      <c r="C167" s="702" t="n">
        <v>0</v>
      </c>
      <c r="D167" s="702" t="n">
        <v>0</v>
      </c>
      <c r="E167" s="702" t="n">
        <v>0</v>
      </c>
      <c r="F167" s="702" t="n">
        <v>0</v>
      </c>
      <c r="G167" s="702" t="n">
        <v>0</v>
      </c>
      <c r="H167" s="702" t="n">
        <v>0</v>
      </c>
      <c r="I167" s="702" t="n">
        <v>0</v>
      </c>
      <c r="J167" s="702" t="n">
        <v>0</v>
      </c>
      <c r="K167" s="702" t="n">
        <v>0</v>
      </c>
      <c r="L167" s="702" t="n">
        <v>0</v>
      </c>
      <c r="M167" s="702" t="n">
        <v>0</v>
      </c>
      <c r="N167" s="702" t="n">
        <v>1</v>
      </c>
      <c r="O167" s="702" t="n">
        <v>0</v>
      </c>
      <c r="P167" s="702" t="n">
        <v>0</v>
      </c>
      <c r="Q167" s="702" t="n">
        <v>0</v>
      </c>
      <c r="R167" s="702" t="n">
        <v>0</v>
      </c>
      <c r="S167" s="702" t="n">
        <v>0</v>
      </c>
      <c r="T167" s="702" t="n">
        <v>0</v>
      </c>
      <c r="U167" s="702" t="n">
        <v>0</v>
      </c>
      <c r="V167" s="702" t="n">
        <v>0</v>
      </c>
      <c r="W167" s="702" t="n">
        <v>0</v>
      </c>
      <c r="X167" s="702" t="n">
        <v>0</v>
      </c>
      <c r="Y167" s="702" t="n">
        <v>0</v>
      </c>
      <c r="Z167" s="702" t="n">
        <v>0</v>
      </c>
      <c r="AA167" s="702" t="n">
        <v>0</v>
      </c>
      <c r="AB167" s="702" t="n">
        <v>0</v>
      </c>
      <c r="AC167" s="702" t="n">
        <v>0</v>
      </c>
      <c r="AD167" s="702" t="n">
        <v>0</v>
      </c>
      <c r="AE167" s="702" t="n">
        <v>0</v>
      </c>
      <c r="AF167" s="702" t="n">
        <v>0</v>
      </c>
      <c r="AG167" s="703" t="n">
        <v>0</v>
      </c>
      <c r="AH167" s="704" t="n"/>
      <c r="AI167" s="23" t="n">
        <v>13</v>
      </c>
      <c r="AJ167" s="543" t="n">
        <v>-0.03069159105306121</v>
      </c>
      <c r="AK167" s="1" t="n">
        <v>0.01409598140508853</v>
      </c>
      <c r="AL167" s="1" t="n">
        <v>-0.0004645280769878836</v>
      </c>
      <c r="AM167" s="1" t="n">
        <v>0.05352038462260494</v>
      </c>
      <c r="AN167" s="1" t="n">
        <v>0.02535121148557194</v>
      </c>
      <c r="AO167" s="1" t="n">
        <v>0.1269323521644195</v>
      </c>
      <c r="AP167" s="1" t="n">
        <v>0.236968373703632</v>
      </c>
      <c r="AQ167" s="1" t="n">
        <v>0.05352027740200348</v>
      </c>
      <c r="AR167" s="1" t="n">
        <v>0.01498568396165488</v>
      </c>
      <c r="AS167" s="1" t="n">
        <v>0.0998504151492754</v>
      </c>
      <c r="AT167" s="1" t="n">
        <v>-0.07429023601880468</v>
      </c>
      <c r="AU167" s="1" t="n">
        <v>-0.03069162001420454</v>
      </c>
      <c r="AV167" s="1" t="n">
        <v>0.4432534189188592</v>
      </c>
      <c r="AW167" s="1" t="n">
        <v>0.2731597589923365</v>
      </c>
      <c r="AX167" s="1" t="n">
        <v>0.1340340518869919</v>
      </c>
      <c r="AY167" s="1" t="n">
        <v>-0.02879010220767068</v>
      </c>
      <c r="AZ167" s="1" t="n">
        <v>-0.01254955105520668</v>
      </c>
      <c r="BA167" s="1" t="n">
        <v>-0.0283940767921964</v>
      </c>
      <c r="BB167" s="1" t="n">
        <v>-0.0004032975762047336</v>
      </c>
      <c r="BC167" s="1" t="n">
        <v>-0.0264213115318169</v>
      </c>
      <c r="BD167" s="1" t="n">
        <v>0.09113728435970905</v>
      </c>
      <c r="BE167" s="1" t="n">
        <v>-0.08762828794873753</v>
      </c>
      <c r="BF167" s="1" t="n">
        <v>-0.02731756299982885</v>
      </c>
      <c r="BG167" s="1" t="n">
        <v>0.01331065505034201</v>
      </c>
      <c r="BH167" s="1" t="n">
        <v>-0.08301089044977644</v>
      </c>
      <c r="BI167" s="1" t="n">
        <v>0.0935088019882917</v>
      </c>
      <c r="BJ167" s="1" t="n">
        <v>0.1267049305793838</v>
      </c>
      <c r="BK167" s="1" t="n">
        <v>0.05722642702837631</v>
      </c>
      <c r="BL167" s="1" t="n">
        <v>-0.01779239553503881</v>
      </c>
      <c r="BM167" s="1" t="n">
        <v>0.01477194774928105</v>
      </c>
      <c r="BN167" s="1" t="n">
        <v>0.03541463818785438</v>
      </c>
      <c r="BO167" s="544" t="n">
        <v>-0.04016016146369515</v>
      </c>
      <c r="BP167" s="23" t="n"/>
      <c r="BQ167" s="705" t="n"/>
      <c r="BR167" s="487" t="n"/>
      <c r="BS167" s="487" t="n"/>
      <c r="BT167" s="487" t="n"/>
    </row>
    <row r="168">
      <c r="A168" t="n">
        <v>14</v>
      </c>
      <c r="B168" s="701" t="n">
        <v>0</v>
      </c>
      <c r="C168" s="702" t="n">
        <v>0</v>
      </c>
      <c r="D168" s="702" t="n">
        <v>0</v>
      </c>
      <c r="E168" s="702" t="n">
        <v>0</v>
      </c>
      <c r="F168" s="702" t="n">
        <v>0</v>
      </c>
      <c r="G168" s="702" t="n">
        <v>0</v>
      </c>
      <c r="H168" s="702" t="n">
        <v>0</v>
      </c>
      <c r="I168" s="702" t="n">
        <v>0</v>
      </c>
      <c r="J168" s="702" t="n">
        <v>0</v>
      </c>
      <c r="K168" s="702" t="n">
        <v>0</v>
      </c>
      <c r="L168" s="702" t="n">
        <v>0</v>
      </c>
      <c r="M168" s="702" t="n">
        <v>0</v>
      </c>
      <c r="N168" s="702" t="n">
        <v>0</v>
      </c>
      <c r="O168" s="702" t="n">
        <v>1</v>
      </c>
      <c r="P168" s="702" t="n">
        <v>0</v>
      </c>
      <c r="Q168" s="702" t="n">
        <v>0</v>
      </c>
      <c r="R168" s="702" t="n">
        <v>0</v>
      </c>
      <c r="S168" s="702" t="n">
        <v>0</v>
      </c>
      <c r="T168" s="702" t="n">
        <v>0</v>
      </c>
      <c r="U168" s="702" t="n">
        <v>0</v>
      </c>
      <c r="V168" s="702" t="n">
        <v>0</v>
      </c>
      <c r="W168" s="702" t="n">
        <v>0</v>
      </c>
      <c r="X168" s="702" t="n">
        <v>0</v>
      </c>
      <c r="Y168" s="702" t="n">
        <v>0</v>
      </c>
      <c r="Z168" s="702" t="n">
        <v>0</v>
      </c>
      <c r="AA168" s="702" t="n">
        <v>0</v>
      </c>
      <c r="AB168" s="702" t="n">
        <v>0</v>
      </c>
      <c r="AC168" s="702" t="n">
        <v>0</v>
      </c>
      <c r="AD168" s="702" t="n">
        <v>0</v>
      </c>
      <c r="AE168" s="702" t="n">
        <v>0</v>
      </c>
      <c r="AF168" s="702" t="n">
        <v>0</v>
      </c>
      <c r="AG168" s="703" t="n">
        <v>0</v>
      </c>
      <c r="AH168" s="704" t="n"/>
      <c r="AI168" s="23" t="n">
        <v>14</v>
      </c>
      <c r="AJ168" s="543" t="n">
        <v>-0.01514614494543084</v>
      </c>
      <c r="AK168" s="1" t="n">
        <v>-0.01982617550785669</v>
      </c>
      <c r="AL168" s="1" t="n">
        <v>-0.003510649140802936</v>
      </c>
      <c r="AM168" s="1" t="n">
        <v>-0.01998496947387042</v>
      </c>
      <c r="AN168" s="1" t="n">
        <v>-0.04247349388827432</v>
      </c>
      <c r="AO168" s="1" t="n">
        <v>-0.06131674947191285</v>
      </c>
      <c r="AP168" s="1" t="n">
        <v>-0.1187855786454275</v>
      </c>
      <c r="AQ168" s="1" t="n">
        <v>-0.01998492943678059</v>
      </c>
      <c r="AR168" s="1" t="n">
        <v>-0.003769014410148389</v>
      </c>
      <c r="AS168" s="1" t="n">
        <v>0.1155999412317623</v>
      </c>
      <c r="AT168" s="1" t="n">
        <v>-0.01771801170747699</v>
      </c>
      <c r="AU168" s="1" t="n">
        <v>-0.01514615923760865</v>
      </c>
      <c r="AV168" s="1" t="n">
        <v>0.2731597589923364</v>
      </c>
      <c r="AW168" s="1" t="n">
        <v>0.5663152846893255</v>
      </c>
      <c r="AX168" s="1" t="n">
        <v>0.2905906719442367</v>
      </c>
      <c r="AY168" s="1" t="n">
        <v>-0.01590599732379982</v>
      </c>
      <c r="AZ168" s="1" t="n">
        <v>-0.04295683231415231</v>
      </c>
      <c r="BA168" s="1" t="n">
        <v>-0.09499301630632011</v>
      </c>
      <c r="BB168" s="1" t="n">
        <v>-0.03579506128178236</v>
      </c>
      <c r="BC168" s="1" t="n">
        <v>0.03239119616868814</v>
      </c>
      <c r="BD168" s="1" t="n">
        <v>-0.1156614215500506</v>
      </c>
      <c r="BE168" s="1" t="n">
        <v>-0.05511647202609016</v>
      </c>
      <c r="BF168" s="1" t="n">
        <v>0.05322007639087649</v>
      </c>
      <c r="BG168" s="1" t="n">
        <v>0.04289283619760294</v>
      </c>
      <c r="BH168" s="1" t="n">
        <v>0.07573538474841038</v>
      </c>
      <c r="BI168" s="1" t="n">
        <v>-0.001070403760748961</v>
      </c>
      <c r="BJ168" s="1" t="n">
        <v>-0.06663729985252018</v>
      </c>
      <c r="BK168" s="1" t="n">
        <v>-0.01554422473829415</v>
      </c>
      <c r="BL168" s="1" t="n">
        <v>-0.03343696626775939</v>
      </c>
      <c r="BM168" s="1" t="n">
        <v>-0.0233439659025904</v>
      </c>
      <c r="BN168" s="1" t="n">
        <v>0.01756903318158443</v>
      </c>
      <c r="BO168" s="544" t="n">
        <v>-0.06770564858931299</v>
      </c>
      <c r="BP168" s="23" t="n"/>
      <c r="BQ168" s="705" t="n"/>
      <c r="BR168" s="487" t="n"/>
      <c r="BS168" s="487" t="n"/>
      <c r="BT168" s="487" t="n"/>
    </row>
    <row r="169">
      <c r="A169" t="n">
        <v>15</v>
      </c>
      <c r="B169" s="701" t="n">
        <v>0</v>
      </c>
      <c r="C169" s="702" t="n">
        <v>0</v>
      </c>
      <c r="D169" s="702" t="n">
        <v>0</v>
      </c>
      <c r="E169" s="702" t="n">
        <v>0</v>
      </c>
      <c r="F169" s="702" t="n">
        <v>0</v>
      </c>
      <c r="G169" s="702" t="n">
        <v>0</v>
      </c>
      <c r="H169" s="702" t="n">
        <v>0</v>
      </c>
      <c r="I169" s="702" t="n">
        <v>0</v>
      </c>
      <c r="J169" s="702" t="n">
        <v>0</v>
      </c>
      <c r="K169" s="702" t="n">
        <v>0</v>
      </c>
      <c r="L169" s="702" t="n">
        <v>0</v>
      </c>
      <c r="M169" s="702" t="n">
        <v>0</v>
      </c>
      <c r="N169" s="702" t="n">
        <v>0</v>
      </c>
      <c r="O169" s="702" t="n">
        <v>0</v>
      </c>
      <c r="P169" s="702" t="n">
        <v>1</v>
      </c>
      <c r="Q169" s="702" t="n">
        <v>0</v>
      </c>
      <c r="R169" s="702" t="n">
        <v>0</v>
      </c>
      <c r="S169" s="702" t="n">
        <v>0</v>
      </c>
      <c r="T169" s="702" t="n">
        <v>0</v>
      </c>
      <c r="U169" s="702" t="n">
        <v>0</v>
      </c>
      <c r="V169" s="702" t="n">
        <v>0</v>
      </c>
      <c r="W169" s="702" t="n">
        <v>0</v>
      </c>
      <c r="X169" s="702" t="n">
        <v>0</v>
      </c>
      <c r="Y169" s="702" t="n">
        <v>0</v>
      </c>
      <c r="Z169" s="702" t="n">
        <v>0</v>
      </c>
      <c r="AA169" s="702" t="n">
        <v>0</v>
      </c>
      <c r="AB169" s="702" t="n">
        <v>0</v>
      </c>
      <c r="AC169" s="702" t="n">
        <v>0</v>
      </c>
      <c r="AD169" s="702" t="n">
        <v>0</v>
      </c>
      <c r="AE169" s="702" t="n">
        <v>0</v>
      </c>
      <c r="AF169" s="702" t="n">
        <v>0</v>
      </c>
      <c r="AG169" s="703" t="n">
        <v>0</v>
      </c>
      <c r="AH169" s="704" t="n"/>
      <c r="AI169" s="23" t="n">
        <v>15</v>
      </c>
      <c r="AJ169" s="543" t="n">
        <v>0.008584042481634666</v>
      </c>
      <c r="AK169" s="1" t="n">
        <v>0.01858441148654727</v>
      </c>
      <c r="AL169" s="1" t="n">
        <v>0.003131776947444336</v>
      </c>
      <c r="AM169" s="1" t="n">
        <v>-0.003968743173058456</v>
      </c>
      <c r="AN169" s="1" t="n">
        <v>0.04229270036195826</v>
      </c>
      <c r="AO169" s="1" t="n">
        <v>-0.04586269462568137</v>
      </c>
      <c r="AP169" s="1" t="n">
        <v>-0.05729726388495096</v>
      </c>
      <c r="AQ169" s="1" t="n">
        <v>-0.003968735222236856</v>
      </c>
      <c r="AR169" s="1" t="n">
        <v>0.007470073491341322</v>
      </c>
      <c r="AS169" s="1" t="n">
        <v>0.04853705201903753</v>
      </c>
      <c r="AT169" s="1" t="n">
        <v>-0.01952728897007344</v>
      </c>
      <c r="AU169" s="1" t="n">
        <v>0.008584050581693207</v>
      </c>
      <c r="AV169" s="1" t="n">
        <v>0.1340340518869921</v>
      </c>
      <c r="AW169" s="1" t="n">
        <v>0.2905906719442367</v>
      </c>
      <c r="AX169" s="1" t="n">
        <v>0.4115993973180738</v>
      </c>
      <c r="AY169" s="1" t="n">
        <v>0.06338685086312879</v>
      </c>
      <c r="AZ169" s="1" t="n">
        <v>0.08945895751375971</v>
      </c>
      <c r="BA169" s="1" t="n">
        <v>0.1737338358272418</v>
      </c>
      <c r="BB169" s="1" t="n">
        <v>0.05393611486041217</v>
      </c>
      <c r="BC169" s="1" t="n">
        <v>-0.02066744994302162</v>
      </c>
      <c r="BD169" s="1" t="n">
        <v>-0.06752822741202821</v>
      </c>
      <c r="BE169" s="1" t="n">
        <v>0.203831673700492</v>
      </c>
      <c r="BF169" s="1" t="n">
        <v>-0.04007315193529279</v>
      </c>
      <c r="BG169" s="1" t="n">
        <v>-0.07408893127021693</v>
      </c>
      <c r="BH169" s="1" t="n">
        <v>-0.003456667753064295</v>
      </c>
      <c r="BI169" s="1" t="n">
        <v>-0.0186846953298897</v>
      </c>
      <c r="BJ169" s="1" t="n">
        <v>-0.03281542044394256</v>
      </c>
      <c r="BK169" s="1" t="n">
        <v>-0.02927304893432862</v>
      </c>
      <c r="BL169" s="1" t="n">
        <v>0.06929497112414769</v>
      </c>
      <c r="BM169" s="1" t="n">
        <v>0.0109320955913615</v>
      </c>
      <c r="BN169" s="1" t="n">
        <v>-0.05586893460949161</v>
      </c>
      <c r="BO169" s="544" t="n">
        <v>0.1421084268527537</v>
      </c>
      <c r="BP169" s="23" t="n"/>
      <c r="BQ169" s="705" t="n"/>
      <c r="BR169" s="487" t="n"/>
      <c r="BS169" s="487" t="n"/>
      <c r="BT169" s="487" t="n"/>
    </row>
    <row r="170">
      <c r="A170" t="n">
        <v>16</v>
      </c>
      <c r="B170" s="701" t="n">
        <v>0</v>
      </c>
      <c r="C170" s="702" t="n">
        <v>0</v>
      </c>
      <c r="D170" s="702" t="n">
        <v>0</v>
      </c>
      <c r="E170" s="702" t="n">
        <v>0</v>
      </c>
      <c r="F170" s="702" t="n">
        <v>0</v>
      </c>
      <c r="G170" s="702" t="n">
        <v>0</v>
      </c>
      <c r="H170" s="702" t="n">
        <v>0</v>
      </c>
      <c r="I170" s="702" t="n">
        <v>0</v>
      </c>
      <c r="J170" s="702" t="n">
        <v>0</v>
      </c>
      <c r="K170" s="702" t="n">
        <v>0</v>
      </c>
      <c r="L170" s="702" t="n">
        <v>0</v>
      </c>
      <c r="M170" s="702" t="n">
        <v>0</v>
      </c>
      <c r="N170" s="702" t="n">
        <v>0</v>
      </c>
      <c r="O170" s="702" t="n">
        <v>0</v>
      </c>
      <c r="P170" s="702" t="n">
        <v>0</v>
      </c>
      <c r="Q170" s="702" t="n">
        <v>1</v>
      </c>
      <c r="R170" s="702" t="n">
        <v>0</v>
      </c>
      <c r="S170" s="702" t="n">
        <v>0</v>
      </c>
      <c r="T170" s="702" t="n">
        <v>0</v>
      </c>
      <c r="U170" s="702" t="n">
        <v>0</v>
      </c>
      <c r="V170" s="702" t="n">
        <v>0</v>
      </c>
      <c r="W170" s="702" t="n">
        <v>0</v>
      </c>
      <c r="X170" s="702" t="n">
        <v>0</v>
      </c>
      <c r="Y170" s="702" t="n">
        <v>0</v>
      </c>
      <c r="Z170" s="702" t="n">
        <v>0</v>
      </c>
      <c r="AA170" s="702" t="n">
        <v>0</v>
      </c>
      <c r="AB170" s="702" t="n">
        <v>0</v>
      </c>
      <c r="AC170" s="702" t="n">
        <v>0</v>
      </c>
      <c r="AD170" s="702" t="n">
        <v>0</v>
      </c>
      <c r="AE170" s="702" t="n">
        <v>0</v>
      </c>
      <c r="AF170" s="702" t="n">
        <v>0</v>
      </c>
      <c r="AG170" s="703" t="n">
        <v>0</v>
      </c>
      <c r="AH170" s="704" t="n"/>
      <c r="AI170" s="23" t="n">
        <v>16</v>
      </c>
      <c r="AJ170" s="543" t="n">
        <v>0.008366932512830489</v>
      </c>
      <c r="AK170" s="1" t="n">
        <v>-0.003837056241899384</v>
      </c>
      <c r="AL170" s="1" t="n">
        <v>-0.005925683265346884</v>
      </c>
      <c r="AM170" s="1" t="n">
        <v>-0.001465632111719311</v>
      </c>
      <c r="AN170" s="1" t="n">
        <v>0.05234695305005962</v>
      </c>
      <c r="AO170" s="1" t="n">
        <v>-0.01716376145306638</v>
      </c>
      <c r="AP170" s="1" t="n">
        <v>0.0116113730917864</v>
      </c>
      <c r="AQ170" s="1" t="n">
        <v>-0.001465629175530447</v>
      </c>
      <c r="AR170" s="1" t="n">
        <v>-0.01355631196258183</v>
      </c>
      <c r="AS170" s="1" t="n">
        <v>-0.02038746693808231</v>
      </c>
      <c r="AT170" s="1" t="n">
        <v>0.00803984793515293</v>
      </c>
      <c r="AU170" s="1" t="n">
        <v>0.008366940408020128</v>
      </c>
      <c r="AV170" s="1" t="n">
        <v>-0.02879010220767081</v>
      </c>
      <c r="AW170" s="1" t="n">
        <v>-0.01590599732379963</v>
      </c>
      <c r="AX170" s="1" t="n">
        <v>0.06338685086312891</v>
      </c>
      <c r="AY170" s="1" t="n">
        <v>0.3464034473779907</v>
      </c>
      <c r="AZ170" s="1" t="n">
        <v>0.221384468774407</v>
      </c>
      <c r="BA170" s="1" t="n">
        <v>0.1212732773161303</v>
      </c>
      <c r="BB170" s="1" t="n">
        <v>0.05885822557545135</v>
      </c>
      <c r="BC170" s="1" t="n">
        <v>-0.04390850887548932</v>
      </c>
      <c r="BD170" s="1" t="n">
        <v>-0.03501507130638296</v>
      </c>
      <c r="BE170" s="1" t="n">
        <v>-0.0776998871817302</v>
      </c>
      <c r="BF170" s="1" t="n">
        <v>0.3234943389455389</v>
      </c>
      <c r="BG170" s="1" t="n">
        <v>-0.1178159900777391</v>
      </c>
      <c r="BH170" s="1" t="n">
        <v>-0.05046742861932423</v>
      </c>
      <c r="BI170" s="1" t="n">
        <v>-0.04249596176036233</v>
      </c>
      <c r="BJ170" s="1" t="n">
        <v>0.02846735973433361</v>
      </c>
      <c r="BK170" s="1" t="n">
        <v>-0.03455265326717114</v>
      </c>
      <c r="BL170" s="1" t="n">
        <v>0.06069251331754108</v>
      </c>
      <c r="BM170" s="1" t="n">
        <v>0.04077265814975147</v>
      </c>
      <c r="BN170" s="1" t="n">
        <v>-0.048315073261568</v>
      </c>
      <c r="BO170" s="544" t="n">
        <v>-0.09132340710983852</v>
      </c>
      <c r="BP170" s="23" t="n"/>
      <c r="BQ170" s="705" t="n"/>
      <c r="BR170" s="487" t="n"/>
      <c r="BS170" s="487" t="n"/>
      <c r="BT170" s="487" t="n"/>
    </row>
    <row r="171">
      <c r="A171" t="n">
        <v>17</v>
      </c>
      <c r="B171" s="701" t="n">
        <v>0</v>
      </c>
      <c r="C171" s="702" t="n">
        <v>0</v>
      </c>
      <c r="D171" s="702" t="n">
        <v>0</v>
      </c>
      <c r="E171" s="702" t="n">
        <v>0</v>
      </c>
      <c r="F171" s="702" t="n">
        <v>0</v>
      </c>
      <c r="G171" s="702" t="n">
        <v>0</v>
      </c>
      <c r="H171" s="702" t="n">
        <v>0</v>
      </c>
      <c r="I171" s="702" t="n">
        <v>0</v>
      </c>
      <c r="J171" s="702" t="n">
        <v>0</v>
      </c>
      <c r="K171" s="702" t="n">
        <v>0</v>
      </c>
      <c r="L171" s="702" t="n">
        <v>0</v>
      </c>
      <c r="M171" s="702" t="n">
        <v>0</v>
      </c>
      <c r="N171" s="702" t="n">
        <v>0</v>
      </c>
      <c r="O171" s="702" t="n">
        <v>0</v>
      </c>
      <c r="P171" s="702" t="n">
        <v>0</v>
      </c>
      <c r="Q171" s="702" t="n">
        <v>0</v>
      </c>
      <c r="R171" s="702" t="n">
        <v>1</v>
      </c>
      <c r="S171" s="702" t="n">
        <v>0</v>
      </c>
      <c r="T171" s="702" t="n">
        <v>0</v>
      </c>
      <c r="U171" s="702" t="n">
        <v>0</v>
      </c>
      <c r="V171" s="702" t="n">
        <v>0</v>
      </c>
      <c r="W171" s="702" t="n">
        <v>0</v>
      </c>
      <c r="X171" s="702" t="n">
        <v>0</v>
      </c>
      <c r="Y171" s="702" t="n">
        <v>0</v>
      </c>
      <c r="Z171" s="702" t="n">
        <v>0</v>
      </c>
      <c r="AA171" s="702" t="n">
        <v>0</v>
      </c>
      <c r="AB171" s="702" t="n">
        <v>0</v>
      </c>
      <c r="AC171" s="702" t="n">
        <v>0</v>
      </c>
      <c r="AD171" s="702" t="n">
        <v>0</v>
      </c>
      <c r="AE171" s="702" t="n">
        <v>0</v>
      </c>
      <c r="AF171" s="702" t="n">
        <v>0</v>
      </c>
      <c r="AG171" s="703" t="n">
        <v>0</v>
      </c>
      <c r="AH171" s="704" t="n"/>
      <c r="AI171" s="23" t="n">
        <v>17</v>
      </c>
      <c r="AJ171" s="543" t="n">
        <v>0.009750312393146939</v>
      </c>
      <c r="AK171" s="1" t="n">
        <v>0.108952673352034</v>
      </c>
      <c r="AL171" s="1" t="n">
        <v>0.03084690565711994</v>
      </c>
      <c r="AM171" s="1" t="n">
        <v>0.004197644325163032</v>
      </c>
      <c r="AN171" s="1" t="n">
        <v>0.08484614508981467</v>
      </c>
      <c r="AO171" s="1" t="n">
        <v>-0.00304461682705854</v>
      </c>
      <c r="AP171" s="1" t="n">
        <v>0.05636606390860956</v>
      </c>
      <c r="AQ171" s="1" t="n">
        <v>0.004197635915769989</v>
      </c>
      <c r="AR171" s="1" t="n">
        <v>0.04853455877054016</v>
      </c>
      <c r="AS171" s="1" t="n">
        <v>-0.0275941963063231</v>
      </c>
      <c r="AT171" s="1" t="n">
        <v>0.003684414313008068</v>
      </c>
      <c r="AU171" s="1" t="n">
        <v>0.009750321593719021</v>
      </c>
      <c r="AV171" s="1" t="n">
        <v>-0.01254955105520668</v>
      </c>
      <c r="AW171" s="1" t="n">
        <v>-0.04295683231415228</v>
      </c>
      <c r="AX171" s="1" t="n">
        <v>0.08945895751375982</v>
      </c>
      <c r="AY171" s="1" t="n">
        <v>0.221384468774407</v>
      </c>
      <c r="AZ171" s="1" t="n">
        <v>0.2994467732399911</v>
      </c>
      <c r="BA171" s="1" t="n">
        <v>0.1748387877665421</v>
      </c>
      <c r="BB171" s="1" t="n">
        <v>0.06391366553025066</v>
      </c>
      <c r="BC171" s="1" t="n">
        <v>0.02859452078033481</v>
      </c>
      <c r="BD171" s="1" t="n">
        <v>-0.02703196302635892</v>
      </c>
      <c r="BE171" s="1" t="n">
        <v>-0.07702658986002545</v>
      </c>
      <c r="BF171" s="1" t="n">
        <v>0.1735173684681964</v>
      </c>
      <c r="BG171" s="1" t="n">
        <v>0.07370067709204418</v>
      </c>
      <c r="BH171" s="1" t="n">
        <v>-0.09484986918598888</v>
      </c>
      <c r="BI171" s="1" t="n">
        <v>-0.04830962348786739</v>
      </c>
      <c r="BJ171" s="1" t="n">
        <v>-0.07378965825232695</v>
      </c>
      <c r="BK171" s="1" t="n">
        <v>0.09158621463849898</v>
      </c>
      <c r="BL171" s="1" t="n">
        <v>0.03941540646330359</v>
      </c>
      <c r="BM171" s="1" t="n">
        <v>-0.07703071253622144</v>
      </c>
      <c r="BN171" s="1" t="n">
        <v>0.03038704814879137</v>
      </c>
      <c r="BO171" s="544" t="n">
        <v>0.1137941696104212</v>
      </c>
      <c r="BP171" s="23" t="n"/>
      <c r="BQ171" s="705" t="n"/>
      <c r="BR171" s="487" t="n"/>
      <c r="BS171" s="487" t="n"/>
      <c r="BT171" s="487" t="n"/>
    </row>
    <row r="172">
      <c r="A172" t="n">
        <v>18</v>
      </c>
      <c r="B172" s="701" t="n">
        <v>0</v>
      </c>
      <c r="C172" s="702" t="n">
        <v>0</v>
      </c>
      <c r="D172" s="702" t="n">
        <v>0</v>
      </c>
      <c r="E172" s="702" t="n">
        <v>0</v>
      </c>
      <c r="F172" s="702" t="n">
        <v>0</v>
      </c>
      <c r="G172" s="702" t="n">
        <v>0</v>
      </c>
      <c r="H172" s="702" t="n">
        <v>0</v>
      </c>
      <c r="I172" s="702" t="n">
        <v>0</v>
      </c>
      <c r="J172" s="702" t="n">
        <v>0</v>
      </c>
      <c r="K172" s="702" t="n">
        <v>0</v>
      </c>
      <c r="L172" s="702" t="n">
        <v>0</v>
      </c>
      <c r="M172" s="702" t="n">
        <v>0</v>
      </c>
      <c r="N172" s="702" t="n">
        <v>0</v>
      </c>
      <c r="O172" s="702" t="n">
        <v>0</v>
      </c>
      <c r="P172" s="702" t="n">
        <v>0</v>
      </c>
      <c r="Q172" s="702" t="n">
        <v>0</v>
      </c>
      <c r="R172" s="702" t="n">
        <v>0</v>
      </c>
      <c r="S172" s="702" t="n">
        <v>1</v>
      </c>
      <c r="T172" s="702" t="n">
        <v>0</v>
      </c>
      <c r="U172" s="702" t="n">
        <v>0</v>
      </c>
      <c r="V172" s="702" t="n">
        <v>0</v>
      </c>
      <c r="W172" s="702" t="n">
        <v>0</v>
      </c>
      <c r="X172" s="702" t="n">
        <v>0</v>
      </c>
      <c r="Y172" s="702" t="n">
        <v>0</v>
      </c>
      <c r="Z172" s="702" t="n">
        <v>0</v>
      </c>
      <c r="AA172" s="702" t="n">
        <v>0</v>
      </c>
      <c r="AB172" s="702" t="n">
        <v>0</v>
      </c>
      <c r="AC172" s="702" t="n">
        <v>0</v>
      </c>
      <c r="AD172" s="702" t="n">
        <v>0</v>
      </c>
      <c r="AE172" s="702" t="n">
        <v>0</v>
      </c>
      <c r="AF172" s="702" t="n">
        <v>0</v>
      </c>
      <c r="AG172" s="703" t="n">
        <v>0</v>
      </c>
      <c r="AH172" s="704" t="n"/>
      <c r="AI172" s="23" t="n">
        <v>18</v>
      </c>
      <c r="AJ172" s="543" t="n">
        <v>0.02782181125326678</v>
      </c>
      <c r="AK172" s="1" t="n">
        <v>0.04535066182825852</v>
      </c>
      <c r="AL172" s="1" t="n">
        <v>0.01237076956309818</v>
      </c>
      <c r="AM172" s="1" t="n">
        <v>0.02200033662296767</v>
      </c>
      <c r="AN172" s="1" t="n">
        <v>0.05426570177481099</v>
      </c>
      <c r="AO172" s="1" t="n">
        <v>0.008453467679187799</v>
      </c>
      <c r="AP172" s="1" t="n">
        <v>-0.002236830520098043</v>
      </c>
      <c r="AQ172" s="1" t="n">
        <v>0.02200029254837175</v>
      </c>
      <c r="AR172" s="1" t="n">
        <v>0.03051075086446347</v>
      </c>
      <c r="AS172" s="1" t="n">
        <v>-0.01082470887694639</v>
      </c>
      <c r="AT172" s="1" t="n">
        <v>-0.03763639649263952</v>
      </c>
      <c r="AU172" s="1" t="n">
        <v>0.02782183750643379</v>
      </c>
      <c r="AV172" s="1" t="n">
        <v>-0.02839407679219632</v>
      </c>
      <c r="AW172" s="1" t="n">
        <v>-0.09499301630632022</v>
      </c>
      <c r="AX172" s="1" t="n">
        <v>0.1737338358272417</v>
      </c>
      <c r="AY172" s="1" t="n">
        <v>0.1212732773161304</v>
      </c>
      <c r="AZ172" s="1" t="n">
        <v>0.174838787766542</v>
      </c>
      <c r="BA172" s="1" t="n">
        <v>0.2871531494398327</v>
      </c>
      <c r="BB172" s="1" t="n">
        <v>0.0702844403879498</v>
      </c>
      <c r="BC172" s="1" t="n">
        <v>-0.03900577746272685</v>
      </c>
      <c r="BD172" s="1" t="n">
        <v>0.07707635473533497</v>
      </c>
      <c r="BE172" s="1" t="n">
        <v>0.002747577682160654</v>
      </c>
      <c r="BF172" s="1" t="n">
        <v>-0.03538571695619282</v>
      </c>
      <c r="BG172" s="1" t="n">
        <v>-0.08265939564735429</v>
      </c>
      <c r="BH172" s="1" t="n">
        <v>-0.005962368012945855</v>
      </c>
      <c r="BI172" s="1" t="n">
        <v>0.04418354819899732</v>
      </c>
      <c r="BJ172" s="1" t="n">
        <v>-0.001918295736562158</v>
      </c>
      <c r="BK172" s="1" t="n">
        <v>-0.02536236551905521</v>
      </c>
      <c r="BL172" s="1" t="n">
        <v>0.1119280733352027</v>
      </c>
      <c r="BM172" s="1" t="n">
        <v>0.02298833829254934</v>
      </c>
      <c r="BN172" s="1" t="n">
        <v>-0.09943967232344997</v>
      </c>
      <c r="BO172" s="544" t="n">
        <v>0.2512404034222373</v>
      </c>
      <c r="BP172" s="23" t="n"/>
      <c r="BQ172" s="705" t="n"/>
      <c r="BR172" s="487" t="n"/>
      <c r="BS172" s="487" t="n"/>
      <c r="BT172" s="487" t="n"/>
    </row>
    <row r="173">
      <c r="A173" t="n">
        <v>19</v>
      </c>
      <c r="B173" s="701" t="n">
        <v>0</v>
      </c>
      <c r="C173" s="702" t="n">
        <v>0</v>
      </c>
      <c r="D173" s="702" t="n">
        <v>0</v>
      </c>
      <c r="E173" s="702" t="n">
        <v>0</v>
      </c>
      <c r="F173" s="702" t="n">
        <v>0</v>
      </c>
      <c r="G173" s="702" t="n">
        <v>0</v>
      </c>
      <c r="H173" s="702" t="n">
        <v>0</v>
      </c>
      <c r="I173" s="702" t="n">
        <v>0</v>
      </c>
      <c r="J173" s="702" t="n">
        <v>0</v>
      </c>
      <c r="K173" s="702" t="n">
        <v>0</v>
      </c>
      <c r="L173" s="702" t="n">
        <v>0</v>
      </c>
      <c r="M173" s="702" t="n">
        <v>0</v>
      </c>
      <c r="N173" s="702" t="n">
        <v>0</v>
      </c>
      <c r="O173" s="702" t="n">
        <v>0</v>
      </c>
      <c r="P173" s="702" t="n">
        <v>0</v>
      </c>
      <c r="Q173" s="702" t="n">
        <v>0</v>
      </c>
      <c r="R173" s="702" t="n">
        <v>0</v>
      </c>
      <c r="S173" s="702" t="n">
        <v>0</v>
      </c>
      <c r="T173" s="702" t="n">
        <v>1</v>
      </c>
      <c r="U173" s="702" t="n">
        <v>0</v>
      </c>
      <c r="V173" s="702" t="n">
        <v>0</v>
      </c>
      <c r="W173" s="702" t="n">
        <v>0</v>
      </c>
      <c r="X173" s="702" t="n">
        <v>0</v>
      </c>
      <c r="Y173" s="702" t="n">
        <v>0</v>
      </c>
      <c r="Z173" s="702" t="n">
        <v>0</v>
      </c>
      <c r="AA173" s="702" t="n">
        <v>0</v>
      </c>
      <c r="AB173" s="702" t="n">
        <v>0</v>
      </c>
      <c r="AC173" s="702" t="n">
        <v>0</v>
      </c>
      <c r="AD173" s="702" t="n">
        <v>0</v>
      </c>
      <c r="AE173" s="702" t="n">
        <v>0</v>
      </c>
      <c r="AF173" s="702" t="n">
        <v>0</v>
      </c>
      <c r="AG173" s="703" t="n">
        <v>0</v>
      </c>
      <c r="AH173" s="704" t="n"/>
      <c r="AI173" s="23" t="n">
        <v>19</v>
      </c>
      <c r="AJ173" s="543" t="n">
        <v>0.04564590343344233</v>
      </c>
      <c r="AK173" s="1" t="n">
        <v>0.05917312953627956</v>
      </c>
      <c r="AL173" s="1" t="n">
        <v>0.1758077461635875</v>
      </c>
      <c r="AM173" s="1" t="n">
        <v>0.01220493019344804</v>
      </c>
      <c r="AN173" s="1" t="n">
        <v>0.1303474173559649</v>
      </c>
      <c r="AO173" s="1" t="n">
        <v>-0.008949590647520191</v>
      </c>
      <c r="AP173" s="1" t="n">
        <v>-0.02375312073380027</v>
      </c>
      <c r="AQ173" s="1" t="n">
        <v>0.01220490574257822</v>
      </c>
      <c r="AR173" s="1" t="n">
        <v>0.1612015325117618</v>
      </c>
      <c r="AS173" s="1" t="n">
        <v>-0.002530279397702308</v>
      </c>
      <c r="AT173" s="1" t="n">
        <v>-0.0600446410205614</v>
      </c>
      <c r="AU173" s="1" t="n">
        <v>0.04564594650574683</v>
      </c>
      <c r="AV173" s="1" t="n">
        <v>-0.0004032975762048056</v>
      </c>
      <c r="AW173" s="1" t="n">
        <v>-0.03579506128178224</v>
      </c>
      <c r="AX173" s="1" t="n">
        <v>0.05393611486041229</v>
      </c>
      <c r="AY173" s="1" t="n">
        <v>0.05885822557545129</v>
      </c>
      <c r="AZ173" s="1" t="n">
        <v>0.06391366553025064</v>
      </c>
      <c r="BA173" s="1" t="n">
        <v>0.07028444038794979</v>
      </c>
      <c r="BB173" s="1" t="n">
        <v>0.3024423569138968</v>
      </c>
      <c r="BC173" s="1" t="n">
        <v>0.224415939916369</v>
      </c>
      <c r="BD173" s="1" t="n">
        <v>0.07978449557363052</v>
      </c>
      <c r="BE173" s="1" t="n">
        <v>0.06004763105333378</v>
      </c>
      <c r="BF173" s="1" t="n">
        <v>-0.04042429329945467</v>
      </c>
      <c r="BG173" s="1" t="n">
        <v>-0.08034070555508645</v>
      </c>
      <c r="BH173" s="1" t="n">
        <v>-0.06746954468359603</v>
      </c>
      <c r="BI173" s="1" t="n">
        <v>0.04840241691117293</v>
      </c>
      <c r="BJ173" s="1" t="n">
        <v>-0.008990078758796663</v>
      </c>
      <c r="BK173" s="1" t="n">
        <v>-0.1242174493960979</v>
      </c>
      <c r="BL173" s="1" t="n">
        <v>-0.06884697809149985</v>
      </c>
      <c r="BM173" s="1" t="n">
        <v>0.02693051580850904</v>
      </c>
      <c r="BN173" s="1" t="n">
        <v>0.01607943593204892</v>
      </c>
      <c r="BO173" s="544" t="n">
        <v>-0.1078517158796179</v>
      </c>
      <c r="BP173" s="23" t="n"/>
      <c r="BQ173" s="705" t="n"/>
      <c r="BR173" s="487" t="n"/>
      <c r="BS173" s="487" t="n"/>
      <c r="BT173" s="487" t="n"/>
    </row>
    <row r="174">
      <c r="A174" t="n">
        <v>20</v>
      </c>
      <c r="B174" s="701" t="n">
        <v>0</v>
      </c>
      <c r="C174" s="702" t="n">
        <v>0</v>
      </c>
      <c r="D174" s="702" t="n">
        <v>0</v>
      </c>
      <c r="E174" s="702" t="n">
        <v>0</v>
      </c>
      <c r="F174" s="702" t="n">
        <v>0</v>
      </c>
      <c r="G174" s="702" t="n">
        <v>0</v>
      </c>
      <c r="H174" s="702" t="n">
        <v>0</v>
      </c>
      <c r="I174" s="702" t="n">
        <v>0</v>
      </c>
      <c r="J174" s="702" t="n">
        <v>0</v>
      </c>
      <c r="K174" s="702" t="n">
        <v>0</v>
      </c>
      <c r="L174" s="702" t="n">
        <v>0</v>
      </c>
      <c r="M174" s="702" t="n">
        <v>0</v>
      </c>
      <c r="N174" s="702" t="n">
        <v>0</v>
      </c>
      <c r="O174" s="702" t="n">
        <v>0</v>
      </c>
      <c r="P174" s="702" t="n">
        <v>0</v>
      </c>
      <c r="Q174" s="702" t="n">
        <v>0</v>
      </c>
      <c r="R174" s="702" t="n">
        <v>0</v>
      </c>
      <c r="S174" s="702" t="n">
        <v>0</v>
      </c>
      <c r="T174" s="702" t="n">
        <v>0</v>
      </c>
      <c r="U174" s="702" t="n">
        <v>1</v>
      </c>
      <c r="V174" s="702" t="n">
        <v>0</v>
      </c>
      <c r="W174" s="702" t="n">
        <v>0</v>
      </c>
      <c r="X174" s="702" t="n">
        <v>0</v>
      </c>
      <c r="Y174" s="702" t="n">
        <v>0</v>
      </c>
      <c r="Z174" s="702" t="n">
        <v>0</v>
      </c>
      <c r="AA174" s="702" t="n">
        <v>0</v>
      </c>
      <c r="AB174" s="702" t="n">
        <v>0</v>
      </c>
      <c r="AC174" s="702" t="n">
        <v>0</v>
      </c>
      <c r="AD174" s="702" t="n">
        <v>0</v>
      </c>
      <c r="AE174" s="702" t="n">
        <v>0</v>
      </c>
      <c r="AF174" s="702" t="n">
        <v>0</v>
      </c>
      <c r="AG174" s="703" t="n">
        <v>0</v>
      </c>
      <c r="AH174" s="704" t="n"/>
      <c r="AI174" s="23" t="n">
        <v>20</v>
      </c>
      <c r="AJ174" s="543" t="n">
        <v>-0.003560198334286386</v>
      </c>
      <c r="AK174" s="1" t="n">
        <v>0.04185154404291293</v>
      </c>
      <c r="AL174" s="1" t="n">
        <v>0.1696859131928916</v>
      </c>
      <c r="AM174" s="1" t="n">
        <v>-0.03422086272355989</v>
      </c>
      <c r="AN174" s="1" t="n">
        <v>0.004448407965700993</v>
      </c>
      <c r="AO174" s="1" t="n">
        <v>-0.02130728587910697</v>
      </c>
      <c r="AP174" s="1" t="n">
        <v>-0.04450607831694944</v>
      </c>
      <c r="AQ174" s="1" t="n">
        <v>-0.03422079416684995</v>
      </c>
      <c r="AR174" s="1" t="n">
        <v>0.08273239658714879</v>
      </c>
      <c r="AS174" s="1" t="n">
        <v>0.002023514851482337</v>
      </c>
      <c r="AT174" s="1" t="n">
        <v>0.01392196184807688</v>
      </c>
      <c r="AU174" s="1" t="n">
        <v>-0.003560201693754286</v>
      </c>
      <c r="AV174" s="1" t="n">
        <v>-0.02642131153181706</v>
      </c>
      <c r="AW174" s="1" t="n">
        <v>0.03239119616868834</v>
      </c>
      <c r="AX174" s="1" t="n">
        <v>-0.02066744994302128</v>
      </c>
      <c r="AY174" s="1" t="n">
        <v>-0.04390850887548957</v>
      </c>
      <c r="AZ174" s="1" t="n">
        <v>0.02859452078033484</v>
      </c>
      <c r="BA174" s="1" t="n">
        <v>-0.03900577746272664</v>
      </c>
      <c r="BB174" s="1" t="n">
        <v>0.224415939916369</v>
      </c>
      <c r="BC174" s="1" t="n">
        <v>0.446461978778616</v>
      </c>
      <c r="BD174" s="1" t="n">
        <v>-0.03037567997088191</v>
      </c>
      <c r="BE174" s="1" t="n">
        <v>-0.0312857395094793</v>
      </c>
      <c r="BF174" s="1" t="n">
        <v>-0.007014669068348578</v>
      </c>
      <c r="BG174" s="1" t="n">
        <v>0.1121338410077919</v>
      </c>
      <c r="BH174" s="1" t="n">
        <v>-0.03005010928007692</v>
      </c>
      <c r="BI174" s="1" t="n">
        <v>-0.01340764317900517</v>
      </c>
      <c r="BJ174" s="1" t="n">
        <v>0.1162500247010712</v>
      </c>
      <c r="BK174" s="1" t="n">
        <v>-0.2303956436212686</v>
      </c>
      <c r="BL174" s="1" t="n">
        <v>-0.1233017854295557</v>
      </c>
      <c r="BM174" s="1" t="n">
        <v>-0.2120568970980383</v>
      </c>
      <c r="BN174" s="1" t="n">
        <v>0.06844466888352857</v>
      </c>
      <c r="BO174" s="544" t="n">
        <v>0.02933254648612179</v>
      </c>
      <c r="BP174" s="23" t="n"/>
      <c r="BQ174" s="705" t="n"/>
      <c r="BR174" s="487" t="n"/>
      <c r="BS174" s="487" t="n"/>
      <c r="BT174" s="487" t="n"/>
    </row>
    <row r="175">
      <c r="A175" t="n">
        <v>21</v>
      </c>
      <c r="B175" s="701" t="n">
        <v>0</v>
      </c>
      <c r="C175" s="702" t="n">
        <v>0</v>
      </c>
      <c r="D175" s="702" t="n">
        <v>0</v>
      </c>
      <c r="E175" s="702" t="n">
        <v>0</v>
      </c>
      <c r="F175" s="702" t="n">
        <v>0</v>
      </c>
      <c r="G175" s="702" t="n">
        <v>0</v>
      </c>
      <c r="H175" s="702" t="n">
        <v>0</v>
      </c>
      <c r="I175" s="702" t="n">
        <v>0</v>
      </c>
      <c r="J175" s="702" t="n">
        <v>0</v>
      </c>
      <c r="K175" s="702" t="n">
        <v>0</v>
      </c>
      <c r="L175" s="702" t="n">
        <v>0</v>
      </c>
      <c r="M175" s="702" t="n">
        <v>0</v>
      </c>
      <c r="N175" s="702" t="n">
        <v>0</v>
      </c>
      <c r="O175" s="702" t="n">
        <v>0</v>
      </c>
      <c r="P175" s="702" t="n">
        <v>0</v>
      </c>
      <c r="Q175" s="702" t="n">
        <v>0</v>
      </c>
      <c r="R175" s="702" t="n">
        <v>0</v>
      </c>
      <c r="S175" s="702" t="n">
        <v>0</v>
      </c>
      <c r="T175" s="702" t="n">
        <v>0</v>
      </c>
      <c r="U175" s="702" t="n">
        <v>0</v>
      </c>
      <c r="V175" s="702" t="n">
        <v>1</v>
      </c>
      <c r="W175" s="702" t="n">
        <v>0</v>
      </c>
      <c r="X175" s="702" t="n">
        <v>0</v>
      </c>
      <c r="Y175" s="702" t="n">
        <v>0</v>
      </c>
      <c r="Z175" s="702" t="n">
        <v>0</v>
      </c>
      <c r="AA175" s="702" t="n">
        <v>0</v>
      </c>
      <c r="AB175" s="702" t="n">
        <v>0</v>
      </c>
      <c r="AC175" s="702" t="n">
        <v>0</v>
      </c>
      <c r="AD175" s="702" t="n">
        <v>0</v>
      </c>
      <c r="AE175" s="702" t="n">
        <v>0</v>
      </c>
      <c r="AF175" s="702" t="n">
        <v>0</v>
      </c>
      <c r="AG175" s="703" t="n">
        <v>0</v>
      </c>
      <c r="AH175" s="704" t="n"/>
      <c r="AI175" s="23" t="n">
        <v>21</v>
      </c>
      <c r="AJ175" s="543" t="n">
        <v>-0.05096714958524068</v>
      </c>
      <c r="AK175" s="1" t="n">
        <v>-0.00958422251008248</v>
      </c>
      <c r="AL175" s="1" t="n">
        <v>-0.01560777072367286</v>
      </c>
      <c r="AM175" s="1" t="n">
        <v>-0.0187483583343554</v>
      </c>
      <c r="AN175" s="1" t="n">
        <v>0.09180776140412067</v>
      </c>
      <c r="AO175" s="1" t="n">
        <v>-0.09408548944118132</v>
      </c>
      <c r="AP175" s="1" t="n">
        <v>-0.003767301379240136</v>
      </c>
      <c r="AQ175" s="1" t="n">
        <v>-0.01874832077464293</v>
      </c>
      <c r="AR175" s="1" t="n">
        <v>-0.02760432529236529</v>
      </c>
      <c r="AS175" s="1" t="n">
        <v>0.2860384841038139</v>
      </c>
      <c r="AT175" s="1" t="n">
        <v>-0.05143716502752256</v>
      </c>
      <c r="AU175" s="1" t="n">
        <v>-0.05096719767876989</v>
      </c>
      <c r="AV175" s="1" t="n">
        <v>0.09113728435970864</v>
      </c>
      <c r="AW175" s="1" t="n">
        <v>-0.1156614215500507</v>
      </c>
      <c r="AX175" s="1" t="n">
        <v>-0.06752822741202785</v>
      </c>
      <c r="AY175" s="1" t="n">
        <v>-0.03501507130638263</v>
      </c>
      <c r="AZ175" s="1" t="n">
        <v>-0.02703196302635888</v>
      </c>
      <c r="BA175" s="1" t="n">
        <v>0.07707635473533507</v>
      </c>
      <c r="BB175" s="1" t="n">
        <v>0.07978449557363043</v>
      </c>
      <c r="BC175" s="1" t="n">
        <v>-0.03037567997088211</v>
      </c>
      <c r="BD175" s="1" t="n">
        <v>0.6298866667389316</v>
      </c>
      <c r="BE175" s="1" t="n">
        <v>-0.1548308000819419</v>
      </c>
      <c r="BF175" s="1" t="n">
        <v>-0.1339296935131807</v>
      </c>
      <c r="BG175" s="1" t="n">
        <v>-0.1305565697008588</v>
      </c>
      <c r="BH175" s="1" t="n">
        <v>-0.09914022786515306</v>
      </c>
      <c r="BI175" s="1" t="n">
        <v>-0.111429375577797</v>
      </c>
      <c r="BJ175" s="1" t="n">
        <v>-0.008801318492881511</v>
      </c>
      <c r="BK175" s="1" t="n">
        <v>-0.01331820021987724</v>
      </c>
      <c r="BL175" s="1" t="n">
        <v>0.03000471012522176</v>
      </c>
      <c r="BM175" s="1" t="n">
        <v>0.0132057868442596</v>
      </c>
      <c r="BN175" s="1" t="n">
        <v>0.01984113421164764</v>
      </c>
      <c r="BO175" s="544" t="n">
        <v>0.004722223728076246</v>
      </c>
      <c r="BP175" s="23" t="n"/>
      <c r="BQ175" s="705" t="n"/>
      <c r="BR175" s="487" t="n"/>
      <c r="BS175" s="487" t="n"/>
      <c r="BT175" s="487" t="n"/>
    </row>
    <row r="176">
      <c r="A176" t="n">
        <v>22</v>
      </c>
      <c r="B176" s="701" t="n">
        <v>0</v>
      </c>
      <c r="C176" s="702" t="n">
        <v>0</v>
      </c>
      <c r="D176" s="702" t="n">
        <v>0</v>
      </c>
      <c r="E176" s="702" t="n">
        <v>0</v>
      </c>
      <c r="F176" s="702" t="n">
        <v>0</v>
      </c>
      <c r="G176" s="702" t="n">
        <v>0</v>
      </c>
      <c r="H176" s="702" t="n">
        <v>0</v>
      </c>
      <c r="I176" s="702" t="n">
        <v>0</v>
      </c>
      <c r="J176" s="702" t="n">
        <v>0</v>
      </c>
      <c r="K176" s="702" t="n">
        <v>0</v>
      </c>
      <c r="L176" s="702" t="n">
        <v>0</v>
      </c>
      <c r="M176" s="702" t="n">
        <v>0</v>
      </c>
      <c r="N176" s="702" t="n">
        <v>0</v>
      </c>
      <c r="O176" s="702" t="n">
        <v>0</v>
      </c>
      <c r="P176" s="702" t="n">
        <v>0</v>
      </c>
      <c r="Q176" s="702" t="n">
        <v>0</v>
      </c>
      <c r="R176" s="702" t="n">
        <v>0</v>
      </c>
      <c r="S176" s="702" t="n">
        <v>0</v>
      </c>
      <c r="T176" s="702" t="n">
        <v>0</v>
      </c>
      <c r="U176" s="702" t="n">
        <v>0</v>
      </c>
      <c r="V176" s="702" t="n">
        <v>0</v>
      </c>
      <c r="W176" s="702" t="n">
        <v>1</v>
      </c>
      <c r="X176" s="702" t="n">
        <v>0</v>
      </c>
      <c r="Y176" s="702" t="n">
        <v>0</v>
      </c>
      <c r="Z176" s="702" t="n">
        <v>0</v>
      </c>
      <c r="AA176" s="702" t="n">
        <v>0</v>
      </c>
      <c r="AB176" s="702" t="n">
        <v>0</v>
      </c>
      <c r="AC176" s="702" t="n">
        <v>0</v>
      </c>
      <c r="AD176" s="702" t="n">
        <v>0</v>
      </c>
      <c r="AE176" s="702" t="n">
        <v>0</v>
      </c>
      <c r="AF176" s="702" t="n">
        <v>0</v>
      </c>
      <c r="AG176" s="703" t="n">
        <v>0</v>
      </c>
      <c r="AH176" s="704" t="n"/>
      <c r="AI176" s="23" t="n">
        <v>22</v>
      </c>
      <c r="AJ176" s="543" t="n">
        <v>-0.01213801987599792</v>
      </c>
      <c r="AK176" s="1" t="n">
        <v>-0.01604003709737202</v>
      </c>
      <c r="AL176" s="1" t="n">
        <v>-0.01398424104635086</v>
      </c>
      <c r="AM176" s="1" t="n">
        <v>-0.02524746127899623</v>
      </c>
      <c r="AN176" s="1" t="n">
        <v>0.0784494544619859</v>
      </c>
      <c r="AO176" s="1" t="n">
        <v>-0.03226954826776367</v>
      </c>
      <c r="AP176" s="1" t="n">
        <v>0.07689860150519923</v>
      </c>
      <c r="AQ176" s="1" t="n">
        <v>-0.02524741069924041</v>
      </c>
      <c r="AR176" s="1" t="n">
        <v>-0.04518358820132172</v>
      </c>
      <c r="AS176" s="1" t="n">
        <v>-0.06431001943977481</v>
      </c>
      <c r="AT176" s="1" t="n">
        <v>0.07059451571424286</v>
      </c>
      <c r="AU176" s="1" t="n">
        <v>-0.01213803132965425</v>
      </c>
      <c r="AV176" s="1" t="n">
        <v>-0.08762828794873707</v>
      </c>
      <c r="AW176" s="1" t="n">
        <v>-0.05511647202608969</v>
      </c>
      <c r="AX176" s="1" t="n">
        <v>0.2038316737004922</v>
      </c>
      <c r="AY176" s="1" t="n">
        <v>-0.07769988718173056</v>
      </c>
      <c r="AZ176" s="1" t="n">
        <v>-0.07702658986002539</v>
      </c>
      <c r="BA176" s="1" t="n">
        <v>0.002747577682160406</v>
      </c>
      <c r="BB176" s="1" t="n">
        <v>0.06004763105333356</v>
      </c>
      <c r="BC176" s="1" t="n">
        <v>-0.03128573950947944</v>
      </c>
      <c r="BD176" s="1" t="n">
        <v>-0.1548308000819428</v>
      </c>
      <c r="BE176" s="1" t="n">
        <v>0.7103032235755186</v>
      </c>
      <c r="BF176" s="1" t="n">
        <v>-0.1401282589207329</v>
      </c>
      <c r="BG176" s="1" t="n">
        <v>-0.1038672445807907</v>
      </c>
      <c r="BH176" s="1" t="n">
        <v>-0.1495565618439651</v>
      </c>
      <c r="BI176" s="1" t="n">
        <v>-0.1619203581480871</v>
      </c>
      <c r="BJ176" s="1" t="n">
        <v>0.04277484341563562</v>
      </c>
      <c r="BK176" s="1" t="n">
        <v>0.007069352763494584</v>
      </c>
      <c r="BL176" s="1" t="n">
        <v>-0.001548537864885128</v>
      </c>
      <c r="BM176" s="1" t="n">
        <v>0.02338047658937383</v>
      </c>
      <c r="BN176" s="1" t="n">
        <v>0.04295081034172542</v>
      </c>
      <c r="BO176" s="544" t="n">
        <v>-0.05829359216140494</v>
      </c>
      <c r="BP176" s="23" t="n"/>
      <c r="BQ176" s="705" t="n"/>
      <c r="BR176" s="487" t="n"/>
      <c r="BS176" s="487" t="n"/>
      <c r="BT176" s="487" t="n"/>
    </row>
    <row r="177">
      <c r="A177" t="n">
        <v>23</v>
      </c>
      <c r="B177" s="701" t="n">
        <v>0</v>
      </c>
      <c r="C177" s="702" t="n">
        <v>0</v>
      </c>
      <c r="D177" s="702" t="n">
        <v>0</v>
      </c>
      <c r="E177" s="702" t="n">
        <v>0</v>
      </c>
      <c r="F177" s="702" t="n">
        <v>0</v>
      </c>
      <c r="G177" s="702" t="n">
        <v>0</v>
      </c>
      <c r="H177" s="702" t="n">
        <v>0</v>
      </c>
      <c r="I177" s="702" t="n">
        <v>0</v>
      </c>
      <c r="J177" s="702" t="n">
        <v>0</v>
      </c>
      <c r="K177" s="702" t="n">
        <v>0</v>
      </c>
      <c r="L177" s="702" t="n">
        <v>0</v>
      </c>
      <c r="M177" s="702" t="n">
        <v>0</v>
      </c>
      <c r="N177" s="702" t="n">
        <v>0</v>
      </c>
      <c r="O177" s="702" t="n">
        <v>0</v>
      </c>
      <c r="P177" s="702" t="n">
        <v>0</v>
      </c>
      <c r="Q177" s="702" t="n">
        <v>0</v>
      </c>
      <c r="R177" s="702" t="n">
        <v>0</v>
      </c>
      <c r="S177" s="702" t="n">
        <v>0</v>
      </c>
      <c r="T177" s="702" t="n">
        <v>0</v>
      </c>
      <c r="U177" s="702" t="n">
        <v>0</v>
      </c>
      <c r="V177" s="702" t="n">
        <v>0</v>
      </c>
      <c r="W177" s="702" t="n">
        <v>0</v>
      </c>
      <c r="X177" s="702" t="n">
        <v>1</v>
      </c>
      <c r="Y177" s="702" t="n">
        <v>0</v>
      </c>
      <c r="Z177" s="702" t="n">
        <v>0</v>
      </c>
      <c r="AA177" s="702" t="n">
        <v>0</v>
      </c>
      <c r="AB177" s="702" t="n">
        <v>0</v>
      </c>
      <c r="AC177" s="702" t="n">
        <v>0</v>
      </c>
      <c r="AD177" s="702" t="n">
        <v>0</v>
      </c>
      <c r="AE177" s="702" t="n">
        <v>0</v>
      </c>
      <c r="AF177" s="702" t="n">
        <v>0</v>
      </c>
      <c r="AG177" s="703" t="n">
        <v>0</v>
      </c>
      <c r="AH177" s="704" t="n"/>
      <c r="AI177" s="23" t="n">
        <v>23</v>
      </c>
      <c r="AJ177" s="543" t="n">
        <v>-0.03062651358332652</v>
      </c>
      <c r="AK177" s="1" t="n">
        <v>-0.0923056652380614</v>
      </c>
      <c r="AL177" s="1" t="n">
        <v>-0.03161948580277266</v>
      </c>
      <c r="AM177" s="1" t="n">
        <v>-0.03221082715962688</v>
      </c>
      <c r="AN177" s="1" t="n">
        <v>-0.02862811631971878</v>
      </c>
      <c r="AO177" s="1" t="n">
        <v>-0.02437828252316324</v>
      </c>
      <c r="AP177" s="1" t="n">
        <v>0.02091187150566154</v>
      </c>
      <c r="AQ177" s="1" t="n">
        <v>-0.0322107626297419</v>
      </c>
      <c r="AR177" s="1" t="n">
        <v>-0.07129452284402882</v>
      </c>
      <c r="AS177" s="1" t="n">
        <v>-0.01838902035279057</v>
      </c>
      <c r="AT177" s="1" t="n">
        <v>0.06639698162977049</v>
      </c>
      <c r="AU177" s="1" t="n">
        <v>-0.03062654248306168</v>
      </c>
      <c r="AV177" s="1" t="n">
        <v>-0.02731756299982908</v>
      </c>
      <c r="AW177" s="1" t="n">
        <v>0.05322007639087652</v>
      </c>
      <c r="AX177" s="1" t="n">
        <v>-0.04007315193529279</v>
      </c>
      <c r="AY177" s="1" t="n">
        <v>0.3234943389455388</v>
      </c>
      <c r="AZ177" s="1" t="n">
        <v>0.1735173684681963</v>
      </c>
      <c r="BA177" s="1" t="n">
        <v>-0.03538571695619287</v>
      </c>
      <c r="BB177" s="1" t="n">
        <v>-0.04042429329945466</v>
      </c>
      <c r="BC177" s="1" t="n">
        <v>-0.007014669068348359</v>
      </c>
      <c r="BD177" s="1" t="n">
        <v>-0.1339296935131805</v>
      </c>
      <c r="BE177" s="1" t="n">
        <v>-0.1401282589207331</v>
      </c>
      <c r="BF177" s="1" t="n">
        <v>0.4660767148999589</v>
      </c>
      <c r="BG177" s="1" t="n">
        <v>-0.04444513803965403</v>
      </c>
      <c r="BH177" s="1" t="n">
        <v>-0.04198879652398078</v>
      </c>
      <c r="BI177" s="1" t="n">
        <v>-0.1055848279024104</v>
      </c>
      <c r="BJ177" s="1" t="n">
        <v>0.06260026987996412</v>
      </c>
      <c r="BK177" s="1" t="n">
        <v>-0.0230166322627168</v>
      </c>
      <c r="BL177" s="1" t="n">
        <v>-0.09403145043873046</v>
      </c>
      <c r="BM177" s="1" t="n">
        <v>0.03606501961550019</v>
      </c>
      <c r="BN177" s="1" t="n">
        <v>0.07760648228824078</v>
      </c>
      <c r="BO177" s="544" t="n">
        <v>-0.08801600040436147</v>
      </c>
      <c r="BP177" s="23" t="n"/>
      <c r="BQ177" s="705" t="n"/>
      <c r="BR177" s="487" t="n"/>
      <c r="BS177" s="487" t="n"/>
      <c r="BT177" s="487" t="n"/>
    </row>
    <row r="178">
      <c r="A178" t="n">
        <v>24</v>
      </c>
      <c r="B178" s="701" t="n">
        <v>0</v>
      </c>
      <c r="C178" s="702" t="n">
        <v>0</v>
      </c>
      <c r="D178" s="702" t="n">
        <v>0</v>
      </c>
      <c r="E178" s="702" t="n">
        <v>0</v>
      </c>
      <c r="F178" s="702" t="n">
        <v>0</v>
      </c>
      <c r="G178" s="702" t="n">
        <v>0</v>
      </c>
      <c r="H178" s="702" t="n">
        <v>0</v>
      </c>
      <c r="I178" s="702" t="n">
        <v>0</v>
      </c>
      <c r="J178" s="702" t="n">
        <v>0</v>
      </c>
      <c r="K178" s="702" t="n">
        <v>0</v>
      </c>
      <c r="L178" s="702" t="n">
        <v>0</v>
      </c>
      <c r="M178" s="702" t="n">
        <v>0</v>
      </c>
      <c r="N178" s="702" t="n">
        <v>0</v>
      </c>
      <c r="O178" s="702" t="n">
        <v>0</v>
      </c>
      <c r="P178" s="702" t="n">
        <v>0</v>
      </c>
      <c r="Q178" s="702" t="n">
        <v>0</v>
      </c>
      <c r="R178" s="702" t="n">
        <v>0</v>
      </c>
      <c r="S178" s="702" t="n">
        <v>0</v>
      </c>
      <c r="T178" s="702" t="n">
        <v>0</v>
      </c>
      <c r="U178" s="702" t="n">
        <v>0</v>
      </c>
      <c r="V178" s="702" t="n">
        <v>0</v>
      </c>
      <c r="W178" s="702" t="n">
        <v>0</v>
      </c>
      <c r="X178" s="702" t="n">
        <v>0</v>
      </c>
      <c r="Y178" s="702" t="n">
        <v>1</v>
      </c>
      <c r="Z178" s="702" t="n">
        <v>0</v>
      </c>
      <c r="AA178" s="702" t="n">
        <v>0</v>
      </c>
      <c r="AB178" s="702" t="n">
        <v>0</v>
      </c>
      <c r="AC178" s="702" t="n">
        <v>0</v>
      </c>
      <c r="AD178" s="702" t="n">
        <v>0</v>
      </c>
      <c r="AE178" s="702" t="n">
        <v>0</v>
      </c>
      <c r="AF178" s="702" t="n">
        <v>0</v>
      </c>
      <c r="AG178" s="703" t="n">
        <v>0</v>
      </c>
      <c r="AH178" s="704" t="n"/>
      <c r="AI178" s="23" t="n">
        <v>24</v>
      </c>
      <c r="AJ178" s="543" t="n">
        <v>-0.06804143342133674</v>
      </c>
      <c r="AK178" s="1" t="n">
        <v>0.2039260216335972</v>
      </c>
      <c r="AL178" s="1" t="n">
        <v>0.1111065924245317</v>
      </c>
      <c r="AM178" s="1" t="n">
        <v>-0.05497302537539927</v>
      </c>
      <c r="AN178" s="1" t="n">
        <v>-0.1054793124773669</v>
      </c>
      <c r="AO178" s="1" t="n">
        <v>0.0195258749158696</v>
      </c>
      <c r="AP178" s="1" t="n">
        <v>0.07534367017282134</v>
      </c>
      <c r="AQ178" s="1" t="n">
        <v>-0.0549729152446353</v>
      </c>
      <c r="AR178" s="1" t="n">
        <v>0.06509343308607418</v>
      </c>
      <c r="AS178" s="1" t="n">
        <v>-0.004984258019839483</v>
      </c>
      <c r="AT178" s="1" t="n">
        <v>0.09177640524216167</v>
      </c>
      <c r="AU178" s="1" t="n">
        <v>-0.06804149762647058</v>
      </c>
      <c r="AV178" s="1" t="n">
        <v>0.01331065505034206</v>
      </c>
      <c r="AW178" s="1" t="n">
        <v>0.04289283619760291</v>
      </c>
      <c r="AX178" s="1" t="n">
        <v>-0.0740889312702169</v>
      </c>
      <c r="AY178" s="1" t="n">
        <v>-0.1178159900777392</v>
      </c>
      <c r="AZ178" s="1" t="n">
        <v>0.07370067709204423</v>
      </c>
      <c r="BA178" s="1" t="n">
        <v>-0.08265939564735418</v>
      </c>
      <c r="BB178" s="1" t="n">
        <v>-0.08034070555508642</v>
      </c>
      <c r="BC178" s="1" t="n">
        <v>0.112133841007792</v>
      </c>
      <c r="BD178" s="1" t="n">
        <v>-0.1305565697008588</v>
      </c>
      <c r="BE178" s="1" t="n">
        <v>-0.1038672445807911</v>
      </c>
      <c r="BF178" s="1" t="n">
        <v>-0.04444513803965408</v>
      </c>
      <c r="BG178" s="1" t="n">
        <v>0.423665804075541</v>
      </c>
      <c r="BH178" s="1" t="n">
        <v>-0.05228608845012452</v>
      </c>
      <c r="BI178" s="1" t="n">
        <v>-0.09251076330411255</v>
      </c>
      <c r="BJ178" s="1" t="n">
        <v>-0.08048569688481536</v>
      </c>
      <c r="BK178" s="1" t="n">
        <v>0.1530924186927762</v>
      </c>
      <c r="BL178" s="1" t="n">
        <v>0.01058005767059511</v>
      </c>
      <c r="BM178" s="1" t="n">
        <v>-0.1084928726511723</v>
      </c>
      <c r="BN178" s="1" t="n">
        <v>-0.06095338237805361</v>
      </c>
      <c r="BO178" s="544" t="n">
        <v>0.07600484343724562</v>
      </c>
      <c r="BP178" s="23" t="n"/>
      <c r="BQ178" s="705" t="n"/>
      <c r="BR178" s="487" t="n"/>
      <c r="BS178" s="487" t="n"/>
      <c r="BT178" s="487" t="n"/>
    </row>
    <row r="179">
      <c r="A179" t="n">
        <v>25</v>
      </c>
      <c r="B179" s="701" t="n">
        <v>0</v>
      </c>
      <c r="C179" s="702" t="n">
        <v>0</v>
      </c>
      <c r="D179" s="702" t="n">
        <v>0</v>
      </c>
      <c r="E179" s="702" t="n">
        <v>0</v>
      </c>
      <c r="F179" s="702" t="n">
        <v>0</v>
      </c>
      <c r="G179" s="702" t="n">
        <v>0</v>
      </c>
      <c r="H179" s="702" t="n">
        <v>0</v>
      </c>
      <c r="I179" s="702" t="n">
        <v>0</v>
      </c>
      <c r="J179" s="702" t="n">
        <v>0</v>
      </c>
      <c r="K179" s="702" t="n">
        <v>0</v>
      </c>
      <c r="L179" s="702" t="n">
        <v>0</v>
      </c>
      <c r="M179" s="702" t="n">
        <v>0</v>
      </c>
      <c r="N179" s="702" t="n">
        <v>0</v>
      </c>
      <c r="O179" s="702" t="n">
        <v>0</v>
      </c>
      <c r="P179" s="702" t="n">
        <v>0</v>
      </c>
      <c r="Q179" s="702" t="n">
        <v>0</v>
      </c>
      <c r="R179" s="702" t="n">
        <v>0</v>
      </c>
      <c r="S179" s="702" t="n">
        <v>0</v>
      </c>
      <c r="T179" s="702" t="n">
        <v>0</v>
      </c>
      <c r="U179" s="702" t="n">
        <v>0</v>
      </c>
      <c r="V179" s="702" t="n">
        <v>0</v>
      </c>
      <c r="W179" s="702" t="n">
        <v>0</v>
      </c>
      <c r="X179" s="702" t="n">
        <v>0</v>
      </c>
      <c r="Y179" s="702" t="n">
        <v>0</v>
      </c>
      <c r="Z179" s="702" t="n">
        <v>1</v>
      </c>
      <c r="AA179" s="702" t="n">
        <v>0</v>
      </c>
      <c r="AB179" s="702" t="n">
        <v>0</v>
      </c>
      <c r="AC179" s="702" t="n">
        <v>0</v>
      </c>
      <c r="AD179" s="702" t="n">
        <v>0</v>
      </c>
      <c r="AE179" s="702" t="n">
        <v>0</v>
      </c>
      <c r="AF179" s="702" t="n">
        <v>0</v>
      </c>
      <c r="AG179" s="703" t="n">
        <v>0</v>
      </c>
      <c r="AH179" s="704" t="n"/>
      <c r="AI179" s="23" t="n">
        <v>25</v>
      </c>
      <c r="AJ179" s="543" t="n">
        <v>0.06589838443981653</v>
      </c>
      <c r="AK179" s="1" t="n">
        <v>-0.06705057816630228</v>
      </c>
      <c r="AL179" s="1" t="n">
        <v>-0.04706658293239326</v>
      </c>
      <c r="AM179" s="1" t="n">
        <v>0.2117974566131434</v>
      </c>
      <c r="AN179" s="1" t="n">
        <v>-0.07314023974529775</v>
      </c>
      <c r="AO179" s="1" t="n">
        <v>-0.1113386899200649</v>
      </c>
      <c r="AP179" s="1" t="n">
        <v>-0.08661350374063968</v>
      </c>
      <c r="AQ179" s="1" t="n">
        <v>0.2117970323065758</v>
      </c>
      <c r="AR179" s="1" t="n">
        <v>0.1454617617276776</v>
      </c>
      <c r="AS179" s="1" t="n">
        <v>-0.04120835305477784</v>
      </c>
      <c r="AT179" s="1" t="n">
        <v>-0.01835953121865336</v>
      </c>
      <c r="AU179" s="1" t="n">
        <v>0.06589844662273044</v>
      </c>
      <c r="AV179" s="1" t="n">
        <v>-0.08301089044977665</v>
      </c>
      <c r="AW179" s="1" t="n">
        <v>0.07573538474841024</v>
      </c>
      <c r="AX179" s="1" t="n">
        <v>-0.00345666775306451</v>
      </c>
      <c r="AY179" s="1" t="n">
        <v>-0.05046742861932421</v>
      </c>
      <c r="AZ179" s="1" t="n">
        <v>-0.09484986918598887</v>
      </c>
      <c r="BA179" s="1" t="n">
        <v>-0.005962368012945876</v>
      </c>
      <c r="BB179" s="1" t="n">
        <v>-0.06746954468359602</v>
      </c>
      <c r="BC179" s="1" t="n">
        <v>-0.03005010928007699</v>
      </c>
      <c r="BD179" s="1" t="n">
        <v>-0.09914022786515334</v>
      </c>
      <c r="BE179" s="1" t="n">
        <v>-0.149556561843965</v>
      </c>
      <c r="BF179" s="1" t="n">
        <v>-0.0419887965239808</v>
      </c>
      <c r="BG179" s="1" t="n">
        <v>-0.05228608845012454</v>
      </c>
      <c r="BH179" s="1" t="n">
        <v>0.4482811336399449</v>
      </c>
      <c r="BI179" s="1" t="n">
        <v>-0.1053094589567213</v>
      </c>
      <c r="BJ179" s="1" t="n">
        <v>0.01429635339418542</v>
      </c>
      <c r="BK179" s="1" t="n">
        <v>-0.08539708770344476</v>
      </c>
      <c r="BL179" s="1" t="n">
        <v>0.03624412978792365</v>
      </c>
      <c r="BM179" s="1" t="n">
        <v>0.008424724646658846</v>
      </c>
      <c r="BN179" s="1" t="n">
        <v>-0.0663935976471533</v>
      </c>
      <c r="BO179" s="544" t="n">
        <v>0.05500259690993992</v>
      </c>
      <c r="BP179" s="23" t="n"/>
      <c r="BQ179" s="705" t="n"/>
      <c r="BR179" s="487" t="n"/>
      <c r="BS179" s="487" t="n"/>
      <c r="BT179" s="487" t="n"/>
    </row>
    <row r="180">
      <c r="A180" t="n">
        <v>26</v>
      </c>
      <c r="B180" s="701" t="n">
        <v>0</v>
      </c>
      <c r="C180" s="702" t="n">
        <v>0</v>
      </c>
      <c r="D180" s="702" t="n">
        <v>0</v>
      </c>
      <c r="E180" s="702" t="n">
        <v>0</v>
      </c>
      <c r="F180" s="702" t="n">
        <v>0</v>
      </c>
      <c r="G180" s="702" t="n">
        <v>0</v>
      </c>
      <c r="H180" s="702" t="n">
        <v>0</v>
      </c>
      <c r="I180" s="702" t="n">
        <v>0</v>
      </c>
      <c r="J180" s="702" t="n">
        <v>0</v>
      </c>
      <c r="K180" s="702" t="n">
        <v>0</v>
      </c>
      <c r="L180" s="702" t="n">
        <v>0</v>
      </c>
      <c r="M180" s="702" t="n">
        <v>0</v>
      </c>
      <c r="N180" s="702" t="n">
        <v>0</v>
      </c>
      <c r="O180" s="702" t="n">
        <v>0</v>
      </c>
      <c r="P180" s="702" t="n">
        <v>0</v>
      </c>
      <c r="Q180" s="702" t="n">
        <v>0</v>
      </c>
      <c r="R180" s="702" t="n">
        <v>0</v>
      </c>
      <c r="S180" s="702" t="n">
        <v>0</v>
      </c>
      <c r="T180" s="702" t="n">
        <v>0</v>
      </c>
      <c r="U180" s="702" t="n">
        <v>0</v>
      </c>
      <c r="V180" s="702" t="n">
        <v>0</v>
      </c>
      <c r="W180" s="702" t="n">
        <v>0</v>
      </c>
      <c r="X180" s="702" t="n">
        <v>0</v>
      </c>
      <c r="Y180" s="702" t="n">
        <v>0</v>
      </c>
      <c r="Z180" s="702" t="n">
        <v>0</v>
      </c>
      <c r="AA180" s="702" t="n">
        <v>1</v>
      </c>
      <c r="AB180" s="702" t="n">
        <v>0</v>
      </c>
      <c r="AC180" s="702" t="n">
        <v>0</v>
      </c>
      <c r="AD180" s="702" t="n">
        <v>0</v>
      </c>
      <c r="AE180" s="702" t="n">
        <v>0</v>
      </c>
      <c r="AF180" s="702" t="n">
        <v>0</v>
      </c>
      <c r="AG180" s="703" t="n">
        <v>0</v>
      </c>
      <c r="AH180" s="704" t="n"/>
      <c r="AI180" s="23" t="n">
        <v>26</v>
      </c>
      <c r="AJ180" s="543" t="n">
        <v>0.09587473202608528</v>
      </c>
      <c r="AK180" s="1" t="n">
        <v>-0.01894551862177919</v>
      </c>
      <c r="AL180" s="1" t="n">
        <v>-0.002828511919342025</v>
      </c>
      <c r="AM180" s="1" t="n">
        <v>-0.0806177844647657</v>
      </c>
      <c r="AN180" s="1" t="n">
        <v>0.03699045267627697</v>
      </c>
      <c r="AO180" s="1" t="n">
        <v>0.2425461352363034</v>
      </c>
      <c r="AP180" s="1" t="n">
        <v>-0.08277333806380228</v>
      </c>
      <c r="AQ180" s="1" t="n">
        <v>-0.08061762295831533</v>
      </c>
      <c r="AR180" s="1" t="n">
        <v>-0.06647275847603595</v>
      </c>
      <c r="AS180" s="1" t="n">
        <v>-0.1571468332366313</v>
      </c>
      <c r="AT180" s="1" t="n">
        <v>-0.1589712063399991</v>
      </c>
      <c r="AU180" s="1" t="n">
        <v>0.09587482249522589</v>
      </c>
      <c r="AV180" s="1" t="n">
        <v>0.09350880198829174</v>
      </c>
      <c r="AW180" s="1" t="n">
        <v>-0.001070403760749628</v>
      </c>
      <c r="AX180" s="1" t="n">
        <v>-0.01868469532989052</v>
      </c>
      <c r="AY180" s="1" t="n">
        <v>-0.04249596176036213</v>
      </c>
      <c r="AZ180" s="1" t="n">
        <v>-0.04830962348786751</v>
      </c>
      <c r="BA180" s="1" t="n">
        <v>0.04418354819899716</v>
      </c>
      <c r="BB180" s="1" t="n">
        <v>0.0484024169111732</v>
      </c>
      <c r="BC180" s="1" t="n">
        <v>-0.013407643179005</v>
      </c>
      <c r="BD180" s="1" t="n">
        <v>-0.1114293755777961</v>
      </c>
      <c r="BE180" s="1" t="n">
        <v>-0.1619203581480871</v>
      </c>
      <c r="BF180" s="1" t="n">
        <v>-0.1055848279024102</v>
      </c>
      <c r="BG180" s="1" t="n">
        <v>-0.09251076330411297</v>
      </c>
      <c r="BH180" s="1" t="n">
        <v>-0.1053094589567216</v>
      </c>
      <c r="BI180" s="1" t="n">
        <v>0.5767547838891279</v>
      </c>
      <c r="BJ180" s="1" t="n">
        <v>-0.03038445131208833</v>
      </c>
      <c r="BK180" s="1" t="n">
        <v>-0.03842985127023192</v>
      </c>
      <c r="BL180" s="1" t="n">
        <v>0.01875109071987469</v>
      </c>
      <c r="BM180" s="1" t="n">
        <v>0.02741686495537994</v>
      </c>
      <c r="BN180" s="1" t="n">
        <v>-0.0130514468164065</v>
      </c>
      <c r="BO180" s="544" t="n">
        <v>0.01057992849050427</v>
      </c>
      <c r="BP180" s="23" t="n"/>
      <c r="BQ180" s="705" t="n"/>
      <c r="BR180" s="487" t="n"/>
      <c r="BS180" s="487" t="n"/>
      <c r="BT180" s="487" t="n"/>
    </row>
    <row r="181">
      <c r="A181" t="n">
        <v>27</v>
      </c>
      <c r="B181" s="701" t="n">
        <v>0</v>
      </c>
      <c r="C181" s="702" t="n">
        <v>0</v>
      </c>
      <c r="D181" s="702" t="n">
        <v>0</v>
      </c>
      <c r="E181" s="702" t="n">
        <v>0</v>
      </c>
      <c r="F181" s="702" t="n">
        <v>0</v>
      </c>
      <c r="G181" s="702" t="n">
        <v>0</v>
      </c>
      <c r="H181" s="702" t="n">
        <v>0</v>
      </c>
      <c r="I181" s="702" t="n">
        <v>0</v>
      </c>
      <c r="J181" s="702" t="n">
        <v>0</v>
      </c>
      <c r="K181" s="702" t="n">
        <v>0</v>
      </c>
      <c r="L181" s="702" t="n">
        <v>0</v>
      </c>
      <c r="M181" s="702" t="n">
        <v>0</v>
      </c>
      <c r="N181" s="702" t="n">
        <v>0</v>
      </c>
      <c r="O181" s="702" t="n">
        <v>0</v>
      </c>
      <c r="P181" s="702" t="n">
        <v>0</v>
      </c>
      <c r="Q181" s="702" t="n">
        <v>0</v>
      </c>
      <c r="R181" s="702" t="n">
        <v>0</v>
      </c>
      <c r="S181" s="702" t="n">
        <v>0</v>
      </c>
      <c r="T181" s="702" t="n">
        <v>0</v>
      </c>
      <c r="U181" s="702" t="n">
        <v>0</v>
      </c>
      <c r="V181" s="702" t="n">
        <v>0</v>
      </c>
      <c r="W181" s="702" t="n">
        <v>0</v>
      </c>
      <c r="X181" s="702" t="n">
        <v>0</v>
      </c>
      <c r="Y181" s="702" t="n">
        <v>0</v>
      </c>
      <c r="Z181" s="702" t="n">
        <v>0</v>
      </c>
      <c r="AA181" s="702" t="n">
        <v>0</v>
      </c>
      <c r="AB181" s="702" t="n">
        <v>1</v>
      </c>
      <c r="AC181" s="702" t="n">
        <v>0</v>
      </c>
      <c r="AD181" s="702" t="n">
        <v>0</v>
      </c>
      <c r="AE181" s="702" t="n">
        <v>0</v>
      </c>
      <c r="AF181" s="702" t="n">
        <v>0</v>
      </c>
      <c r="AG181" s="703" t="n">
        <v>0</v>
      </c>
      <c r="AH181" s="704" t="n"/>
      <c r="AI181" s="23" t="n">
        <v>27</v>
      </c>
      <c r="AJ181" s="543" t="n">
        <v>-0.05907134460494849</v>
      </c>
      <c r="AK181" s="1" t="n">
        <v>-0.100233047191358</v>
      </c>
      <c r="AL181" s="1" t="n">
        <v>-0.01623681928972526</v>
      </c>
      <c r="AM181" s="1" t="n">
        <v>0.0503795495751352</v>
      </c>
      <c r="AN181" s="1" t="n">
        <v>-0.1089426732431557</v>
      </c>
      <c r="AO181" s="1" t="n">
        <v>0.1056013410370574</v>
      </c>
      <c r="AP181" s="1" t="n">
        <v>0.2410178548476237</v>
      </c>
      <c r="AQ181" s="1" t="n">
        <v>0.05037944864675729</v>
      </c>
      <c r="AR181" s="1" t="n">
        <v>-0.08555918799064384</v>
      </c>
      <c r="AS181" s="1" t="n">
        <v>-0.004804267463148881</v>
      </c>
      <c r="AT181" s="1" t="n">
        <v>0.03839510492470266</v>
      </c>
      <c r="AU181" s="1" t="n">
        <v>-0.05907140034574335</v>
      </c>
      <c r="AV181" s="1" t="n">
        <v>0.1267049305793836</v>
      </c>
      <c r="AW181" s="1" t="n">
        <v>-0.06663729985252015</v>
      </c>
      <c r="AX181" s="1" t="n">
        <v>-0.03281542044394264</v>
      </c>
      <c r="AY181" s="1" t="n">
        <v>0.02846735973433358</v>
      </c>
      <c r="AZ181" s="1" t="n">
        <v>-0.073789658252327</v>
      </c>
      <c r="BA181" s="1" t="n">
        <v>-0.001918295736562298</v>
      </c>
      <c r="BB181" s="1" t="n">
        <v>-0.008990078758796427</v>
      </c>
      <c r="BC181" s="1" t="n">
        <v>0.1162500247010715</v>
      </c>
      <c r="BD181" s="1" t="n">
        <v>-0.00880131849288146</v>
      </c>
      <c r="BE181" s="1" t="n">
        <v>0.04277484341563563</v>
      </c>
      <c r="BF181" s="1" t="n">
        <v>0.06260026987996431</v>
      </c>
      <c r="BG181" s="1" t="n">
        <v>-0.08048569688481549</v>
      </c>
      <c r="BH181" s="1" t="n">
        <v>0.01429635339418556</v>
      </c>
      <c r="BI181" s="1" t="n">
        <v>-0.03038445131208878</v>
      </c>
      <c r="BJ181" s="1" t="n">
        <v>0.4578707747781962</v>
      </c>
      <c r="BK181" s="1" t="n">
        <v>-0.2523741924370263</v>
      </c>
      <c r="BL181" s="1" t="n">
        <v>0.03299519866695384</v>
      </c>
      <c r="BM181" s="1" t="n">
        <v>-0.0629887475678397</v>
      </c>
      <c r="BN181" s="1" t="n">
        <v>-0.1015396300018001</v>
      </c>
      <c r="BO181" s="544" t="n">
        <v>0.04490223860974906</v>
      </c>
      <c r="BP181" s="23" t="n"/>
      <c r="BQ181" s="705" t="n"/>
      <c r="BR181" s="487" t="n"/>
      <c r="BS181" s="487" t="n"/>
      <c r="BT181" s="487" t="n"/>
    </row>
    <row r="182">
      <c r="A182" t="n">
        <v>28</v>
      </c>
      <c r="B182" s="701" t="n">
        <v>0</v>
      </c>
      <c r="C182" s="702" t="n">
        <v>0</v>
      </c>
      <c r="D182" s="702" t="n">
        <v>0</v>
      </c>
      <c r="E182" s="702" t="n">
        <v>0</v>
      </c>
      <c r="F182" s="702" t="n">
        <v>0</v>
      </c>
      <c r="G182" s="702" t="n">
        <v>0</v>
      </c>
      <c r="H182" s="702" t="n">
        <v>0</v>
      </c>
      <c r="I182" s="702" t="n">
        <v>0</v>
      </c>
      <c r="J182" s="702" t="n">
        <v>0</v>
      </c>
      <c r="K182" s="702" t="n">
        <v>0</v>
      </c>
      <c r="L182" s="702" t="n">
        <v>0</v>
      </c>
      <c r="M182" s="702" t="n">
        <v>0</v>
      </c>
      <c r="N182" s="702" t="n">
        <v>0</v>
      </c>
      <c r="O182" s="702" t="n">
        <v>0</v>
      </c>
      <c r="P182" s="702" t="n">
        <v>0</v>
      </c>
      <c r="Q182" s="702" t="n">
        <v>0</v>
      </c>
      <c r="R182" s="702" t="n">
        <v>0</v>
      </c>
      <c r="S182" s="702" t="n">
        <v>0</v>
      </c>
      <c r="T182" s="702" t="n">
        <v>0</v>
      </c>
      <c r="U182" s="702" t="n">
        <v>0</v>
      </c>
      <c r="V182" s="702" t="n">
        <v>0</v>
      </c>
      <c r="W182" s="702" t="n">
        <v>0</v>
      </c>
      <c r="X182" s="702" t="n">
        <v>0</v>
      </c>
      <c r="Y182" s="702" t="n">
        <v>0</v>
      </c>
      <c r="Z182" s="702" t="n">
        <v>0</v>
      </c>
      <c r="AA182" s="702" t="n">
        <v>0</v>
      </c>
      <c r="AB182" s="702" t="n">
        <v>0</v>
      </c>
      <c r="AC182" s="702" t="n">
        <v>1</v>
      </c>
      <c r="AD182" s="702" t="n">
        <v>0</v>
      </c>
      <c r="AE182" s="702" t="n">
        <v>0</v>
      </c>
      <c r="AF182" s="702" t="n">
        <v>0</v>
      </c>
      <c r="AG182" s="703" t="n">
        <v>0</v>
      </c>
      <c r="AH182" s="704" t="n"/>
      <c r="AI182" s="23" t="n">
        <v>28</v>
      </c>
      <c r="AJ182" s="543" t="n">
        <v>0.002928763398369182</v>
      </c>
      <c r="AK182" s="1" t="n">
        <v>0.1051648951685152</v>
      </c>
      <c r="AL182" s="1" t="n">
        <v>-0.05506210495563671</v>
      </c>
      <c r="AM182" s="1" t="n">
        <v>0.02622038115143793</v>
      </c>
      <c r="AN182" s="1" t="n">
        <v>0.07428862373029893</v>
      </c>
      <c r="AO182" s="1" t="n">
        <v>0.02257235443881798</v>
      </c>
      <c r="AP182" s="1" t="n">
        <v>0.1103917403286765</v>
      </c>
      <c r="AQ182" s="1" t="n">
        <v>0.02622032862257328</v>
      </c>
      <c r="AR182" s="1" t="n">
        <v>0.04137203083868062</v>
      </c>
      <c r="AS182" s="1" t="n">
        <v>-0.01594726958614681</v>
      </c>
      <c r="AT182" s="1" t="n">
        <v>-0.005381716429700999</v>
      </c>
      <c r="AU182" s="1" t="n">
        <v>0.002928766162003641</v>
      </c>
      <c r="AV182" s="1" t="n">
        <v>0.0572264270283766</v>
      </c>
      <c r="AW182" s="1" t="n">
        <v>-0.01554422473829417</v>
      </c>
      <c r="AX182" s="1" t="n">
        <v>-0.02927304893432868</v>
      </c>
      <c r="AY182" s="1" t="n">
        <v>-0.03455265326717099</v>
      </c>
      <c r="AZ182" s="1" t="n">
        <v>0.09158621463849904</v>
      </c>
      <c r="BA182" s="1" t="n">
        <v>-0.02536236551905523</v>
      </c>
      <c r="BB182" s="1" t="n">
        <v>-0.124217449396098</v>
      </c>
      <c r="BC182" s="1" t="n">
        <v>-0.2303956436212687</v>
      </c>
      <c r="BD182" s="1" t="n">
        <v>-0.01331820021987701</v>
      </c>
      <c r="BE182" s="1" t="n">
        <v>0.007069352763494128</v>
      </c>
      <c r="BF182" s="1" t="n">
        <v>-0.02301663226271668</v>
      </c>
      <c r="BG182" s="1" t="n">
        <v>0.1530924186927763</v>
      </c>
      <c r="BH182" s="1" t="n">
        <v>-0.08539708770344495</v>
      </c>
      <c r="BI182" s="1" t="n">
        <v>-0.0384298512702318</v>
      </c>
      <c r="BJ182" s="1" t="n">
        <v>-0.2523741924370261</v>
      </c>
      <c r="BK182" s="1" t="n">
        <v>0.3691871390947868</v>
      </c>
      <c r="BL182" s="1" t="n">
        <v>-0.01070923396280897</v>
      </c>
      <c r="BM182" s="1" t="n">
        <v>0.05001229041121406</v>
      </c>
      <c r="BN182" s="1" t="n">
        <v>0.1216520460581779</v>
      </c>
      <c r="BO182" s="544" t="n">
        <v>-0.003504128432494988</v>
      </c>
      <c r="BP182" s="23" t="n"/>
      <c r="BQ182" s="705" t="n"/>
      <c r="BR182" s="487" t="n"/>
      <c r="BS182" s="487" t="n"/>
      <c r="BT182" s="487" t="n"/>
    </row>
    <row r="183">
      <c r="A183" t="n">
        <v>29</v>
      </c>
      <c r="B183" s="701" t="n">
        <v>0</v>
      </c>
      <c r="C183" s="702" t="n">
        <v>0</v>
      </c>
      <c r="D183" s="702" t="n">
        <v>0</v>
      </c>
      <c r="E183" s="702" t="n">
        <v>0</v>
      </c>
      <c r="F183" s="702" t="n">
        <v>0</v>
      </c>
      <c r="G183" s="702" t="n">
        <v>0</v>
      </c>
      <c r="H183" s="702" t="n">
        <v>0</v>
      </c>
      <c r="I183" s="702" t="n">
        <v>0</v>
      </c>
      <c r="J183" s="702" t="n">
        <v>0</v>
      </c>
      <c r="K183" s="702" t="n">
        <v>0</v>
      </c>
      <c r="L183" s="702" t="n">
        <v>0</v>
      </c>
      <c r="M183" s="702" t="n">
        <v>0</v>
      </c>
      <c r="N183" s="702" t="n">
        <v>0</v>
      </c>
      <c r="O183" s="702" t="n">
        <v>0</v>
      </c>
      <c r="P183" s="702" t="n">
        <v>0</v>
      </c>
      <c r="Q183" s="702" t="n">
        <v>0</v>
      </c>
      <c r="R183" s="702" t="n">
        <v>0</v>
      </c>
      <c r="S183" s="702" t="n">
        <v>0</v>
      </c>
      <c r="T183" s="702" t="n">
        <v>0</v>
      </c>
      <c r="U183" s="702" t="n">
        <v>0</v>
      </c>
      <c r="V183" s="702" t="n">
        <v>0</v>
      </c>
      <c r="W183" s="702" t="n">
        <v>0</v>
      </c>
      <c r="X183" s="702" t="n">
        <v>0</v>
      </c>
      <c r="Y183" s="702" t="n">
        <v>0</v>
      </c>
      <c r="Z183" s="702" t="n">
        <v>0</v>
      </c>
      <c r="AA183" s="702" t="n">
        <v>0</v>
      </c>
      <c r="AB183" s="702" t="n">
        <v>0</v>
      </c>
      <c r="AC183" s="702" t="n">
        <v>0</v>
      </c>
      <c r="AD183" s="702" t="n">
        <v>1</v>
      </c>
      <c r="AE183" s="702" t="n">
        <v>0</v>
      </c>
      <c r="AF183" s="702" t="n">
        <v>0</v>
      </c>
      <c r="AG183" s="703" t="n">
        <v>0</v>
      </c>
      <c r="AH183" s="704" t="n"/>
      <c r="AI183" s="23" t="n">
        <v>29</v>
      </c>
      <c r="AJ183" s="543" t="n">
        <v>0.01325414497026701</v>
      </c>
      <c r="AK183" s="1" t="n">
        <v>0.1533030621153924</v>
      </c>
      <c r="AL183" s="1" t="n">
        <v>-0.1055595762979112</v>
      </c>
      <c r="AM183" s="1" t="n">
        <v>0.01974001542494036</v>
      </c>
      <c r="AN183" s="1" t="n">
        <v>0.004591817569736548</v>
      </c>
      <c r="AO183" s="1" t="n">
        <v>-0.00191500531122922</v>
      </c>
      <c r="AP183" s="1" t="n">
        <v>-0.01345460437067671</v>
      </c>
      <c r="AQ183" s="1" t="n">
        <v>0.01973997587858169</v>
      </c>
      <c r="AR183" s="1" t="n">
        <v>-0.07970723005880433</v>
      </c>
      <c r="AS183" s="1" t="n">
        <v>-0.003786064187979112</v>
      </c>
      <c r="AT183" s="1" t="n">
        <v>-0.01595335976699701</v>
      </c>
      <c r="AU183" s="1" t="n">
        <v>0.0132541574771192</v>
      </c>
      <c r="AV183" s="1" t="n">
        <v>-0.01779239553503889</v>
      </c>
      <c r="AW183" s="1" t="n">
        <v>-0.03343696626775934</v>
      </c>
      <c r="AX183" s="1" t="n">
        <v>0.06929497112414756</v>
      </c>
      <c r="AY183" s="1" t="n">
        <v>0.06069251331754121</v>
      </c>
      <c r="AZ183" s="1" t="n">
        <v>0.03941540646330355</v>
      </c>
      <c r="BA183" s="1" t="n">
        <v>0.1119280733352027</v>
      </c>
      <c r="BB183" s="1" t="n">
        <v>-0.06884697809149964</v>
      </c>
      <c r="BC183" s="1" t="n">
        <v>-0.1233017854295552</v>
      </c>
      <c r="BD183" s="1" t="n">
        <v>0.03000471012522163</v>
      </c>
      <c r="BE183" s="1" t="n">
        <v>-0.001548537864885079</v>
      </c>
      <c r="BF183" s="1" t="n">
        <v>-0.0940314504387303</v>
      </c>
      <c r="BG183" s="1" t="n">
        <v>0.01058005767059507</v>
      </c>
      <c r="BH183" s="1" t="n">
        <v>0.03624412978792377</v>
      </c>
      <c r="BI183" s="1" t="n">
        <v>0.01875109071987492</v>
      </c>
      <c r="BJ183" s="1" t="n">
        <v>0.03299519866695422</v>
      </c>
      <c r="BK183" s="1" t="n">
        <v>-0.01070923396280941</v>
      </c>
      <c r="BL183" s="1" t="n">
        <v>0.422536324897745</v>
      </c>
      <c r="BM183" s="1" t="n">
        <v>-0.2080544209168175</v>
      </c>
      <c r="BN183" s="1" t="n">
        <v>-0.2904164768248494</v>
      </c>
      <c r="BO183" s="544" t="n">
        <v>-0.1307592722820075</v>
      </c>
      <c r="BP183" s="23" t="n"/>
      <c r="BQ183" s="705" t="n"/>
      <c r="BR183" s="487" t="n"/>
      <c r="BS183" s="487" t="n"/>
      <c r="BT183" s="487" t="n"/>
    </row>
    <row r="184">
      <c r="A184" t="n">
        <v>30</v>
      </c>
      <c r="B184" s="701" t="n">
        <v>0</v>
      </c>
      <c r="C184" s="702" t="n">
        <v>0</v>
      </c>
      <c r="D184" s="702" t="n">
        <v>0</v>
      </c>
      <c r="E184" s="702" t="n">
        <v>0</v>
      </c>
      <c r="F184" s="702" t="n">
        <v>0</v>
      </c>
      <c r="G184" s="702" t="n">
        <v>0</v>
      </c>
      <c r="H184" s="702" t="n">
        <v>0</v>
      </c>
      <c r="I184" s="702" t="n">
        <v>0</v>
      </c>
      <c r="J184" s="702" t="n">
        <v>0</v>
      </c>
      <c r="K184" s="702" t="n">
        <v>0</v>
      </c>
      <c r="L184" s="702" t="n">
        <v>0</v>
      </c>
      <c r="M184" s="702" t="n">
        <v>0</v>
      </c>
      <c r="N184" s="702" t="n">
        <v>0</v>
      </c>
      <c r="O184" s="702" t="n">
        <v>0</v>
      </c>
      <c r="P184" s="702" t="n">
        <v>0</v>
      </c>
      <c r="Q184" s="702" t="n">
        <v>0</v>
      </c>
      <c r="R184" s="702" t="n">
        <v>0</v>
      </c>
      <c r="S184" s="702" t="n">
        <v>0</v>
      </c>
      <c r="T184" s="702" t="n">
        <v>0</v>
      </c>
      <c r="U184" s="702" t="n">
        <v>0</v>
      </c>
      <c r="V184" s="702" t="n">
        <v>0</v>
      </c>
      <c r="W184" s="702" t="n">
        <v>0</v>
      </c>
      <c r="X184" s="702" t="n">
        <v>0</v>
      </c>
      <c r="Y184" s="702" t="n">
        <v>0</v>
      </c>
      <c r="Z184" s="702" t="n">
        <v>0</v>
      </c>
      <c r="AA184" s="702" t="n">
        <v>0</v>
      </c>
      <c r="AB184" s="702" t="n">
        <v>0</v>
      </c>
      <c r="AC184" s="702" t="n">
        <v>0</v>
      </c>
      <c r="AD184" s="702" t="n">
        <v>0</v>
      </c>
      <c r="AE184" s="702" t="n">
        <v>1</v>
      </c>
      <c r="AF184" s="702" t="n">
        <v>0</v>
      </c>
      <c r="AG184" s="703" t="n">
        <v>0</v>
      </c>
      <c r="AH184" s="704" t="n"/>
      <c r="AI184" s="23" t="n">
        <v>30</v>
      </c>
      <c r="AJ184" s="543" t="n">
        <v>-0.03815349058760112</v>
      </c>
      <c r="AK184" s="1" t="n">
        <v>-0.0815805933689055</v>
      </c>
      <c r="AL184" s="1" t="n">
        <v>0.1881094011907277</v>
      </c>
      <c r="AM184" s="1" t="n">
        <v>-0.03339385450287842</v>
      </c>
      <c r="AN184" s="1" t="n">
        <v>-0.09698943012648613</v>
      </c>
      <c r="AO184" s="1" t="n">
        <v>0.03952480560277694</v>
      </c>
      <c r="AP184" s="1" t="n">
        <v>0.02262425904999598</v>
      </c>
      <c r="AQ184" s="1" t="n">
        <v>-0.03339378760296367</v>
      </c>
      <c r="AR184" s="1" t="n">
        <v>0.1446979313528876</v>
      </c>
      <c r="AS184" s="1" t="n">
        <v>0.01562322510346369</v>
      </c>
      <c r="AT184" s="1" t="n">
        <v>0.02718600500765818</v>
      </c>
      <c r="AU184" s="1" t="n">
        <v>-0.03815352658992865</v>
      </c>
      <c r="AV184" s="1" t="n">
        <v>0.0147719477492811</v>
      </c>
      <c r="AW184" s="1" t="n">
        <v>-0.0233439659025906</v>
      </c>
      <c r="AX184" s="1" t="n">
        <v>0.01093209559136119</v>
      </c>
      <c r="AY184" s="1" t="n">
        <v>0.04077265814975164</v>
      </c>
      <c r="AZ184" s="1" t="n">
        <v>-0.07703071253622146</v>
      </c>
      <c r="BA184" s="1" t="n">
        <v>0.02298833829254911</v>
      </c>
      <c r="BB184" s="1" t="n">
        <v>0.0269305158085089</v>
      </c>
      <c r="BC184" s="1" t="n">
        <v>-0.2120568970980386</v>
      </c>
      <c r="BD184" s="1" t="n">
        <v>0.01320578684425941</v>
      </c>
      <c r="BE184" s="1" t="n">
        <v>0.02338047658937404</v>
      </c>
      <c r="BF184" s="1" t="n">
        <v>0.03606501961550035</v>
      </c>
      <c r="BG184" s="1" t="n">
        <v>-0.1084928726511723</v>
      </c>
      <c r="BH184" s="1" t="n">
        <v>0.008424724646658808</v>
      </c>
      <c r="BI184" s="1" t="n">
        <v>0.0274168649553797</v>
      </c>
      <c r="BJ184" s="1" t="n">
        <v>-0.06298874756783959</v>
      </c>
      <c r="BK184" s="1" t="n">
        <v>0.0500122904112143</v>
      </c>
      <c r="BL184" s="1" t="n">
        <v>-0.2080544209168173</v>
      </c>
      <c r="BM184" s="1" t="n">
        <v>0.6631971760197432</v>
      </c>
      <c r="BN184" s="1" t="n">
        <v>-0.1538320572205135</v>
      </c>
      <c r="BO184" s="544" t="n">
        <v>0.006877775200117628</v>
      </c>
      <c r="BP184" s="23" t="n"/>
      <c r="BQ184" s="705" t="n"/>
      <c r="BR184" s="487" t="n"/>
      <c r="BS184" s="487" t="n"/>
      <c r="BT184" s="487" t="n"/>
    </row>
    <row r="185">
      <c r="A185" t="n">
        <v>31</v>
      </c>
      <c r="B185" s="701" t="n">
        <v>0</v>
      </c>
      <c r="C185" s="702" t="n">
        <v>0</v>
      </c>
      <c r="D185" s="702" t="n">
        <v>0</v>
      </c>
      <c r="E185" s="702" t="n">
        <v>0</v>
      </c>
      <c r="F185" s="702" t="n">
        <v>0</v>
      </c>
      <c r="G185" s="702" t="n">
        <v>0</v>
      </c>
      <c r="H185" s="702" t="n">
        <v>0</v>
      </c>
      <c r="I185" s="702" t="n">
        <v>0</v>
      </c>
      <c r="J185" s="702" t="n">
        <v>0</v>
      </c>
      <c r="K185" s="702" t="n">
        <v>0</v>
      </c>
      <c r="L185" s="702" t="n">
        <v>0</v>
      </c>
      <c r="M185" s="702" t="n">
        <v>0</v>
      </c>
      <c r="N185" s="702" t="n">
        <v>0</v>
      </c>
      <c r="O185" s="702" t="n">
        <v>0</v>
      </c>
      <c r="P185" s="702" t="n">
        <v>0</v>
      </c>
      <c r="Q185" s="702" t="n">
        <v>0</v>
      </c>
      <c r="R185" s="702" t="n">
        <v>0</v>
      </c>
      <c r="S185" s="702" t="n">
        <v>0</v>
      </c>
      <c r="T185" s="702" t="n">
        <v>0</v>
      </c>
      <c r="U185" s="702" t="n">
        <v>0</v>
      </c>
      <c r="V185" s="702" t="n">
        <v>0</v>
      </c>
      <c r="W185" s="702" t="n">
        <v>0</v>
      </c>
      <c r="X185" s="702" t="n">
        <v>0</v>
      </c>
      <c r="Y185" s="702" t="n">
        <v>0</v>
      </c>
      <c r="Z185" s="702" t="n">
        <v>0</v>
      </c>
      <c r="AA185" s="702" t="n">
        <v>0</v>
      </c>
      <c r="AB185" s="702" t="n">
        <v>0</v>
      </c>
      <c r="AC185" s="702" t="n">
        <v>0</v>
      </c>
      <c r="AD185" s="702" t="n">
        <v>0</v>
      </c>
      <c r="AE185" s="702" t="n">
        <v>0</v>
      </c>
      <c r="AF185" s="702" t="n">
        <v>1</v>
      </c>
      <c r="AG185" s="703" t="n">
        <v>0</v>
      </c>
      <c r="AH185" s="704" t="n"/>
      <c r="AI185" s="23" t="n">
        <v>31</v>
      </c>
      <c r="AJ185" s="543" t="n">
        <v>0.04887373490292118</v>
      </c>
      <c r="AK185" s="1" t="n">
        <v>-0.1373584044984986</v>
      </c>
      <c r="AL185" s="1" t="n">
        <v>-0.1114887984906825</v>
      </c>
      <c r="AM185" s="1" t="n">
        <v>0.04664854130186599</v>
      </c>
      <c r="AN185" s="1" t="n">
        <v>0.1589934940157896</v>
      </c>
      <c r="AO185" s="1" t="n">
        <v>-0.02096200994161163</v>
      </c>
      <c r="AP185" s="1" t="n">
        <v>0.02633127146592349</v>
      </c>
      <c r="AQ185" s="1" t="n">
        <v>0.04664844784804095</v>
      </c>
      <c r="AR185" s="1" t="n">
        <v>-0.02640696951592136</v>
      </c>
      <c r="AS185" s="1" t="n">
        <v>-0.01381372646361665</v>
      </c>
      <c r="AT185" s="1" t="n">
        <v>-0.05239642727875331</v>
      </c>
      <c r="AU185" s="1" t="n">
        <v>0.04887378102106622</v>
      </c>
      <c r="AV185" s="1" t="n">
        <v>0.03541463818785456</v>
      </c>
      <c r="AW185" s="1" t="n">
        <v>0.0175690331815845</v>
      </c>
      <c r="AX185" s="1" t="n">
        <v>-0.05586893460949136</v>
      </c>
      <c r="AY185" s="1" t="n">
        <v>-0.0483150732615681</v>
      </c>
      <c r="AZ185" s="1" t="n">
        <v>0.03038704814879151</v>
      </c>
      <c r="BA185" s="1" t="n">
        <v>-0.09943967232344969</v>
      </c>
      <c r="BB185" s="1" t="n">
        <v>0.01607943593204873</v>
      </c>
      <c r="BC185" s="1" t="n">
        <v>0.06844466888352822</v>
      </c>
      <c r="BD185" s="1" t="n">
        <v>0.01984113421164821</v>
      </c>
      <c r="BE185" s="1" t="n">
        <v>0.04295081034172491</v>
      </c>
      <c r="BF185" s="1" t="n">
        <v>0.07760648228824055</v>
      </c>
      <c r="BG185" s="1" t="n">
        <v>-0.06095338237805346</v>
      </c>
      <c r="BH185" s="1" t="n">
        <v>-0.0663935976471535</v>
      </c>
      <c r="BI185" s="1" t="n">
        <v>-0.0130514468164067</v>
      </c>
      <c r="BJ185" s="1" t="n">
        <v>-0.1015396300018004</v>
      </c>
      <c r="BK185" s="1" t="n">
        <v>0.1216520460581783</v>
      </c>
      <c r="BL185" s="1" t="n">
        <v>-0.2904164768248493</v>
      </c>
      <c r="BM185" s="1" t="n">
        <v>-0.1538320572205134</v>
      </c>
      <c r="BN185" s="1" t="n">
        <v>0.4950250096173163</v>
      </c>
      <c r="BO185" s="544" t="n">
        <v>0.08402137738109638</v>
      </c>
      <c r="BP185" s="23" t="n"/>
      <c r="BQ185" s="705" t="n"/>
      <c r="BR185" s="487" t="n"/>
      <c r="BS185" s="487" t="n"/>
      <c r="BT185" s="487" t="n"/>
    </row>
    <row r="186">
      <c r="A186" t="n">
        <v>32</v>
      </c>
      <c r="B186" s="701" t="n">
        <v>0</v>
      </c>
      <c r="C186" s="702" t="n">
        <v>0</v>
      </c>
      <c r="D186" s="702" t="n">
        <v>0</v>
      </c>
      <c r="E186" s="702" t="n">
        <v>0</v>
      </c>
      <c r="F186" s="702" t="n">
        <v>0</v>
      </c>
      <c r="G186" s="702" t="n">
        <v>0</v>
      </c>
      <c r="H186" s="702" t="n">
        <v>0</v>
      </c>
      <c r="I186" s="702" t="n">
        <v>0</v>
      </c>
      <c r="J186" s="702" t="n">
        <v>0</v>
      </c>
      <c r="K186" s="702" t="n">
        <v>0</v>
      </c>
      <c r="L186" s="702" t="n">
        <v>0</v>
      </c>
      <c r="M186" s="702" t="n">
        <v>0</v>
      </c>
      <c r="N186" s="702" t="n">
        <v>0</v>
      </c>
      <c r="O186" s="702" t="n">
        <v>0</v>
      </c>
      <c r="P186" s="702" t="n">
        <v>0</v>
      </c>
      <c r="Q186" s="702" t="n">
        <v>0</v>
      </c>
      <c r="R186" s="702" t="n">
        <v>0</v>
      </c>
      <c r="S186" s="702" t="n">
        <v>0</v>
      </c>
      <c r="T186" s="702" t="n">
        <v>0</v>
      </c>
      <c r="U186" s="702" t="n">
        <v>0</v>
      </c>
      <c r="V186" s="702" t="n">
        <v>0</v>
      </c>
      <c r="W186" s="702" t="n">
        <v>0</v>
      </c>
      <c r="X186" s="702" t="n">
        <v>0</v>
      </c>
      <c r="Y186" s="702" t="n">
        <v>0</v>
      </c>
      <c r="Z186" s="702" t="n">
        <v>0</v>
      </c>
      <c r="AA186" s="702" t="n">
        <v>0</v>
      </c>
      <c r="AB186" s="702" t="n">
        <v>0</v>
      </c>
      <c r="AC186" s="702" t="n">
        <v>0</v>
      </c>
      <c r="AD186" s="702" t="n">
        <v>0</v>
      </c>
      <c r="AE186" s="702" t="n">
        <v>0</v>
      </c>
      <c r="AF186" s="702" t="n">
        <v>0</v>
      </c>
      <c r="AG186" s="703" t="n">
        <v>1</v>
      </c>
      <c r="AH186" s="704" t="n"/>
      <c r="AI186" s="23" t="n">
        <v>32</v>
      </c>
      <c r="AJ186" s="543" t="n">
        <v>-0.02697317466543384</v>
      </c>
      <c r="AK186" s="14" t="n">
        <v>-0.08362365497938777</v>
      </c>
      <c r="AL186" s="14" t="n">
        <v>-0.02149233389022769</v>
      </c>
      <c r="AM186" s="14" t="n">
        <v>-0.0129980911177072</v>
      </c>
      <c r="AN186" s="14" t="n">
        <v>-0.1001384146216117</v>
      </c>
      <c r="AO186" s="14" t="n">
        <v>0.0222641226288097</v>
      </c>
      <c r="AP186" s="14" t="n">
        <v>0.003982860413865155</v>
      </c>
      <c r="AQ186" s="14" t="n">
        <v>-0.01299806507785046</v>
      </c>
      <c r="AR186" s="14" t="n">
        <v>-0.0411323373417562</v>
      </c>
      <c r="AS186" s="14" t="n">
        <v>-0.002545076088209267</v>
      </c>
      <c r="AT186" s="14" t="n">
        <v>0.02990896071622495</v>
      </c>
      <c r="AU186" s="14" t="n">
        <v>-0.02697320011781192</v>
      </c>
      <c r="AV186" s="14" t="n">
        <v>-0.0401601614636949</v>
      </c>
      <c r="AW186" s="14" t="n">
        <v>-0.06770564858931347</v>
      </c>
      <c r="AX186" s="14" t="n">
        <v>0.1421084268527536</v>
      </c>
      <c r="AY186" s="14" t="n">
        <v>-0.09132340710983847</v>
      </c>
      <c r="AZ186" s="14" t="n">
        <v>0.1137941696104211</v>
      </c>
      <c r="BA186" s="14" t="n">
        <v>0.2512404034222377</v>
      </c>
      <c r="BB186" s="14" t="n">
        <v>-0.107851715879618</v>
      </c>
      <c r="BC186" s="14" t="n">
        <v>0.02933254648612094</v>
      </c>
      <c r="BD186" s="14" t="n">
        <v>0.004722223728076541</v>
      </c>
      <c r="BE186" s="14" t="n">
        <v>-0.05829359216140492</v>
      </c>
      <c r="BF186" s="14" t="n">
        <v>-0.08801600040436178</v>
      </c>
      <c r="BG186" s="14" t="n">
        <v>0.07600484343724534</v>
      </c>
      <c r="BH186" s="14" t="n">
        <v>0.05500259690993983</v>
      </c>
      <c r="BI186" s="14" t="n">
        <v>0.01057992849050485</v>
      </c>
      <c r="BJ186" s="14" t="n">
        <v>0.04490223860974913</v>
      </c>
      <c r="BK186" s="14" t="n">
        <v>-0.00350412843249457</v>
      </c>
      <c r="BL186" s="14" t="n">
        <v>-0.1307592722820072</v>
      </c>
      <c r="BM186" s="14" t="n">
        <v>0.006877775200118293</v>
      </c>
      <c r="BN186" s="14" t="n">
        <v>0.08402137738109589</v>
      </c>
      <c r="BO186" s="544" t="n">
        <v>0.7408537182973371</v>
      </c>
      <c r="BP186" s="23" t="n"/>
      <c r="BQ186" s="705" t="n"/>
      <c r="BR186" s="487" t="n"/>
      <c r="BS186" s="487" t="n"/>
      <c r="BT186" s="487" t="n"/>
    </row>
    <row r="187">
      <c r="B187" s="701" t="n"/>
      <c r="C187" s="702" t="n"/>
      <c r="D187" s="702" t="n"/>
      <c r="E187" s="702" t="n"/>
      <c r="F187" s="702" t="n"/>
      <c r="G187" s="702" t="n"/>
      <c r="H187" s="702" t="n"/>
      <c r="I187" s="702" t="n"/>
      <c r="J187" s="702" t="n"/>
      <c r="K187" s="702" t="n"/>
      <c r="L187" s="702" t="n"/>
      <c r="M187" s="702" t="n"/>
      <c r="N187" s="702" t="n"/>
      <c r="O187" s="702" t="n"/>
      <c r="P187" s="702" t="n"/>
      <c r="Q187" s="702" t="n"/>
      <c r="R187" s="702" t="n"/>
      <c r="S187" s="702" t="n"/>
      <c r="T187" s="702" t="n"/>
      <c r="U187" s="702" t="n"/>
      <c r="V187" s="702" t="n"/>
      <c r="W187" s="702" t="n"/>
      <c r="X187" s="702" t="n"/>
      <c r="Y187" s="702" t="n"/>
      <c r="Z187" s="702" t="n"/>
      <c r="AA187" s="702" t="n"/>
      <c r="AB187" s="702" t="n"/>
      <c r="AC187" s="702" t="n"/>
      <c r="AD187" s="702" t="n"/>
      <c r="AE187" s="702" t="n"/>
      <c r="AF187" s="702" t="n"/>
      <c r="AG187" s="703" t="n"/>
      <c r="AH187" s="704" t="n"/>
      <c r="AI187" s="23" t="n"/>
      <c r="AJ187" s="54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 t="n"/>
      <c r="AT187" s="23" t="n"/>
      <c r="AU187" s="23" t="n"/>
      <c r="AV187" s="23" t="n"/>
      <c r="AW187" s="23" t="n"/>
      <c r="AX187" s="23" t="n"/>
      <c r="AY187" s="23" t="n"/>
      <c r="AZ187" s="23" t="n"/>
      <c r="BA187" s="23" t="n"/>
      <c r="BB187" s="23" t="n"/>
      <c r="BC187" s="23" t="n"/>
      <c r="BD187" s="23" t="n"/>
      <c r="BE187" s="23" t="n"/>
      <c r="BF187" s="23" t="n"/>
      <c r="BG187" s="23" t="n"/>
      <c r="BH187" s="23" t="n"/>
      <c r="BI187" s="23" t="n"/>
      <c r="BJ187" s="23" t="n"/>
      <c r="BK187" s="23" t="n"/>
      <c r="BL187" s="23" t="n"/>
      <c r="BM187" s="23" t="n"/>
      <c r="BN187" s="23" t="n"/>
      <c r="BO187" s="544" t="n"/>
      <c r="BP187" s="23" t="n"/>
      <c r="BQ187" s="705" t="n"/>
      <c r="BR187" s="487" t="n"/>
      <c r="BS187" s="487" t="n"/>
      <c r="BT187" s="487" t="n"/>
    </row>
    <row r="188">
      <c r="B188" s="701" t="n"/>
      <c r="C188" s="702" t="n"/>
      <c r="D188" s="702" t="n"/>
      <c r="E188" s="702" t="n"/>
      <c r="F188" s="702" t="n"/>
      <c r="G188" s="702" t="n"/>
      <c r="H188" s="702" t="n"/>
      <c r="I188" s="702" t="n"/>
      <c r="J188" s="702" t="n"/>
      <c r="K188" s="702" t="n"/>
      <c r="L188" s="702" t="n"/>
      <c r="M188" s="702" t="n"/>
      <c r="N188" s="702" t="n"/>
      <c r="O188" s="702" t="n"/>
      <c r="P188" s="702" t="n"/>
      <c r="Q188" s="702" t="n"/>
      <c r="R188" s="702" t="n"/>
      <c r="S188" s="702" t="n"/>
      <c r="T188" s="702" t="n"/>
      <c r="U188" s="702" t="n"/>
      <c r="V188" s="702" t="n"/>
      <c r="W188" s="702" t="n"/>
      <c r="X188" s="702" t="n"/>
      <c r="Y188" s="702" t="n"/>
      <c r="Z188" s="702" t="n"/>
      <c r="AA188" s="702" t="n"/>
      <c r="AB188" s="702" t="n"/>
      <c r="AC188" s="702" t="n"/>
      <c r="AD188" s="702" t="n"/>
      <c r="AE188" s="702" t="n"/>
      <c r="AF188" s="702" t="n"/>
      <c r="AG188" s="703" t="n"/>
      <c r="AH188" s="704" t="n"/>
      <c r="AI188" s="23" t="n"/>
      <c r="AJ188" s="543" t="n"/>
      <c r="AK188" s="706" t="inlineStr">
        <is>
          <t>Test lokalny</t>
        </is>
      </c>
      <c r="AL188" s="596" t="n"/>
      <c r="AM188" s="597" t="n"/>
      <c r="AN188" s="23" t="n"/>
      <c r="AO188" s="23" t="n"/>
      <c r="AP188" s="23" t="n"/>
      <c r="AQ188" s="23" t="n"/>
      <c r="AR188" s="23" t="n"/>
      <c r="AS188" s="23" t="n"/>
      <c r="AV188" s="23" t="n"/>
      <c r="AW188" s="23" t="n"/>
      <c r="AX188" s="23" t="n"/>
      <c r="AY188" s="23" t="n"/>
      <c r="AZ188" s="23" t="n"/>
      <c r="BA188" s="23" t="n"/>
      <c r="BB188" s="23" t="n"/>
      <c r="BC188" s="23" t="n"/>
      <c r="BD188" s="23" t="n"/>
      <c r="BE188" s="23" t="n"/>
      <c r="BF188" s="23" t="n"/>
      <c r="BG188" s="23" t="n"/>
      <c r="BH188" s="23" t="n"/>
      <c r="BI188" s="23" t="n"/>
      <c r="BJ188" s="23" t="n"/>
      <c r="BK188" s="23" t="n"/>
      <c r="BL188" s="23" t="n"/>
      <c r="BM188" s="23" t="n"/>
      <c r="BN188" s="23" t="n"/>
      <c r="BO188" s="544" t="n"/>
      <c r="BP188" s="23" t="n"/>
      <c r="BQ188" s="705" t="n"/>
      <c r="BR188" s="487" t="n"/>
      <c r="BS188" s="487" t="n"/>
      <c r="BT188" s="487" t="n"/>
    </row>
    <row r="189">
      <c r="B189" s="701" t="inlineStr">
        <is>
          <t>Cv</t>
        </is>
      </c>
      <c r="C189" s="506" t="n"/>
      <c r="D189" s="506" t="n"/>
      <c r="E189" s="506" t="n"/>
      <c r="F189" s="506" t="n"/>
      <c r="G189" s="506" t="n"/>
      <c r="H189" s="506" t="n"/>
      <c r="I189" s="506" t="n"/>
      <c r="J189" s="506" t="n"/>
      <c r="K189" s="506" t="n"/>
      <c r="L189" s="506" t="n"/>
      <c r="M189" s="506" t="n"/>
      <c r="N189" s="506" t="n"/>
      <c r="O189" s="506" t="n"/>
      <c r="P189" s="506" t="n"/>
      <c r="Q189" s="506" t="n"/>
      <c r="R189" s="506" t="n"/>
      <c r="S189" s="506" t="n"/>
      <c r="T189" s="506" t="n"/>
      <c r="U189" s="506" t="n"/>
      <c r="V189" s="506" t="n"/>
      <c r="W189" s="506" t="n"/>
      <c r="X189" s="506" t="n"/>
      <c r="Y189" s="506" t="n"/>
      <c r="Z189" s="506" t="n"/>
      <c r="AA189" s="506" t="n"/>
      <c r="AB189" s="506" t="n"/>
      <c r="AC189" s="506" t="n"/>
      <c r="AD189" s="506" t="n"/>
      <c r="AE189" s="506" t="n"/>
      <c r="AF189" s="506" t="n"/>
      <c r="AG189" s="507" t="n"/>
      <c r="AH189" s="704" t="n"/>
      <c r="AI189" s="103" t="inlineStr">
        <is>
          <t>s</t>
        </is>
      </c>
      <c r="AJ189" s="543" t="n"/>
      <c r="AK189" s="260" t="inlineStr">
        <is>
          <t>Qvi</t>
        </is>
      </c>
      <c r="AL189" s="277" t="inlineStr">
        <is>
          <t>ui</t>
        </is>
      </c>
      <c r="AM189" s="260" t="inlineStr">
        <is>
          <t>Warunek</t>
        </is>
      </c>
      <c r="AN189" s="23" t="n"/>
      <c r="AO189" s="707" t="inlineStr">
        <is>
          <t>Test globalny</t>
        </is>
      </c>
      <c r="AP189" s="597" t="n"/>
      <c r="AQ189" s="23" t="n"/>
      <c r="AR189" s="23" t="n"/>
      <c r="AV189" s="23" t="n"/>
      <c r="AW189" s="23" t="n"/>
      <c r="AX189" s="23" t="n"/>
      <c r="AY189" s="23" t="n"/>
      <c r="AZ189" s="23" t="n"/>
      <c r="BA189" s="23" t="n"/>
      <c r="BB189" s="23" t="n"/>
      <c r="BC189" s="23" t="n"/>
      <c r="BD189" s="23" t="n"/>
      <c r="BE189" s="23" t="n"/>
      <c r="BF189" s="23" t="n"/>
      <c r="BG189" s="23" t="n"/>
      <c r="BH189" s="23" t="n"/>
      <c r="BI189" s="23" t="n"/>
      <c r="BJ189" s="23" t="n"/>
      <c r="BK189" s="23" t="n"/>
      <c r="BL189" s="23" t="n"/>
      <c r="BM189" s="23" t="n"/>
      <c r="BN189" s="23" t="n"/>
      <c r="BO189" s="544" t="n"/>
      <c r="BP189" s="23" t="n"/>
      <c r="BQ189" s="705" t="n"/>
      <c r="BR189" s="487" t="n"/>
      <c r="BS189" s="487" t="n"/>
      <c r="BT189" s="487" t="n"/>
    </row>
    <row r="190">
      <c r="A190" t="n">
        <v>1</v>
      </c>
      <c r="B190" s="701">
        <f t="array" ref="B190:AG221">_xlfn.ANCHORARRAY(B155)-_xlfn.ANCHORARRAY(AJ155)</f>
        <v/>
      </c>
      <c r="C190" s="702" t="n">
        <v>0.004233484189268211</v>
      </c>
      <c r="D190" s="702" t="n">
        <v>0.02457566580324555</v>
      </c>
      <c r="E190" s="702" t="n">
        <v>-0.05777410052184091</v>
      </c>
      <c r="F190" s="702" t="n">
        <v>-0.0695232806328501</v>
      </c>
      <c r="G190" s="702" t="n">
        <v>-0.1391854210289087</v>
      </c>
      <c r="H190" s="702" t="n">
        <v>0.04513482722653962</v>
      </c>
      <c r="I190" s="702" t="n">
        <v>-0.05777398477951479</v>
      </c>
      <c r="J190" s="702" t="n">
        <v>-0.04585757223888669</v>
      </c>
      <c r="K190" s="702" t="n">
        <v>-0.0924779204326347</v>
      </c>
      <c r="L190" s="702" t="n">
        <v>-0.2139351986037583</v>
      </c>
      <c r="M190" s="702" t="n">
        <v>-0.2682017639604348</v>
      </c>
      <c r="N190" s="702" t="n">
        <v>0.0306915910530612</v>
      </c>
      <c r="O190" s="702" t="n">
        <v>0.01514614494543087</v>
      </c>
      <c r="P190" s="702" t="n">
        <v>-0.00858404248163458</v>
      </c>
      <c r="Q190" s="702" t="n">
        <v>-0.008366932512830487</v>
      </c>
      <c r="R190" s="702" t="n">
        <v>-0.009750312393146932</v>
      </c>
      <c r="S190" s="702" t="n">
        <v>-0.02782181125326675</v>
      </c>
      <c r="T190" s="702" t="n">
        <v>-0.04564590343344235</v>
      </c>
      <c r="U190" s="702" t="n">
        <v>0.003560198334286441</v>
      </c>
      <c r="V190" s="702" t="n">
        <v>0.05096714958524075</v>
      </c>
      <c r="W190" s="702" t="n">
        <v>0.01213801987599799</v>
      </c>
      <c r="X190" s="702" t="n">
        <v>0.03062651358332649</v>
      </c>
      <c r="Y190" s="702" t="n">
        <v>0.06804143342133681</v>
      </c>
      <c r="Z190" s="702" t="n">
        <v>-0.06589838443981647</v>
      </c>
      <c r="AA190" s="702" t="n">
        <v>-0.09587473202608557</v>
      </c>
      <c r="AB190" s="702" t="n">
        <v>0.05907134460494858</v>
      </c>
      <c r="AC190" s="702" t="n">
        <v>-0.002928763398369252</v>
      </c>
      <c r="AD190" s="702" t="n">
        <v>-0.01325414497026697</v>
      </c>
      <c r="AE190" s="702" t="n">
        <v>0.03815349058760104</v>
      </c>
      <c r="AF190" s="702" t="n">
        <v>-0.0488737349029213</v>
      </c>
      <c r="AG190" s="703" t="n">
        <v>0.02697317466543392</v>
      </c>
      <c r="AH190" s="704" t="n"/>
      <c r="AI190" s="2">
        <f t="array" ref="AI190">SQRT(INDEX(_xlfn.ANCHORARRAY($B$190),A190,A190))</f>
        <v/>
      </c>
      <c r="AJ190" s="543" t="n"/>
      <c r="AK190" s="2">
        <f>$AP$191*AI190</f>
        <v/>
      </c>
      <c r="AL190" s="104">
        <f>ABS(Y119/AK190)</f>
        <v/>
      </c>
      <c r="AM190" s="107">
        <f>IF(AL190&lt;2.5,"Spełniony","Nie spełniony")</f>
        <v/>
      </c>
      <c r="AN190" s="23" t="n"/>
      <c r="AO190" s="101" t="inlineStr">
        <is>
          <t>m0krytyczne</t>
        </is>
      </c>
      <c r="AP190" s="102">
        <f>CHIINV(0.05,19)/19</f>
        <v/>
      </c>
      <c r="AQ190" s="23" t="n"/>
      <c r="AR190" s="23" t="n"/>
      <c r="AV190" s="23" t="n"/>
      <c r="AW190" s="23" t="n"/>
      <c r="AX190" s="23" t="n"/>
      <c r="AY190" s="23" t="n"/>
      <c r="AZ190" s="23" t="n"/>
      <c r="BA190" s="23" t="n"/>
      <c r="BB190" s="23" t="n"/>
      <c r="BC190" s="23" t="n"/>
      <c r="BD190" s="23" t="n"/>
      <c r="BE190" s="23" t="n"/>
      <c r="BF190" s="23" t="n"/>
      <c r="BG190" s="23" t="n"/>
      <c r="BH190" s="23" t="n"/>
      <c r="BI190" s="23" t="n"/>
      <c r="BJ190" s="23" t="n"/>
      <c r="BK190" s="23" t="n"/>
      <c r="BL190" s="23" t="n"/>
      <c r="BM190" s="23" t="n"/>
      <c r="BN190" s="23" t="n"/>
      <c r="BO190" s="544" t="n"/>
      <c r="BP190" s="23" t="n"/>
      <c r="BQ190" s="705" t="n"/>
      <c r="BR190" s="487" t="n"/>
      <c r="BS190" s="487" t="n"/>
      <c r="BT190" s="487" t="n"/>
    </row>
    <row r="191">
      <c r="A191" t="n">
        <v>2</v>
      </c>
      <c r="B191" s="701" t="n">
        <v>0.00423348418926818</v>
      </c>
      <c r="C191" s="702" t="n">
        <v>0.7719014842748505</v>
      </c>
      <c r="D191" s="702" t="n">
        <v>-0.09652111725252449</v>
      </c>
      <c r="E191" s="702" t="n">
        <v>0.006197984875864697</v>
      </c>
      <c r="F191" s="702" t="n">
        <v>-0.03411503099053671</v>
      </c>
      <c r="G191" s="702" t="n">
        <v>-0.01246938966554775</v>
      </c>
      <c r="H191" s="702" t="n">
        <v>-0.04880567663816533</v>
      </c>
      <c r="I191" s="702" t="n">
        <v>0.006197972459069293</v>
      </c>
      <c r="J191" s="702" t="n">
        <v>-0.1013137728472479</v>
      </c>
      <c r="K191" s="702" t="n">
        <v>0.008866755135934191</v>
      </c>
      <c r="L191" s="702" t="n">
        <v>-0.005487470994036688</v>
      </c>
      <c r="M191" s="702" t="n">
        <v>0.004233488184060837</v>
      </c>
      <c r="N191" s="702" t="n">
        <v>-0.01409598140508857</v>
      </c>
      <c r="O191" s="702" t="n">
        <v>0.01982617550785661</v>
      </c>
      <c r="P191" s="702" t="n">
        <v>-0.01858441148654733</v>
      </c>
      <c r="Q191" s="702" t="n">
        <v>0.003837056241899332</v>
      </c>
      <c r="R191" s="702" t="n">
        <v>-0.108952673352034</v>
      </c>
      <c r="S191" s="702" t="n">
        <v>-0.04535066182825853</v>
      </c>
      <c r="T191" s="702" t="n">
        <v>-0.05917312953627967</v>
      </c>
      <c r="U191" s="702" t="n">
        <v>-0.04185154404291312</v>
      </c>
      <c r="V191" s="702" t="n">
        <v>0.009584222510082459</v>
      </c>
      <c r="W191" s="702" t="n">
        <v>0.01604003709737207</v>
      </c>
      <c r="X191" s="702" t="n">
        <v>0.09230566523806133</v>
      </c>
      <c r="Y191" s="702" t="n">
        <v>-0.2039260216335972</v>
      </c>
      <c r="Z191" s="702" t="n">
        <v>0.06705057816630224</v>
      </c>
      <c r="AA191" s="702" t="n">
        <v>0.01894551862177905</v>
      </c>
      <c r="AB191" s="702" t="n">
        <v>0.1002330471913578</v>
      </c>
      <c r="AC191" s="702" t="n">
        <v>-0.105164895168515</v>
      </c>
      <c r="AD191" s="702" t="n">
        <v>-0.1533030621153924</v>
      </c>
      <c r="AE191" s="702" t="n">
        <v>0.08158059336890562</v>
      </c>
      <c r="AF191" s="702" t="n">
        <v>0.1373584044984987</v>
      </c>
      <c r="AG191" s="703" t="n">
        <v>0.08362365497938787</v>
      </c>
      <c r="AH191" s="704" t="n"/>
      <c r="AI191" s="3">
        <f t="array" ref="AI191">SQRT(INDEX(_xlfn.ANCHORARRAY($B$190),A191,A191))</f>
        <v/>
      </c>
      <c r="AJ191" s="543" t="n"/>
      <c r="AK191" s="3">
        <f>$AP$191*AI191</f>
        <v/>
      </c>
      <c r="AL191" s="105">
        <f>ABS(Y120/AK191)</f>
        <v/>
      </c>
      <c r="AM191" s="108">
        <f>IF(AL191&lt;2.5,"Spełniony","Nie spełniony")</f>
        <v/>
      </c>
      <c r="AN191" s="23" t="n"/>
      <c r="AO191" s="87" t="inlineStr">
        <is>
          <t>m0'</t>
        </is>
      </c>
      <c r="AP191" s="87">
        <f>AB131</f>
        <v/>
      </c>
      <c r="AQ191" s="23" t="n"/>
      <c r="AR191" s="23" t="n"/>
      <c r="AV191" s="23" t="n"/>
      <c r="AW191" s="23" t="n"/>
      <c r="AX191" s="23" t="n"/>
      <c r="AY191" s="23" t="n"/>
      <c r="AZ191" s="23" t="n"/>
      <c r="BA191" s="23" t="n"/>
      <c r="BB191" s="23" t="n"/>
      <c r="BC191" s="23" t="n"/>
      <c r="BD191" s="23" t="n"/>
      <c r="BE191" s="23" t="n"/>
      <c r="BF191" s="23" t="n"/>
      <c r="BG191" s="23" t="n"/>
      <c r="BH191" s="23" t="n"/>
      <c r="BI191" s="23" t="n"/>
      <c r="BJ191" s="23" t="n"/>
      <c r="BK191" s="23" t="n"/>
      <c r="BL191" s="23" t="n"/>
      <c r="BM191" s="23" t="n"/>
      <c r="BN191" s="23" t="n"/>
      <c r="BO191" s="544" t="n"/>
      <c r="BP191" s="23" t="n"/>
      <c r="BQ191" s="705" t="n"/>
      <c r="BR191" s="487" t="n"/>
      <c r="BS191" s="487" t="n"/>
      <c r="BT191" s="487" t="n"/>
    </row>
    <row r="192">
      <c r="A192" t="n">
        <v>3</v>
      </c>
      <c r="B192" s="701" t="n">
        <v>0.02457566580324555</v>
      </c>
      <c r="C192" s="702" t="n">
        <v>-0.09652111725252445</v>
      </c>
      <c r="D192" s="702" t="n">
        <v>0.7513939548176218</v>
      </c>
      <c r="E192" s="702" t="n">
        <v>0.04099596973095909</v>
      </c>
      <c r="F192" s="702" t="n">
        <v>0.03183981639194947</v>
      </c>
      <c r="G192" s="702" t="n">
        <v>-0.01490793648287272</v>
      </c>
      <c r="H192" s="702" t="n">
        <v>-0.01070362471181394</v>
      </c>
      <c r="I192" s="702" t="n">
        <v>0.04099588760127026</v>
      </c>
      <c r="J192" s="702" t="n">
        <v>-0.1769381139544338</v>
      </c>
      <c r="K192" s="702" t="n">
        <v>-0.00502694178414167</v>
      </c>
      <c r="L192" s="702" t="n">
        <v>-0.02543287522426311</v>
      </c>
      <c r="M192" s="702" t="n">
        <v>0.0245756889932907</v>
      </c>
      <c r="N192" s="702" t="n">
        <v>0.0004645280769879083</v>
      </c>
      <c r="O192" s="702" t="n">
        <v>0.003510649140802899</v>
      </c>
      <c r="P192" s="702" t="n">
        <v>-0.003131776947444343</v>
      </c>
      <c r="Q192" s="702" t="n">
        <v>0.005925683265346905</v>
      </c>
      <c r="R192" s="702" t="n">
        <v>-0.03084690565711994</v>
      </c>
      <c r="S192" s="702" t="n">
        <v>-0.01237076956309815</v>
      </c>
      <c r="T192" s="702" t="n">
        <v>-0.1758077461635875</v>
      </c>
      <c r="U192" s="702" t="n">
        <v>-0.1696859131928916</v>
      </c>
      <c r="V192" s="702" t="n">
        <v>0.0156077707236728</v>
      </c>
      <c r="W192" s="702" t="n">
        <v>0.01398424104635079</v>
      </c>
      <c r="X192" s="702" t="n">
        <v>0.03161948580277266</v>
      </c>
      <c r="Y192" s="702" t="n">
        <v>-0.1111065924245316</v>
      </c>
      <c r="Z192" s="702" t="n">
        <v>0.04706658293239325</v>
      </c>
      <c r="AA192" s="702" t="n">
        <v>0.002828511919342136</v>
      </c>
      <c r="AB192" s="702" t="n">
        <v>0.01623681928972537</v>
      </c>
      <c r="AC192" s="702" t="n">
        <v>0.05506210495563663</v>
      </c>
      <c r="AD192" s="702" t="n">
        <v>0.1055595762979113</v>
      </c>
      <c r="AE192" s="702" t="n">
        <v>-0.1881094011907278</v>
      </c>
      <c r="AF192" s="702" t="n">
        <v>0.1114887984906825</v>
      </c>
      <c r="AG192" s="703" t="n">
        <v>0.02149233389022765</v>
      </c>
      <c r="AH192" s="704" t="n"/>
      <c r="AI192" s="3">
        <f t="array" ref="AI192">SQRT(INDEX(_xlfn.ANCHORARRAY($B$190),A192,A192))</f>
        <v/>
      </c>
      <c r="AJ192" s="543" t="n"/>
      <c r="AK192" s="3">
        <f>$AP$191*AI192</f>
        <v/>
      </c>
      <c r="AL192" s="105">
        <f>ABS(Y121/AK192)</f>
        <v/>
      </c>
      <c r="AM192" s="108">
        <f>IF(AL192&lt;2.5,"Spełniony","Nie spełniony")</f>
        <v/>
      </c>
      <c r="AN192" s="23" t="n"/>
      <c r="AO192" s="706">
        <f>IF(AP190&gt;AP191,"Warunek spełniony","NIESPEŁNIONY!")</f>
        <v/>
      </c>
      <c r="AP192" s="597" t="n"/>
      <c r="AQ192" s="23" t="n"/>
      <c r="BO192" s="544" t="n"/>
      <c r="BQ192" s="705" t="n"/>
      <c r="BR192" s="487" t="n"/>
      <c r="BS192" s="487" t="n"/>
      <c r="BT192" s="487" t="n"/>
    </row>
    <row r="193">
      <c r="A193" t="n">
        <v>4</v>
      </c>
      <c r="B193" s="708" t="n">
        <v>-0.05777410052184093</v>
      </c>
      <c r="C193" s="709" t="n">
        <v>0.00619798487586469</v>
      </c>
      <c r="D193" s="709" t="n">
        <v>0.04099596973095908</v>
      </c>
      <c r="E193" s="709" t="n">
        <v>0.7875261834197895</v>
      </c>
      <c r="F193" s="709" t="n">
        <v>-0.05697984711552388</v>
      </c>
      <c r="G193" s="709" t="n">
        <v>0.01481990015170789</v>
      </c>
      <c r="H193" s="709" t="n">
        <v>-0.1305687827018136</v>
      </c>
      <c r="I193" s="709" t="n">
        <v>-0.2124733909186503</v>
      </c>
      <c r="J193" s="709" t="n">
        <v>-0.141972820429437</v>
      </c>
      <c r="K193" s="709" t="n">
        <v>0.04624052989013297</v>
      </c>
      <c r="L193" s="709" t="n">
        <v>0.04894088027384604</v>
      </c>
      <c r="M193" s="709" t="n">
        <v>-0.05777415503853285</v>
      </c>
      <c r="N193" s="709" t="n">
        <v>-0.0535203846226049</v>
      </c>
      <c r="O193" s="709" t="n">
        <v>0.01998496947387045</v>
      </c>
      <c r="P193" s="709" t="n">
        <v>0.00396874317305862</v>
      </c>
      <c r="Q193" s="709" t="n">
        <v>0.001465632111719246</v>
      </c>
      <c r="R193" s="709" t="n">
        <v>-0.00419764432516306</v>
      </c>
      <c r="S193" s="709" t="n">
        <v>-0.02200033662296756</v>
      </c>
      <c r="T193" s="709" t="n">
        <v>-0.01220493019344814</v>
      </c>
      <c r="U193" s="709" t="n">
        <v>0.03422086272355981</v>
      </c>
      <c r="V193" s="709" t="n">
        <v>0.01874835833435531</v>
      </c>
      <c r="W193" s="709" t="n">
        <v>0.02524746127899639</v>
      </c>
      <c r="X193" s="709" t="n">
        <v>0.0322108271596268</v>
      </c>
      <c r="Y193" s="709" t="n">
        <v>0.0549730253753993</v>
      </c>
      <c r="Z193" s="709" t="n">
        <v>-0.2117974566131434</v>
      </c>
      <c r="AA193" s="709" t="n">
        <v>0.08061778446476574</v>
      </c>
      <c r="AB193" s="709" t="n">
        <v>-0.05037954957513515</v>
      </c>
      <c r="AC193" s="709" t="n">
        <v>-0.02622038115143795</v>
      </c>
      <c r="AD193" s="709" t="n">
        <v>-0.01974001542494037</v>
      </c>
      <c r="AE193" s="709" t="n">
        <v>0.03339385450287853</v>
      </c>
      <c r="AF193" s="709" t="n">
        <v>-0.04664854130186612</v>
      </c>
      <c r="AG193" s="710" t="n">
        <v>0.01299809111770742</v>
      </c>
      <c r="AH193" s="711" t="n"/>
      <c r="AI193" s="3">
        <f t="array" ref="AI193">SQRT(INDEX(_xlfn.ANCHORARRAY($B$190),A193,A193))</f>
        <v/>
      </c>
      <c r="AJ193" s="567" t="n"/>
      <c r="AK193" s="590">
        <f>$AP$191*AI193</f>
        <v/>
      </c>
      <c r="AL193" s="590">
        <f>ABS(Y122/AK193)</f>
        <v/>
      </c>
      <c r="AM193" s="590">
        <f>IF(AL193&lt;2.5,"Spełniony","Nie spełniony")</f>
        <v/>
      </c>
      <c r="AN193" s="590" t="n"/>
      <c r="AO193" s="590" t="n"/>
      <c r="AP193" s="590" t="n"/>
      <c r="AQ193" s="590" t="n"/>
      <c r="AR193" s="590" t="n"/>
      <c r="AS193" s="590" t="n"/>
      <c r="AT193" s="590" t="n"/>
      <c r="AU193" s="590" t="n"/>
      <c r="AV193" s="590" t="n"/>
      <c r="AW193" s="590" t="n"/>
      <c r="AX193" s="590" t="n"/>
      <c r="AY193" s="590" t="n"/>
      <c r="AZ193" s="590" t="n"/>
      <c r="BA193" s="590" t="n"/>
      <c r="BB193" s="590" t="n"/>
      <c r="BC193" s="590" t="n"/>
      <c r="BD193" s="590" t="n"/>
      <c r="BE193" s="590" t="n"/>
      <c r="BF193" s="590" t="n"/>
      <c r="BG193" s="590" t="n"/>
      <c r="BH193" s="590" t="n"/>
      <c r="BI193" s="590" t="n"/>
      <c r="BJ193" s="590" t="n"/>
      <c r="BK193" s="590" t="n"/>
      <c r="BL193" s="590" t="n"/>
      <c r="BM193" s="590" t="n"/>
      <c r="BN193" s="590" t="n"/>
      <c r="BO193" s="568" t="n"/>
      <c r="BQ193" s="712" t="n"/>
      <c r="BR193" s="668" t="n"/>
      <c r="BS193" s="668" t="n"/>
      <c r="BT193" s="668" t="n"/>
    </row>
    <row r="194">
      <c r="A194" t="n">
        <v>5</v>
      </c>
      <c r="B194" s="67" t="n">
        <v>-0.06952328063285004</v>
      </c>
      <c r="C194" s="25" t="n">
        <v>-0.0341150309905367</v>
      </c>
      <c r="D194" s="25" t="n">
        <v>0.03183981639194947</v>
      </c>
      <c r="E194" s="25" t="n">
        <v>-0.0569798471155238</v>
      </c>
      <c r="F194" s="25" t="n">
        <v>0.8023594965295642</v>
      </c>
      <c r="G194" s="25" t="n">
        <v>0.01129084229096595</v>
      </c>
      <c r="H194" s="25" t="n">
        <v>-0.01517069797484986</v>
      </c>
      <c r="I194" s="25" t="n">
        <v>-0.05697973296437324</v>
      </c>
      <c r="J194" s="25" t="n">
        <v>-0.05175321368569883</v>
      </c>
      <c r="K194" s="25" t="n">
        <v>0.01374892591834676</v>
      </c>
      <c r="L194" s="25" t="n">
        <v>0.0867067553384389</v>
      </c>
      <c r="M194" s="25" t="n">
        <v>-0.0695233462362819</v>
      </c>
      <c r="N194" s="25" t="n">
        <v>-0.02535121148557201</v>
      </c>
      <c r="O194" s="25" t="n">
        <v>0.04247349388827418</v>
      </c>
      <c r="P194" s="25" t="n">
        <v>-0.04229270036195841</v>
      </c>
      <c r="Q194" s="25" t="n">
        <v>-0.05234695305005964</v>
      </c>
      <c r="R194" s="25" t="n">
        <v>-0.0848461450898147</v>
      </c>
      <c r="S194" s="25" t="n">
        <v>-0.05426570177481102</v>
      </c>
      <c r="T194" s="25" t="n">
        <v>-0.1303474173559649</v>
      </c>
      <c r="U194" s="25" t="n">
        <v>-0.004448407965700998</v>
      </c>
      <c r="V194" s="25" t="n">
        <v>-0.09180776140412074</v>
      </c>
      <c r="W194" s="25" t="n">
        <v>-0.07844945446198585</v>
      </c>
      <c r="X194" s="25" t="n">
        <v>0.02862811631971877</v>
      </c>
      <c r="Y194" s="25" t="n">
        <v>0.1054793124773668</v>
      </c>
      <c r="Z194" s="25" t="n">
        <v>0.07314023974529782</v>
      </c>
      <c r="AA194" s="25" t="n">
        <v>-0.03699045267627686</v>
      </c>
      <c r="AB194" s="25" t="n">
        <v>0.1089426732431557</v>
      </c>
      <c r="AC194" s="25" t="n">
        <v>-0.0742886237302989</v>
      </c>
      <c r="AD194" s="25" t="n">
        <v>-0.004591817569736603</v>
      </c>
      <c r="AE194" s="25" t="n">
        <v>0.09698943012648614</v>
      </c>
      <c r="AF194" s="25" t="n">
        <v>-0.1589934940157896</v>
      </c>
      <c r="AG194" s="45" t="n">
        <v>0.1001384146216118</v>
      </c>
      <c r="AI194" s="3">
        <f t="array" ref="AI194">SQRT(INDEX(_xlfn.ANCHORARRAY($B$190),A194,A194))</f>
        <v/>
      </c>
      <c r="AJ194" s="23" t="n"/>
      <c r="AK194" s="3">
        <f>$AP$191*AI194</f>
        <v/>
      </c>
      <c r="AL194" s="105">
        <f>ABS(Y123/AK194)</f>
        <v/>
      </c>
      <c r="AM194" s="108">
        <f>IF(AL194&lt;2.5,"Spełniony","Nie spełniony")</f>
        <v/>
      </c>
      <c r="AN194" s="23" t="n"/>
      <c r="AO194" s="23" t="n"/>
      <c r="AP194" s="23" t="n"/>
      <c r="AQ194" s="23" t="n"/>
    </row>
    <row r="195">
      <c r="A195" t="n">
        <v>6</v>
      </c>
      <c r="B195" s="67" t="n">
        <v>-0.1391854210289085</v>
      </c>
      <c r="C195" s="25" t="n">
        <v>-0.01246938966554773</v>
      </c>
      <c r="D195" s="25" t="n">
        <v>-0.01490793648287277</v>
      </c>
      <c r="E195" s="25" t="n">
        <v>0.01481990015170783</v>
      </c>
      <c r="F195" s="25" t="n">
        <v>0.01129084229096589</v>
      </c>
      <c r="G195" s="25" t="n">
        <v>0.7204375393810715</v>
      </c>
      <c r="H195" s="25" t="n">
        <v>-0.1542489182553468</v>
      </c>
      <c r="I195" s="25" t="n">
        <v>0.01481987046211158</v>
      </c>
      <c r="J195" s="25" t="n">
        <v>0.02758791408413161</v>
      </c>
      <c r="K195" s="25" t="n">
        <v>-0.005413090729433585</v>
      </c>
      <c r="L195" s="25" t="n">
        <v>-0.1341420791419224</v>
      </c>
      <c r="M195" s="25" t="n">
        <v>-0.1391855523668029</v>
      </c>
      <c r="N195" s="25" t="n">
        <v>-0.1269323521644195</v>
      </c>
      <c r="O195" s="25" t="n">
        <v>0.06131674947191307</v>
      </c>
      <c r="P195" s="25" t="n">
        <v>0.04586269462568168</v>
      </c>
      <c r="Q195" s="25" t="n">
        <v>0.0171637614530663</v>
      </c>
      <c r="R195" s="25" t="n">
        <v>0.003044616827058574</v>
      </c>
      <c r="S195" s="25" t="n">
        <v>-0.008453467679187691</v>
      </c>
      <c r="T195" s="25" t="n">
        <v>0.008949590647519989</v>
      </c>
      <c r="U195" s="25" t="n">
        <v>0.02130728587910675</v>
      </c>
      <c r="V195" s="25" t="n">
        <v>0.09408548944118092</v>
      </c>
      <c r="W195" s="25" t="n">
        <v>0.03226954826776365</v>
      </c>
      <c r="X195" s="25" t="n">
        <v>0.0243782825231631</v>
      </c>
      <c r="Y195" s="25" t="n">
        <v>-0.01952587491586941</v>
      </c>
      <c r="Z195" s="25" t="n">
        <v>0.111338689920065</v>
      </c>
      <c r="AA195" s="25" t="n">
        <v>-0.2425461352363032</v>
      </c>
      <c r="AB195" s="25" t="n">
        <v>-0.1056013410370576</v>
      </c>
      <c r="AC195" s="25" t="n">
        <v>-0.02257235443881783</v>
      </c>
      <c r="AD195" s="25" t="n">
        <v>0.001915005311229234</v>
      </c>
      <c r="AE195" s="25" t="n">
        <v>-0.03952480560277689</v>
      </c>
      <c r="AF195" s="25" t="n">
        <v>0.02096200994161155</v>
      </c>
      <c r="AG195" s="45" t="n">
        <v>-0.02226412262880934</v>
      </c>
      <c r="AI195" s="3">
        <f t="array" ref="AI195">SQRT(INDEX(_xlfn.ANCHORARRAY($B$190),A195,A195))</f>
        <v/>
      </c>
      <c r="AJ195" s="23" t="n"/>
      <c r="AK195" s="3">
        <f>$AP$191*AI195</f>
        <v/>
      </c>
      <c r="AL195" s="105">
        <f>ABS(Y124/AK195)</f>
        <v/>
      </c>
      <c r="AM195" s="108">
        <f>IF(AL195&lt;2.5,"Spełniony","Nie spełniony")</f>
        <v/>
      </c>
      <c r="AN195" s="23" t="n"/>
      <c r="AO195" s="23" t="n"/>
      <c r="AP195" s="23" t="n"/>
      <c r="AQ195" s="23" t="n"/>
    </row>
    <row r="196">
      <c r="A196" t="n">
        <v>7</v>
      </c>
      <c r="B196" s="713" t="n">
        <v>0.04513482722653962</v>
      </c>
      <c r="C196" s="714" t="n">
        <v>-0.04880567663816533</v>
      </c>
      <c r="D196" s="660" t="n">
        <v>-0.01070362471181399</v>
      </c>
      <c r="E196" s="713" t="n">
        <v>-0.1305687827018136</v>
      </c>
      <c r="F196" s="715" t="n">
        <v>-0.01517069797484993</v>
      </c>
      <c r="G196" s="714" t="n">
        <v>-0.1542489182553466</v>
      </c>
      <c r="H196" s="25" t="n">
        <v>0.5488045118470303</v>
      </c>
      <c r="I196" s="25" t="n">
        <v>-0.130568521125528</v>
      </c>
      <c r="J196" s="25" t="n">
        <v>-0.06389336761552858</v>
      </c>
      <c r="K196" s="25" t="n">
        <v>0.03453645134489051</v>
      </c>
      <c r="L196" s="25" t="n">
        <v>-0.01307748436890188</v>
      </c>
      <c r="M196" s="25" t="n">
        <v>0.04513486981658314</v>
      </c>
      <c r="N196" s="25" t="n">
        <v>-0.2369683737036322</v>
      </c>
      <c r="O196" s="25" t="n">
        <v>0.1187855786454273</v>
      </c>
      <c r="P196" s="25" t="n">
        <v>0.05729726388495116</v>
      </c>
      <c r="Q196" s="25" t="n">
        <v>-0.01161137309178656</v>
      </c>
      <c r="R196" s="25" t="n">
        <v>-0.05636606390860958</v>
      </c>
      <c r="S196" s="25" t="n">
        <v>0.002236830520098237</v>
      </c>
      <c r="T196" s="25" t="n">
        <v>0.02375312073380006</v>
      </c>
      <c r="U196" s="25" t="n">
        <v>0.0445060783169491</v>
      </c>
      <c r="V196" s="25" t="n">
        <v>0.003767301379239529</v>
      </c>
      <c r="W196" s="25" t="n">
        <v>-0.07689860150519869</v>
      </c>
      <c r="X196" s="25" t="n">
        <v>-0.02091187150566187</v>
      </c>
      <c r="Y196" s="25" t="n">
        <v>-0.07534367017282129</v>
      </c>
      <c r="Z196" s="25" t="n">
        <v>0.08661350374063964</v>
      </c>
      <c r="AA196" s="25" t="n">
        <v>0.08277333806380285</v>
      </c>
      <c r="AB196" s="25" t="n">
        <v>-0.2410178548476239</v>
      </c>
      <c r="AC196" s="25" t="n">
        <v>-0.1103917403286762</v>
      </c>
      <c r="AD196" s="25" t="n">
        <v>0.01345460437067666</v>
      </c>
      <c r="AE196" s="25" t="n">
        <v>-0.02262425904999567</v>
      </c>
      <c r="AF196" s="25" t="n">
        <v>-0.02633127146592354</v>
      </c>
      <c r="AG196" s="45" t="n">
        <v>-0.003982860413864558</v>
      </c>
      <c r="AI196" s="3">
        <f t="array" ref="AI196">SQRT(INDEX(_xlfn.ANCHORARRAY($B$190),A196,A196))</f>
        <v/>
      </c>
      <c r="AJ196" s="23" t="n"/>
      <c r="AK196" s="3">
        <f>$AP$191*AI196</f>
        <v/>
      </c>
      <c r="AL196" s="105">
        <f>ABS(Y125/AK196)</f>
        <v/>
      </c>
      <c r="AM196" s="108">
        <f>IF(AL196&lt;2.5,"Spełniony","Nie spełniony")</f>
        <v/>
      </c>
      <c r="AN196" s="23" t="n"/>
      <c r="AO196" s="23" t="n"/>
      <c r="AP196" s="23" t="n"/>
      <c r="AQ196" s="23" t="n"/>
    </row>
    <row r="197" ht="17.1" customHeight="1">
      <c r="A197" t="n">
        <v>8</v>
      </c>
      <c r="B197" s="716" t="n">
        <v>-0.05777398477951481</v>
      </c>
      <c r="C197" s="717" t="n">
        <v>0.006197972459069279</v>
      </c>
      <c r="D197" s="660" t="n">
        <v>0.04099588760127026</v>
      </c>
      <c r="E197" s="716" t="n">
        <v>-0.2124733909186503</v>
      </c>
      <c r="F197" s="716" t="n">
        <v>-0.05697973296437334</v>
      </c>
      <c r="G197" s="716" t="n">
        <v>0.01481987046211164</v>
      </c>
      <c r="H197" s="477" t="n">
        <v>-0.1305685211255279</v>
      </c>
      <c r="I197" s="25" t="n">
        <v>0.7875270347420571</v>
      </c>
      <c r="J197" s="25" t="n">
        <v>-0.1419725360067574</v>
      </c>
      <c r="K197" s="25" t="n">
        <v>0.04624043725370177</v>
      </c>
      <c r="L197" s="25" t="n">
        <v>0.04894078222764071</v>
      </c>
      <c r="M197" s="25" t="n">
        <v>-0.05777403929609753</v>
      </c>
      <c r="N197" s="25" t="n">
        <v>-0.05352027740200343</v>
      </c>
      <c r="O197" s="25" t="n">
        <v>0.01998492943678064</v>
      </c>
      <c r="P197" s="25" t="n">
        <v>0.003968735222237035</v>
      </c>
      <c r="Q197" s="25" t="n">
        <v>0.001465629175530371</v>
      </c>
      <c r="R197" s="25" t="n">
        <v>-0.004197635915770022</v>
      </c>
      <c r="S197" s="25" t="n">
        <v>-0.02200029254837164</v>
      </c>
      <c r="T197" s="25" t="n">
        <v>-0.01220490574257831</v>
      </c>
      <c r="U197" s="25" t="n">
        <v>0.03422079416684989</v>
      </c>
      <c r="V197" s="25" t="n">
        <v>0.01874832077464286</v>
      </c>
      <c r="W197" s="25" t="n">
        <v>0.02524741069924055</v>
      </c>
      <c r="X197" s="25" t="n">
        <v>0.03221076262974182</v>
      </c>
      <c r="Y197" s="25" t="n">
        <v>0.05497291524463531</v>
      </c>
      <c r="Z197" s="25" t="n">
        <v>-0.2117970323065757</v>
      </c>
      <c r="AA197" s="25" t="n">
        <v>0.08061762295831537</v>
      </c>
      <c r="AB197" s="25" t="n">
        <v>-0.05037944864675722</v>
      </c>
      <c r="AC197" s="25" t="n">
        <v>-0.02622032862257329</v>
      </c>
      <c r="AD197" s="25" t="n">
        <v>-0.01973997587858168</v>
      </c>
      <c r="AE197" s="25" t="n">
        <v>0.03339378760296378</v>
      </c>
      <c r="AF197" s="25" t="n">
        <v>-0.04664844784804111</v>
      </c>
      <c r="AG197" s="45" t="n">
        <v>0.01299806507785074</v>
      </c>
      <c r="AI197" s="3">
        <f t="array" ref="AI197">SQRT(INDEX(_xlfn.ANCHORARRAY($B$190),A197,A197))</f>
        <v/>
      </c>
      <c r="AJ197" s="23" t="n"/>
      <c r="AK197" s="3">
        <f>$AP$191*AI197</f>
        <v/>
      </c>
      <c r="AL197" s="105">
        <f>ABS(Y126/AK197)</f>
        <v/>
      </c>
      <c r="AM197" s="108">
        <f>IF(AL197&lt;2.5,"Spełniony","Nie spełniony")</f>
        <v/>
      </c>
      <c r="AN197" s="23" t="n"/>
      <c r="AO197" s="23" t="n"/>
      <c r="AP197" s="23" t="n"/>
      <c r="AQ197" s="23" t="n"/>
    </row>
    <row r="198" ht="17.1" customHeight="1">
      <c r="A198" t="n">
        <v>9</v>
      </c>
      <c r="B198" s="718" t="n">
        <v>-0.04585757223888668</v>
      </c>
      <c r="C198" s="719" t="n">
        <v>-0.1013137728472479</v>
      </c>
      <c r="D198" s="660" t="n">
        <v>-0.1769381139544337</v>
      </c>
      <c r="E198" s="720" t="n">
        <v>-0.1419728204294369</v>
      </c>
      <c r="F198" s="720" t="n">
        <v>-0.05175321368569889</v>
      </c>
      <c r="G198" s="720" t="n">
        <v>0.02758791408413167</v>
      </c>
      <c r="H198" s="722" t="n">
        <v>-0.06389336761552857</v>
      </c>
      <c r="I198" s="25" t="n">
        <v>-0.1419725360067574</v>
      </c>
      <c r="J198" s="25" t="n">
        <v>0.7026774564374629</v>
      </c>
      <c r="K198" s="25" t="n">
        <v>0.03574816053024758</v>
      </c>
      <c r="L198" s="25" t="n">
        <v>0.03199067605764659</v>
      </c>
      <c r="M198" s="25" t="n">
        <v>-0.0458576155109258</v>
      </c>
      <c r="N198" s="25" t="n">
        <v>-0.01498568396165489</v>
      </c>
      <c r="O198" s="25" t="n">
        <v>0.003769014410148357</v>
      </c>
      <c r="P198" s="25" t="n">
        <v>-0.007470073491341225</v>
      </c>
      <c r="Q198" s="25" t="n">
        <v>0.01355631196258177</v>
      </c>
      <c r="R198" s="25" t="n">
        <v>-0.04853455877054019</v>
      </c>
      <c r="S198" s="25" t="n">
        <v>-0.03051075086446338</v>
      </c>
      <c r="T198" s="25" t="n">
        <v>-0.1612015325117618</v>
      </c>
      <c r="U198" s="25" t="n">
        <v>-0.08273239658714872</v>
      </c>
      <c r="V198" s="25" t="n">
        <v>0.02760432529236517</v>
      </c>
      <c r="W198" s="25" t="n">
        <v>0.04518358820132181</v>
      </c>
      <c r="X198" s="25" t="n">
        <v>0.07129452284402873</v>
      </c>
      <c r="Y198" s="25" t="n">
        <v>-0.06509343308607418</v>
      </c>
      <c r="Z198" s="25" t="n">
        <v>-0.1454617617276775</v>
      </c>
      <c r="AA198" s="25" t="n">
        <v>0.06647275847603597</v>
      </c>
      <c r="AB198" s="25" t="n">
        <v>0.08555918799064396</v>
      </c>
      <c r="AC198" s="25" t="n">
        <v>-0.04137203083868077</v>
      </c>
      <c r="AD198" s="25" t="n">
        <v>0.07970723005880434</v>
      </c>
      <c r="AE198" s="25" t="n">
        <v>-0.1446979313528875</v>
      </c>
      <c r="AF198" s="25" t="n">
        <v>0.02640696951592127</v>
      </c>
      <c r="AG198" s="45" t="n">
        <v>0.04113233734175637</v>
      </c>
      <c r="AI198" s="3">
        <f t="array" ref="AI198">SQRT(INDEX(_xlfn.ANCHORARRAY($B$190),A198,A198))</f>
        <v/>
      </c>
      <c r="AJ198" s="23" t="n"/>
      <c r="AK198" s="3">
        <f>$AP$191*AI198</f>
        <v/>
      </c>
      <c r="AL198" s="105">
        <f>ABS(Y127/AK198)</f>
        <v/>
      </c>
      <c r="AM198" s="108">
        <f>IF(AL198&lt;2.5,"Spełniony","Nie spełniony")</f>
        <v/>
      </c>
      <c r="AN198" s="23" t="n"/>
      <c r="AO198" s="23" t="n"/>
      <c r="AP198" s="23" t="n"/>
      <c r="AQ198" s="23" t="n"/>
    </row>
    <row r="199">
      <c r="A199" t="n">
        <v>10</v>
      </c>
      <c r="B199" s="723" t="n">
        <v>-0.09247792043263486</v>
      </c>
      <c r="C199" s="714" t="n">
        <v>0.008866755135934268</v>
      </c>
      <c r="D199" s="660" t="n">
        <v>-0.005026941784141626</v>
      </c>
      <c r="E199" s="720" t="n">
        <v>0.04624052989013307</v>
      </c>
      <c r="F199" s="720" t="n">
        <v>0.01374892591834694</v>
      </c>
      <c r="G199" s="720" t="n">
        <v>-0.005413090729433585</v>
      </c>
      <c r="H199" s="722" t="n">
        <v>0.03453645134489108</v>
      </c>
      <c r="I199" s="25" t="n">
        <v>0.04624043725370185</v>
      </c>
      <c r="J199" s="25" t="n">
        <v>0.03574816053024769</v>
      </c>
      <c r="K199" s="25" t="n">
        <v>0.652153057268817</v>
      </c>
      <c r="L199" s="25" t="n">
        <v>-0.249476645584585</v>
      </c>
      <c r="M199" s="25" t="n">
        <v>-0.09247800769648214</v>
      </c>
      <c r="N199" s="25" t="n">
        <v>-0.09985041514927506</v>
      </c>
      <c r="O199" s="25" t="n">
        <v>-0.1155999412317625</v>
      </c>
      <c r="P199" s="25" t="n">
        <v>-0.04853705201903767</v>
      </c>
      <c r="Q199" s="25" t="n">
        <v>0.0203874669380822</v>
      </c>
      <c r="R199" s="25" t="n">
        <v>0.02759419630632309</v>
      </c>
      <c r="S199" s="25" t="n">
        <v>0.01082470887694644</v>
      </c>
      <c r="T199" s="25" t="n">
        <v>0.00253027939770251</v>
      </c>
      <c r="U199" s="25" t="n">
        <v>-0.002023514851482151</v>
      </c>
      <c r="V199" s="25" t="n">
        <v>-0.2860384841038135</v>
      </c>
      <c r="W199" s="25" t="n">
        <v>0.0643100194397748</v>
      </c>
      <c r="X199" s="25" t="n">
        <v>0.01838902035279051</v>
      </c>
      <c r="Y199" s="25" t="n">
        <v>0.00498425801983942</v>
      </c>
      <c r="Z199" s="25" t="n">
        <v>0.04120835305477751</v>
      </c>
      <c r="AA199" s="25" t="n">
        <v>0.1571468332366312</v>
      </c>
      <c r="AB199" s="25" t="n">
        <v>0.004804267463149109</v>
      </c>
      <c r="AC199" s="25" t="n">
        <v>0.01594726958614692</v>
      </c>
      <c r="AD199" s="25" t="n">
        <v>0.003786064187979133</v>
      </c>
      <c r="AE199" s="25" t="n">
        <v>-0.0156232251034639</v>
      </c>
      <c r="AF199" s="25" t="n">
        <v>0.01381372646361697</v>
      </c>
      <c r="AG199" s="45" t="n">
        <v>0.002545076088209303</v>
      </c>
      <c r="AI199" s="3">
        <f t="array" ref="AI199">SQRT(INDEX(_xlfn.ANCHORARRAY($B$190),A199,A199))</f>
        <v/>
      </c>
      <c r="AJ199" s="23" t="n"/>
      <c r="AK199" s="3">
        <f>$AP$191*AI199</f>
        <v/>
      </c>
      <c r="AL199" s="105">
        <f>ABS(Y128/AK199)</f>
        <v/>
      </c>
      <c r="AM199" s="108">
        <f>IF(AL199&lt;2.5,"Spełniony","Nie spełniony")</f>
        <v/>
      </c>
      <c r="AN199" s="23" t="n"/>
      <c r="AO199" s="23" t="n"/>
      <c r="AP199" s="23" t="n"/>
      <c r="AQ199" s="23" t="n"/>
    </row>
    <row r="200">
      <c r="A200" t="n">
        <v>11</v>
      </c>
      <c r="B200" s="67" t="n">
        <v>-0.2139351986037583</v>
      </c>
      <c r="C200" s="25" t="n">
        <v>-0.005487470994036698</v>
      </c>
      <c r="D200" s="25" t="n">
        <v>-0.02543287522426307</v>
      </c>
      <c r="E200" s="720" t="n">
        <v>0.04894088027384605</v>
      </c>
      <c r="F200" s="720" t="n">
        <v>0.08670675533843888</v>
      </c>
      <c r="G200" s="720" t="n">
        <v>-0.1341420791419224</v>
      </c>
      <c r="H200" s="722" t="n">
        <v>-0.01307748436890179</v>
      </c>
      <c r="I200" s="25" t="n">
        <v>0.04894078222764069</v>
      </c>
      <c r="J200" s="25" t="n">
        <v>0.03199067605764658</v>
      </c>
      <c r="K200" s="25" t="n">
        <v>-0.2494766455845848</v>
      </c>
      <c r="L200" s="25" t="n">
        <v>0.5183370854035749</v>
      </c>
      <c r="M200" s="25" t="n">
        <v>-0.2139354004769019</v>
      </c>
      <c r="N200" s="25" t="n">
        <v>0.0742902360188048</v>
      </c>
      <c r="O200" s="25" t="n">
        <v>0.01771801170747692</v>
      </c>
      <c r="P200" s="25" t="n">
        <v>0.01952728897007339</v>
      </c>
      <c r="Q200" s="25" t="n">
        <v>-0.008039847935152849</v>
      </c>
      <c r="R200" s="25" t="n">
        <v>-0.003684414313008073</v>
      </c>
      <c r="S200" s="25" t="n">
        <v>0.03763639649263964</v>
      </c>
      <c r="T200" s="25" t="n">
        <v>0.06004464102056147</v>
      </c>
      <c r="U200" s="25" t="n">
        <v>-0.01392196184807679</v>
      </c>
      <c r="V200" s="25" t="n">
        <v>0.05143716502752309</v>
      </c>
      <c r="W200" s="25" t="n">
        <v>-0.0705945157142428</v>
      </c>
      <c r="X200" s="25" t="n">
        <v>-0.06639698162977054</v>
      </c>
      <c r="Y200" s="25" t="n">
        <v>-0.09177640524216175</v>
      </c>
      <c r="Z200" s="25" t="n">
        <v>0.01835953121865325</v>
      </c>
      <c r="AA200" s="25" t="n">
        <v>0.1589712063399988</v>
      </c>
      <c r="AB200" s="25" t="n">
        <v>-0.03839510492470247</v>
      </c>
      <c r="AC200" s="25" t="n">
        <v>0.00538171642970087</v>
      </c>
      <c r="AD200" s="25" t="n">
        <v>0.01595335976699705</v>
      </c>
      <c r="AE200" s="25" t="n">
        <v>-0.02718600500765819</v>
      </c>
      <c r="AF200" s="25" t="n">
        <v>0.05239642727875324</v>
      </c>
      <c r="AG200" s="45" t="n">
        <v>-0.02990896071622495</v>
      </c>
      <c r="AI200" s="3">
        <f t="array" ref="AI200">SQRT(INDEX(_xlfn.ANCHORARRAY($B$190),A200,A200))</f>
        <v/>
      </c>
      <c r="AJ200" s="23" t="n"/>
      <c r="AK200" s="3">
        <f>$AP$191*AI200</f>
        <v/>
      </c>
      <c r="AL200" s="105">
        <f>ABS(Y129/AK200)</f>
        <v/>
      </c>
      <c r="AM200" s="108">
        <f>IF(AL200&lt;2.5,"Spełniony","Nie spełniony")</f>
        <v/>
      </c>
      <c r="AN200" s="23" t="n"/>
      <c r="AO200" s="23" t="n"/>
      <c r="AP200" s="23" t="n"/>
      <c r="AQ200" s="23" t="n"/>
    </row>
    <row r="201">
      <c r="A201" t="n">
        <v>12</v>
      </c>
      <c r="B201" s="67" t="n">
        <v>-0.2682017639604348</v>
      </c>
      <c r="C201" s="25" t="n">
        <v>0.004233488184060864</v>
      </c>
      <c r="D201" s="660" t="n">
        <v>0.02457568899329071</v>
      </c>
      <c r="E201" s="720" t="n">
        <v>-0.05777415503853284</v>
      </c>
      <c r="F201" s="720" t="n">
        <v>-0.06952334623628195</v>
      </c>
      <c r="G201" s="720" t="n">
        <v>-0.139185552366803</v>
      </c>
      <c r="H201" s="722" t="n">
        <v>0.04513486981658315</v>
      </c>
      <c r="I201" s="25" t="n">
        <v>-0.0577740392960975</v>
      </c>
      <c r="J201" s="25" t="n">
        <v>-0.04585761551092579</v>
      </c>
      <c r="K201" s="25" t="n">
        <v>-0.09247800769648197</v>
      </c>
      <c r="L201" s="25" t="n">
        <v>-0.2139354004769019</v>
      </c>
      <c r="M201" s="25" t="n">
        <v>0.7317979829595036</v>
      </c>
      <c r="N201" s="25" t="n">
        <v>0.03069162001420452</v>
      </c>
      <c r="O201" s="25" t="n">
        <v>0.0151461592376087</v>
      </c>
      <c r="P201" s="25" t="n">
        <v>-0.008584050581693127</v>
      </c>
      <c r="Q201" s="25" t="n">
        <v>-0.008366940408020116</v>
      </c>
      <c r="R201" s="25" t="n">
        <v>-0.009750321593719016</v>
      </c>
      <c r="S201" s="25" t="n">
        <v>-0.02782183750643375</v>
      </c>
      <c r="T201" s="25" t="n">
        <v>-0.04564594650574685</v>
      </c>
      <c r="U201" s="25" t="n">
        <v>0.003560201693754334</v>
      </c>
      <c r="V201" s="25" t="n">
        <v>0.05096719767876999</v>
      </c>
      <c r="W201" s="25" t="n">
        <v>0.01213803132965427</v>
      </c>
      <c r="X201" s="25" t="n">
        <v>0.03062654248306165</v>
      </c>
      <c r="Y201" s="25" t="n">
        <v>0.06804149762647065</v>
      </c>
      <c r="Z201" s="25" t="n">
        <v>-0.06589844662273034</v>
      </c>
      <c r="AA201" s="25" t="n">
        <v>-0.09587482249522619</v>
      </c>
      <c r="AB201" s="25" t="n">
        <v>0.05907140034574342</v>
      </c>
      <c r="AC201" s="25" t="n">
        <v>-0.002928766162003708</v>
      </c>
      <c r="AD201" s="25" t="n">
        <v>-0.01325415747711916</v>
      </c>
      <c r="AE201" s="25" t="n">
        <v>0.03815352658992857</v>
      </c>
      <c r="AF201" s="25" t="n">
        <v>-0.04887378102106633</v>
      </c>
      <c r="AG201" s="45" t="n">
        <v>0.026973200117812</v>
      </c>
      <c r="AI201" s="3">
        <f t="array" ref="AI201">SQRT(INDEX(_xlfn.ANCHORARRAY($B$190),A201,A201))</f>
        <v/>
      </c>
      <c r="AJ201" s="23" t="n"/>
      <c r="AK201" s="3">
        <f>$AP$191*AI201</f>
        <v/>
      </c>
      <c r="AL201" s="105">
        <f>ABS(Y130/AK201)</f>
        <v/>
      </c>
      <c r="AM201" s="108">
        <f>IF(AL201&lt;2.5,"Spełniony","Nie spełniony")</f>
        <v/>
      </c>
      <c r="AN201" s="23" t="n"/>
      <c r="AO201" s="23" t="n"/>
      <c r="AP201" s="23" t="n"/>
      <c r="AQ201" s="23" t="n"/>
    </row>
    <row r="202">
      <c r="A202" t="n">
        <v>13</v>
      </c>
      <c r="B202" s="67" t="n">
        <v>0.03069159105306121</v>
      </c>
      <c r="C202" s="25" t="n">
        <v>-0.01409598140508853</v>
      </c>
      <c r="D202" s="660" t="n">
        <v>0.0004645280769878836</v>
      </c>
      <c r="E202" s="720" t="n">
        <v>-0.05352038462260494</v>
      </c>
      <c r="F202" s="720" t="n">
        <v>-0.02535121148557194</v>
      </c>
      <c r="G202" s="720" t="n">
        <v>-0.1269323521644195</v>
      </c>
      <c r="H202" s="722" t="n">
        <v>-0.236968373703632</v>
      </c>
      <c r="I202" s="25" t="n">
        <v>-0.05352027740200348</v>
      </c>
      <c r="J202" s="25" t="n">
        <v>-0.01498568396165488</v>
      </c>
      <c r="K202" s="25" t="n">
        <v>-0.0998504151492754</v>
      </c>
      <c r="L202" s="25" t="n">
        <v>0.07429023601880468</v>
      </c>
      <c r="M202" s="25" t="n">
        <v>0.03069162001420454</v>
      </c>
      <c r="N202" s="25" t="n">
        <v>0.5567465810811408</v>
      </c>
      <c r="O202" s="25" t="n">
        <v>-0.2731597589923365</v>
      </c>
      <c r="P202" s="25" t="n">
        <v>-0.1340340518869919</v>
      </c>
      <c r="Q202" s="25" t="n">
        <v>0.02879010220767068</v>
      </c>
      <c r="R202" s="25" t="n">
        <v>0.01254955105520668</v>
      </c>
      <c r="S202" s="25" t="n">
        <v>0.0283940767921964</v>
      </c>
      <c r="T202" s="25" t="n">
        <v>0.0004032975762047336</v>
      </c>
      <c r="U202" s="25" t="n">
        <v>0.0264213115318169</v>
      </c>
      <c r="V202" s="25" t="n">
        <v>-0.09113728435970905</v>
      </c>
      <c r="W202" s="25" t="n">
        <v>0.08762828794873753</v>
      </c>
      <c r="X202" s="25" t="n">
        <v>0.02731756299982885</v>
      </c>
      <c r="Y202" s="25" t="n">
        <v>-0.01331065505034201</v>
      </c>
      <c r="Z202" s="25" t="n">
        <v>0.08301089044977644</v>
      </c>
      <c r="AA202" s="25" t="n">
        <v>-0.0935088019882917</v>
      </c>
      <c r="AB202" s="25" t="n">
        <v>-0.1267049305793838</v>
      </c>
      <c r="AC202" s="25" t="n">
        <v>-0.05722642702837631</v>
      </c>
      <c r="AD202" s="25" t="n">
        <v>0.01779239553503881</v>
      </c>
      <c r="AE202" s="25" t="n">
        <v>-0.01477194774928105</v>
      </c>
      <c r="AF202" s="25" t="n">
        <v>-0.03541463818785438</v>
      </c>
      <c r="AG202" s="45" t="n">
        <v>0.04016016146369515</v>
      </c>
      <c r="AI202" s="3">
        <f t="array" ref="AI202">SQRT(INDEX(_xlfn.ANCHORARRAY($B$190),A202,A202))</f>
        <v/>
      </c>
      <c r="AJ202" s="23" t="n"/>
      <c r="AK202" s="3">
        <f>$AP$191*AI202</f>
        <v/>
      </c>
      <c r="AL202" s="105">
        <f>ABS(Y131/AK202)</f>
        <v/>
      </c>
      <c r="AM202" s="108">
        <f>IF(AL202&lt;2.5,"Spełniony","Nie spełniony")</f>
        <v/>
      </c>
      <c r="AN202" s="23" t="n"/>
      <c r="AO202" s="23" t="n"/>
      <c r="AP202" s="23" t="n"/>
      <c r="AQ202" s="23" t="n"/>
    </row>
    <row r="203">
      <c r="A203" t="n">
        <v>14</v>
      </c>
      <c r="B203" s="67" t="n">
        <v>0.01514614494543084</v>
      </c>
      <c r="C203" s="25" t="n">
        <v>0.01982617550785669</v>
      </c>
      <c r="D203" s="660" t="n">
        <v>0.003510649140802936</v>
      </c>
      <c r="E203" s="720" t="n">
        <v>0.01998496947387042</v>
      </c>
      <c r="F203" s="720" t="n">
        <v>0.04247349388827432</v>
      </c>
      <c r="G203" s="720" t="n">
        <v>0.06131674947191285</v>
      </c>
      <c r="H203" s="722" t="n">
        <v>0.1187855786454275</v>
      </c>
      <c r="I203" s="25" t="n">
        <v>0.01998492943678059</v>
      </c>
      <c r="J203" s="25" t="n">
        <v>0.003769014410148389</v>
      </c>
      <c r="K203" s="25" t="n">
        <v>-0.1155999412317623</v>
      </c>
      <c r="L203" s="25" t="n">
        <v>0.01771801170747699</v>
      </c>
      <c r="M203" s="25" t="n">
        <v>0.01514615923760865</v>
      </c>
      <c r="N203" s="25" t="n">
        <v>-0.2731597589923364</v>
      </c>
      <c r="O203" s="25" t="n">
        <v>0.4336847153106745</v>
      </c>
      <c r="P203" s="25" t="n">
        <v>-0.2905906719442367</v>
      </c>
      <c r="Q203" s="25" t="n">
        <v>0.01590599732379982</v>
      </c>
      <c r="R203" s="25" t="n">
        <v>0.04295683231415231</v>
      </c>
      <c r="S203" s="25" t="n">
        <v>0.09499301630632011</v>
      </c>
      <c r="T203" s="25" t="n">
        <v>0.03579506128178236</v>
      </c>
      <c r="U203" s="25" t="n">
        <v>-0.03239119616868814</v>
      </c>
      <c r="V203" s="25" t="n">
        <v>0.1156614215500506</v>
      </c>
      <c r="W203" s="25" t="n">
        <v>0.05511647202609016</v>
      </c>
      <c r="X203" s="25" t="n">
        <v>-0.05322007639087649</v>
      </c>
      <c r="Y203" s="25" t="n">
        <v>-0.04289283619760294</v>
      </c>
      <c r="Z203" s="25" t="n">
        <v>-0.07573538474841038</v>
      </c>
      <c r="AA203" s="25" t="n">
        <v>0.001070403760748961</v>
      </c>
      <c r="AB203" s="25" t="n">
        <v>0.06663729985252018</v>
      </c>
      <c r="AC203" s="25" t="n">
        <v>0.01554422473829415</v>
      </c>
      <c r="AD203" s="25" t="n">
        <v>0.03343696626775939</v>
      </c>
      <c r="AE203" s="25" t="n">
        <v>0.0233439659025904</v>
      </c>
      <c r="AF203" s="25" t="n">
        <v>-0.01756903318158443</v>
      </c>
      <c r="AG203" s="45" t="n">
        <v>0.06770564858931299</v>
      </c>
      <c r="AI203" s="3">
        <f t="array" ref="AI203">SQRT(INDEX(_xlfn.ANCHORARRAY($B$190),A203,A203))</f>
        <v/>
      </c>
      <c r="AJ203" s="23" t="n"/>
      <c r="AK203" s="3">
        <f>$AP$191*AI203</f>
        <v/>
      </c>
      <c r="AL203" s="105">
        <f>ABS(Y132/AK203)</f>
        <v/>
      </c>
      <c r="AM203" s="108">
        <f>IF(AL203&lt;2.5,"Spełniony","Nie spełniony")</f>
        <v/>
      </c>
      <c r="AN203" s="23" t="n"/>
      <c r="AO203" s="23" t="n"/>
      <c r="AP203" s="23" t="n"/>
      <c r="AQ203" s="23" t="n"/>
    </row>
    <row r="204">
      <c r="A204" t="n">
        <v>15</v>
      </c>
      <c r="B204" s="67" t="n">
        <v>-0.008584042481634666</v>
      </c>
      <c r="C204" s="25" t="n">
        <v>-0.01858441148654727</v>
      </c>
      <c r="D204" s="660" t="n">
        <v>-0.003131776947444336</v>
      </c>
      <c r="E204" s="720" t="n">
        <v>0.003968743173058456</v>
      </c>
      <c r="F204" s="720" t="n">
        <v>-0.04229270036195826</v>
      </c>
      <c r="G204" s="720" t="n">
        <v>0.04586269462568137</v>
      </c>
      <c r="H204" s="722" t="n">
        <v>0.05729726388495096</v>
      </c>
      <c r="I204" s="25" t="n">
        <v>0.003968735222236856</v>
      </c>
      <c r="J204" s="25" t="n">
        <v>-0.007470073491341322</v>
      </c>
      <c r="K204" s="25" t="n">
        <v>-0.04853705201903753</v>
      </c>
      <c r="L204" s="25" t="n">
        <v>0.01952728897007344</v>
      </c>
      <c r="M204" s="25" t="n">
        <v>-0.008584050581693207</v>
      </c>
      <c r="N204" s="25" t="n">
        <v>-0.1340340518869921</v>
      </c>
      <c r="O204" s="25" t="n">
        <v>-0.2905906719442367</v>
      </c>
      <c r="P204" s="25" t="n">
        <v>0.5884006026819262</v>
      </c>
      <c r="Q204" s="25" t="n">
        <v>-0.06338685086312879</v>
      </c>
      <c r="R204" s="25" t="n">
        <v>-0.08945895751375971</v>
      </c>
      <c r="S204" s="25" t="n">
        <v>-0.1737338358272418</v>
      </c>
      <c r="T204" s="25" t="n">
        <v>-0.05393611486041217</v>
      </c>
      <c r="U204" s="25" t="n">
        <v>0.02066744994302162</v>
      </c>
      <c r="V204" s="25" t="n">
        <v>0.06752822741202821</v>
      </c>
      <c r="W204" s="25" t="n">
        <v>-0.203831673700492</v>
      </c>
      <c r="X204" s="25" t="n">
        <v>0.04007315193529279</v>
      </c>
      <c r="Y204" s="25" t="n">
        <v>0.07408893127021693</v>
      </c>
      <c r="Z204" s="25" t="n">
        <v>0.003456667753064295</v>
      </c>
      <c r="AA204" s="25" t="n">
        <v>0.0186846953298897</v>
      </c>
      <c r="AB204" s="25" t="n">
        <v>0.03281542044394256</v>
      </c>
      <c r="AC204" s="25" t="n">
        <v>0.02927304893432862</v>
      </c>
      <c r="AD204" s="25" t="n">
        <v>-0.06929497112414769</v>
      </c>
      <c r="AE204" s="25" t="n">
        <v>-0.0109320955913615</v>
      </c>
      <c r="AF204" s="25" t="n">
        <v>0.05586893460949161</v>
      </c>
      <c r="AG204" s="45" t="n">
        <v>-0.1421084268527537</v>
      </c>
      <c r="AI204" s="3">
        <f t="array" ref="AI204">SQRT(INDEX(_xlfn.ANCHORARRAY($B$190),A204,A204))</f>
        <v/>
      </c>
      <c r="AJ204" s="23" t="n"/>
      <c r="AK204" s="3">
        <f>$AP$191*AI204</f>
        <v/>
      </c>
      <c r="AL204" s="105">
        <f>ABS(Y133/AK204)</f>
        <v/>
      </c>
      <c r="AM204" s="108">
        <f>IF(AL204&lt;2.5,"Spełniony","Nie spełniony")</f>
        <v/>
      </c>
      <c r="AN204" s="23" t="n"/>
      <c r="AO204" s="23" t="n"/>
      <c r="AP204" s="23" t="n"/>
      <c r="AQ204" s="23" t="n"/>
    </row>
    <row r="205">
      <c r="A205" t="n">
        <v>16</v>
      </c>
      <c r="B205" s="67" t="n">
        <v>-0.008366932512830489</v>
      </c>
      <c r="C205" s="25" t="n">
        <v>0.003837056241899384</v>
      </c>
      <c r="D205" s="660" t="n">
        <v>0.005925683265346884</v>
      </c>
      <c r="E205" s="720" t="n">
        <v>0.001465632111719311</v>
      </c>
      <c r="F205" s="720" t="n">
        <v>-0.05234695305005962</v>
      </c>
      <c r="G205" s="720" t="n">
        <v>0.01716376145306638</v>
      </c>
      <c r="H205" s="722" t="n">
        <v>-0.0116113730917864</v>
      </c>
      <c r="I205" s="25" t="n">
        <v>0.001465629175530447</v>
      </c>
      <c r="J205" s="25" t="n">
        <v>0.01355631196258183</v>
      </c>
      <c r="K205" s="25" t="n">
        <v>0.02038746693808231</v>
      </c>
      <c r="L205" s="25" t="n">
        <v>-0.00803984793515293</v>
      </c>
      <c r="M205" s="25" t="n">
        <v>-0.008366940408020128</v>
      </c>
      <c r="N205" s="25" t="n">
        <v>0.02879010220767081</v>
      </c>
      <c r="O205" s="25" t="n">
        <v>0.01590599732379963</v>
      </c>
      <c r="P205" s="25" t="n">
        <v>-0.06338685086312891</v>
      </c>
      <c r="Q205" s="25" t="n">
        <v>0.6535965526220093</v>
      </c>
      <c r="R205" s="25" t="n">
        <v>-0.221384468774407</v>
      </c>
      <c r="S205" s="25" t="n">
        <v>-0.1212732773161303</v>
      </c>
      <c r="T205" s="25" t="n">
        <v>-0.05885822557545135</v>
      </c>
      <c r="U205" s="25" t="n">
        <v>0.04390850887548932</v>
      </c>
      <c r="V205" s="25" t="n">
        <v>0.03501507130638296</v>
      </c>
      <c r="W205" s="25" t="n">
        <v>0.0776998871817302</v>
      </c>
      <c r="X205" s="25" t="n">
        <v>-0.3234943389455389</v>
      </c>
      <c r="Y205" s="25" t="n">
        <v>0.1178159900777391</v>
      </c>
      <c r="Z205" s="25" t="n">
        <v>0.05046742861932423</v>
      </c>
      <c r="AA205" s="25" t="n">
        <v>0.04249596176036233</v>
      </c>
      <c r="AB205" s="25" t="n">
        <v>-0.02846735973433361</v>
      </c>
      <c r="AC205" s="25" t="n">
        <v>0.03455265326717114</v>
      </c>
      <c r="AD205" s="25" t="n">
        <v>-0.06069251331754108</v>
      </c>
      <c r="AE205" s="25" t="n">
        <v>-0.04077265814975147</v>
      </c>
      <c r="AF205" s="25" t="n">
        <v>0.048315073261568</v>
      </c>
      <c r="AG205" s="45" t="n">
        <v>0.09132340710983852</v>
      </c>
      <c r="AI205" s="3">
        <f t="array" ref="AI205">SQRT(INDEX(_xlfn.ANCHORARRAY($B$190),A205,A205))</f>
        <v/>
      </c>
      <c r="AJ205" s="23" t="n"/>
      <c r="AK205" s="3">
        <f>$AP$191*AI205</f>
        <v/>
      </c>
      <c r="AL205" s="105">
        <f>ABS(Y134/AK205)</f>
        <v/>
      </c>
      <c r="AM205" s="108">
        <f>IF(AL205&lt;2.5,"Spełniony","Nie spełniony")</f>
        <v/>
      </c>
      <c r="AN205" s="23" t="n"/>
      <c r="AO205" s="23" t="n"/>
      <c r="AP205" s="23" t="n"/>
      <c r="AQ205" s="23" t="n"/>
    </row>
    <row r="206">
      <c r="A206" t="n">
        <v>17</v>
      </c>
      <c r="B206" s="67" t="n">
        <v>-0.009750312393146939</v>
      </c>
      <c r="C206" s="25" t="n">
        <v>-0.108952673352034</v>
      </c>
      <c r="D206" s="660" t="n">
        <v>-0.03084690565711994</v>
      </c>
      <c r="E206" s="720" t="n">
        <v>-0.004197644325163032</v>
      </c>
      <c r="F206" s="720" t="n">
        <v>-0.08484614508981467</v>
      </c>
      <c r="G206" s="720" t="n">
        <v>0.00304461682705854</v>
      </c>
      <c r="H206" s="722" t="n">
        <v>-0.05636606390860956</v>
      </c>
      <c r="I206" s="25" t="n">
        <v>-0.004197635915769989</v>
      </c>
      <c r="J206" s="25" t="n">
        <v>-0.04853455877054016</v>
      </c>
      <c r="K206" s="25" t="n">
        <v>0.0275941963063231</v>
      </c>
      <c r="L206" s="25" t="n">
        <v>-0.003684414313008068</v>
      </c>
      <c r="M206" s="25" t="n">
        <v>-0.009750321593719021</v>
      </c>
      <c r="N206" s="25" t="n">
        <v>0.01254955105520668</v>
      </c>
      <c r="O206" s="25" t="n">
        <v>0.04295683231415228</v>
      </c>
      <c r="P206" s="25" t="n">
        <v>-0.08945895751375982</v>
      </c>
      <c r="Q206" s="25" t="n">
        <v>-0.221384468774407</v>
      </c>
      <c r="R206" s="25" t="n">
        <v>0.7005532267600089</v>
      </c>
      <c r="S206" s="25" t="n">
        <v>-0.1748387877665421</v>
      </c>
      <c r="T206" s="25" t="n">
        <v>-0.06391366553025066</v>
      </c>
      <c r="U206" s="25" t="n">
        <v>-0.02859452078033481</v>
      </c>
      <c r="V206" s="25" t="n">
        <v>0.02703196302635892</v>
      </c>
      <c r="W206" s="25" t="n">
        <v>0.07702658986002545</v>
      </c>
      <c r="X206" s="25" t="n">
        <v>-0.1735173684681964</v>
      </c>
      <c r="Y206" s="25" t="n">
        <v>-0.07370067709204418</v>
      </c>
      <c r="Z206" s="25" t="n">
        <v>0.09484986918598888</v>
      </c>
      <c r="AA206" s="25" t="n">
        <v>0.04830962348786739</v>
      </c>
      <c r="AB206" s="25" t="n">
        <v>0.07378965825232695</v>
      </c>
      <c r="AC206" s="25" t="n">
        <v>-0.09158621463849898</v>
      </c>
      <c r="AD206" s="25" t="n">
        <v>-0.03941540646330359</v>
      </c>
      <c r="AE206" s="25" t="n">
        <v>0.07703071253622144</v>
      </c>
      <c r="AF206" s="25" t="n">
        <v>-0.03038704814879137</v>
      </c>
      <c r="AG206" s="45" t="n">
        <v>-0.1137941696104212</v>
      </c>
      <c r="AI206" s="3">
        <f t="array" ref="AI206">SQRT(INDEX(_xlfn.ANCHORARRAY($B$190),A206,A206))</f>
        <v/>
      </c>
      <c r="AJ206" s="23" t="n"/>
      <c r="AK206" s="3">
        <f>$AP$191*AI206</f>
        <v/>
      </c>
      <c r="AL206" s="105">
        <f>ABS(Y135/AK206)</f>
        <v/>
      </c>
      <c r="AM206" s="108">
        <f>IF(AL206&lt;2.5,"Spełniony","Nie spełniony")</f>
        <v/>
      </c>
      <c r="AN206" s="23" t="n"/>
      <c r="AO206" s="23" t="n"/>
      <c r="AP206" s="23" t="n"/>
      <c r="AQ206" s="23" t="n"/>
    </row>
    <row r="207">
      <c r="A207" t="n">
        <v>18</v>
      </c>
      <c r="B207" s="67" t="n">
        <v>-0.02782181125326678</v>
      </c>
      <c r="C207" s="25" t="n">
        <v>-0.04535066182825852</v>
      </c>
      <c r="D207" s="25" t="n">
        <v>-0.01237076956309818</v>
      </c>
      <c r="E207" s="720" t="n">
        <v>-0.02200033662296767</v>
      </c>
      <c r="F207" s="720" t="n">
        <v>-0.05426570177481099</v>
      </c>
      <c r="G207" s="720" t="n">
        <v>-0.008453467679187799</v>
      </c>
      <c r="H207" s="722" t="n">
        <v>0.002236830520098043</v>
      </c>
      <c r="I207" s="25" t="n">
        <v>-0.02200029254837175</v>
      </c>
      <c r="J207" s="25" t="n">
        <v>-0.03051075086446347</v>
      </c>
      <c r="K207" s="25" t="n">
        <v>0.01082470887694639</v>
      </c>
      <c r="L207" s="25" t="n">
        <v>0.03763639649263952</v>
      </c>
      <c r="M207" s="25" t="n">
        <v>-0.02782183750643379</v>
      </c>
      <c r="N207" s="25" t="n">
        <v>0.02839407679219632</v>
      </c>
      <c r="O207" s="25" t="n">
        <v>0.09499301630632022</v>
      </c>
      <c r="P207" s="25" t="n">
        <v>-0.1737338358272417</v>
      </c>
      <c r="Q207" s="25" t="n">
        <v>-0.1212732773161304</v>
      </c>
      <c r="R207" s="25" t="n">
        <v>-0.174838787766542</v>
      </c>
      <c r="S207" s="25" t="n">
        <v>0.7128468505601673</v>
      </c>
      <c r="T207" s="25" t="n">
        <v>-0.0702844403879498</v>
      </c>
      <c r="U207" s="25" t="n">
        <v>0.03900577746272685</v>
      </c>
      <c r="V207" s="25" t="n">
        <v>-0.07707635473533497</v>
      </c>
      <c r="W207" s="25" t="n">
        <v>-0.002747577682160654</v>
      </c>
      <c r="X207" s="25" t="n">
        <v>0.03538571695619282</v>
      </c>
      <c r="Y207" s="25" t="n">
        <v>0.08265939564735429</v>
      </c>
      <c r="Z207" s="25" t="n">
        <v>0.005962368012945855</v>
      </c>
      <c r="AA207" s="25" t="n">
        <v>-0.04418354819899732</v>
      </c>
      <c r="AB207" s="25" t="n">
        <v>0.001918295736562158</v>
      </c>
      <c r="AC207" s="25" t="n">
        <v>0.02536236551905521</v>
      </c>
      <c r="AD207" s="25" t="n">
        <v>-0.1119280733352027</v>
      </c>
      <c r="AE207" s="25" t="n">
        <v>-0.02298833829254934</v>
      </c>
      <c r="AF207" s="25" t="n">
        <v>0.09943967232344997</v>
      </c>
      <c r="AG207" s="45" t="n">
        <v>-0.2512404034222373</v>
      </c>
      <c r="AI207" s="3">
        <f t="array" ref="AI207">SQRT(INDEX(_xlfn.ANCHORARRAY($B$190),A207,A207))</f>
        <v/>
      </c>
      <c r="AJ207" s="23" t="n"/>
      <c r="AK207" s="3">
        <f>$AP$191*AI207</f>
        <v/>
      </c>
      <c r="AL207" s="105">
        <f>ABS(Y136/AK207)</f>
        <v/>
      </c>
      <c r="AM207" s="108">
        <f>IF(AL207&lt;2.5,"Spełniony","Nie spełniony")</f>
        <v/>
      </c>
      <c r="AN207" s="23" t="n"/>
      <c r="AO207" s="23" t="n"/>
      <c r="AP207" s="23" t="n"/>
      <c r="AQ207" s="23" t="n"/>
    </row>
    <row r="208">
      <c r="A208" t="n">
        <v>19</v>
      </c>
      <c r="B208" s="67" t="n">
        <v>-0.04564590343344233</v>
      </c>
      <c r="C208" s="25" t="n">
        <v>-0.05917312953627956</v>
      </c>
      <c r="D208" s="25" t="n">
        <v>-0.1758077461635875</v>
      </c>
      <c r="E208" s="720" t="n">
        <v>-0.01220493019344804</v>
      </c>
      <c r="F208" s="720" t="n">
        <v>-0.1303474173559649</v>
      </c>
      <c r="G208" s="720" t="n">
        <v>0.008949590647520191</v>
      </c>
      <c r="H208" s="722" t="n">
        <v>0.02375312073380027</v>
      </c>
      <c r="I208" s="25" t="n">
        <v>-0.01220490574257822</v>
      </c>
      <c r="J208" s="25" t="n">
        <v>-0.1612015325117618</v>
      </c>
      <c r="K208" s="25" t="n">
        <v>0.002530279397702308</v>
      </c>
      <c r="L208" s="25" t="n">
        <v>0.0600446410205614</v>
      </c>
      <c r="M208" s="25" t="n">
        <v>-0.04564594650574683</v>
      </c>
      <c r="N208" s="25" t="n">
        <v>0.0004032975762048056</v>
      </c>
      <c r="O208" s="25" t="n">
        <v>0.03579506128178224</v>
      </c>
      <c r="P208" s="25" t="n">
        <v>-0.05393611486041229</v>
      </c>
      <c r="Q208" s="25" t="n">
        <v>-0.05885822557545129</v>
      </c>
      <c r="R208" s="25" t="n">
        <v>-0.06391366553025064</v>
      </c>
      <c r="S208" s="25" t="n">
        <v>-0.07028444038794979</v>
      </c>
      <c r="T208" s="25" t="n">
        <v>0.6975576430861032</v>
      </c>
      <c r="U208" s="25" t="n">
        <v>-0.224415939916369</v>
      </c>
      <c r="V208" s="25" t="n">
        <v>-0.07978449557363052</v>
      </c>
      <c r="W208" s="25" t="n">
        <v>-0.06004763105333378</v>
      </c>
      <c r="X208" s="25" t="n">
        <v>0.04042429329945467</v>
      </c>
      <c r="Y208" s="25" t="n">
        <v>0.08034070555508645</v>
      </c>
      <c r="Z208" s="25" t="n">
        <v>0.06746954468359603</v>
      </c>
      <c r="AA208" s="25" t="n">
        <v>-0.04840241691117293</v>
      </c>
      <c r="AB208" s="25" t="n">
        <v>0.008990078758796663</v>
      </c>
      <c r="AC208" s="25" t="n">
        <v>0.1242174493960979</v>
      </c>
      <c r="AD208" s="25" t="n">
        <v>0.06884697809149985</v>
      </c>
      <c r="AE208" s="25" t="n">
        <v>-0.02693051580850904</v>
      </c>
      <c r="AF208" s="25" t="n">
        <v>-0.01607943593204892</v>
      </c>
      <c r="AG208" s="45" t="n">
        <v>0.1078517158796179</v>
      </c>
      <c r="AI208" s="3">
        <f t="array" ref="AI208">SQRT(INDEX(_xlfn.ANCHORARRAY($B$190),A208,A208))</f>
        <v/>
      </c>
      <c r="AJ208" s="23" t="n"/>
      <c r="AK208" s="3">
        <f>$AP$191*AI208</f>
        <v/>
      </c>
      <c r="AL208" s="105">
        <f>ABS(Y137/AK208)</f>
        <v/>
      </c>
      <c r="AM208" s="108">
        <f>IF(AL208&lt;2.5,"Spełniony","Nie spełniony")</f>
        <v/>
      </c>
      <c r="AN208" s="23" t="n"/>
      <c r="AO208" s="23" t="n"/>
      <c r="AP208" s="23" t="n"/>
      <c r="AQ208" s="23" t="n"/>
    </row>
    <row r="209">
      <c r="A209" t="n">
        <v>20</v>
      </c>
      <c r="B209" s="67" t="n">
        <v>0.003560198334286386</v>
      </c>
      <c r="C209" s="25" t="n">
        <v>-0.04185154404291293</v>
      </c>
      <c r="D209" s="25" t="n">
        <v>-0.1696859131928916</v>
      </c>
      <c r="E209" s="720" t="n">
        <v>0.03422086272355989</v>
      </c>
      <c r="F209" s="720" t="n">
        <v>-0.004448407965700993</v>
      </c>
      <c r="G209" s="720" t="n">
        <v>0.02130728587910697</v>
      </c>
      <c r="H209" s="722" t="n">
        <v>0.04450607831694944</v>
      </c>
      <c r="I209" s="25" t="n">
        <v>0.03422079416684995</v>
      </c>
      <c r="J209" s="25" t="n">
        <v>-0.08273239658714879</v>
      </c>
      <c r="K209" s="25" t="n">
        <v>-0.002023514851482337</v>
      </c>
      <c r="L209" s="25" t="n">
        <v>-0.01392196184807688</v>
      </c>
      <c r="M209" s="25" t="n">
        <v>0.003560201693754286</v>
      </c>
      <c r="N209" s="25" t="n">
        <v>0.02642131153181706</v>
      </c>
      <c r="O209" s="25" t="n">
        <v>-0.03239119616868834</v>
      </c>
      <c r="P209" s="25" t="n">
        <v>0.02066744994302128</v>
      </c>
      <c r="Q209" s="25" t="n">
        <v>0.04390850887548957</v>
      </c>
      <c r="R209" s="25" t="n">
        <v>-0.02859452078033484</v>
      </c>
      <c r="S209" s="25" t="n">
        <v>0.03900577746272664</v>
      </c>
      <c r="T209" s="25" t="n">
        <v>-0.224415939916369</v>
      </c>
      <c r="U209" s="25" t="n">
        <v>0.5535380212213841</v>
      </c>
      <c r="V209" s="25" t="n">
        <v>0.03037567997088191</v>
      </c>
      <c r="W209" s="25" t="n">
        <v>0.0312857395094793</v>
      </c>
      <c r="X209" s="25" t="n">
        <v>0.007014669068348578</v>
      </c>
      <c r="Y209" s="25" t="n">
        <v>-0.1121338410077919</v>
      </c>
      <c r="Z209" s="25" t="n">
        <v>0.03005010928007692</v>
      </c>
      <c r="AA209" s="25" t="n">
        <v>0.01340764317900517</v>
      </c>
      <c r="AB209" s="25" t="n">
        <v>-0.1162500247010712</v>
      </c>
      <c r="AC209" s="25" t="n">
        <v>0.2303956436212686</v>
      </c>
      <c r="AD209" s="25" t="n">
        <v>0.1233017854295557</v>
      </c>
      <c r="AE209" s="25" t="n">
        <v>0.2120568970980383</v>
      </c>
      <c r="AF209" s="25" t="n">
        <v>-0.06844466888352857</v>
      </c>
      <c r="AG209" s="45" t="n">
        <v>-0.02933254648612179</v>
      </c>
      <c r="AI209" s="3">
        <f t="array" ref="AI209">SQRT(INDEX(_xlfn.ANCHORARRAY($B$190),A209,A209))</f>
        <v/>
      </c>
      <c r="AJ209" s="23" t="n"/>
      <c r="AK209" s="3">
        <f>$AP$191*AI209</f>
        <v/>
      </c>
      <c r="AL209" s="105">
        <f>ABS(Y138/AK209)</f>
        <v/>
      </c>
      <c r="AM209" s="108">
        <f>IF(AL209&lt;2.5,"Spełniony","Nie spełniony")</f>
        <v/>
      </c>
      <c r="AN209" s="23" t="n"/>
      <c r="AO209" s="23" t="n"/>
      <c r="AP209" s="23" t="n"/>
      <c r="AQ209" s="23" t="n"/>
    </row>
    <row r="210">
      <c r="A210" t="n">
        <v>21</v>
      </c>
      <c r="B210" s="67" t="n">
        <v>0.05096714958524068</v>
      </c>
      <c r="C210" s="25" t="n">
        <v>0.00958422251008248</v>
      </c>
      <c r="D210" s="25" t="n">
        <v>0.01560777072367286</v>
      </c>
      <c r="E210" s="720" t="n">
        <v>0.0187483583343554</v>
      </c>
      <c r="F210" s="720" t="n">
        <v>-0.09180776140412067</v>
      </c>
      <c r="G210" s="720" t="n">
        <v>0.09408548944118132</v>
      </c>
      <c r="H210" s="722" t="n">
        <v>0.003767301379240136</v>
      </c>
      <c r="I210" s="25" t="n">
        <v>0.01874832077464293</v>
      </c>
      <c r="J210" s="25" t="n">
        <v>0.02760432529236529</v>
      </c>
      <c r="K210" s="25" t="n">
        <v>-0.2860384841038139</v>
      </c>
      <c r="L210" s="25" t="n">
        <v>0.05143716502752256</v>
      </c>
      <c r="M210" s="25" t="n">
        <v>0.05096719767876989</v>
      </c>
      <c r="N210" s="25" t="n">
        <v>-0.09113728435970864</v>
      </c>
      <c r="O210" s="25" t="n">
        <v>0.1156614215500507</v>
      </c>
      <c r="P210" s="25" t="n">
        <v>0.06752822741202785</v>
      </c>
      <c r="Q210" s="25" t="n">
        <v>0.03501507130638263</v>
      </c>
      <c r="R210" s="25" t="n">
        <v>0.02703196302635888</v>
      </c>
      <c r="S210" s="25" t="n">
        <v>-0.07707635473533507</v>
      </c>
      <c r="T210" s="25" t="n">
        <v>-0.07978449557363043</v>
      </c>
      <c r="U210" s="25" t="n">
        <v>0.03037567997088211</v>
      </c>
      <c r="V210" s="25" t="n">
        <v>0.3701133332610684</v>
      </c>
      <c r="W210" s="25" t="n">
        <v>0.1548308000819419</v>
      </c>
      <c r="X210" s="25" t="n">
        <v>0.1339296935131807</v>
      </c>
      <c r="Y210" s="25" t="n">
        <v>0.1305565697008588</v>
      </c>
      <c r="Z210" s="25" t="n">
        <v>0.09914022786515306</v>
      </c>
      <c r="AA210" s="25" t="n">
        <v>0.111429375577797</v>
      </c>
      <c r="AB210" s="25" t="n">
        <v>0.008801318492881511</v>
      </c>
      <c r="AC210" s="25" t="n">
        <v>0.01331820021987724</v>
      </c>
      <c r="AD210" s="25" t="n">
        <v>-0.03000471012522176</v>
      </c>
      <c r="AE210" s="25" t="n">
        <v>-0.0132057868442596</v>
      </c>
      <c r="AF210" s="25" t="n">
        <v>-0.01984113421164764</v>
      </c>
      <c r="AG210" s="45" t="n">
        <v>-0.004722223728076246</v>
      </c>
      <c r="AI210" s="3">
        <f t="array" ref="AI210">SQRT(INDEX(_xlfn.ANCHORARRAY($B$190),A210,A210))</f>
        <v/>
      </c>
      <c r="AJ210" s="23" t="n"/>
      <c r="AK210" s="3">
        <f>$AP$191*AI210</f>
        <v/>
      </c>
      <c r="AL210" s="105">
        <f>ABS(Y139/AK210)</f>
        <v/>
      </c>
      <c r="AM210" s="108">
        <f>IF(AL210&lt;2.5,"Spełniony","Nie spełniony")</f>
        <v/>
      </c>
      <c r="AN210" s="23" t="n"/>
      <c r="AO210" s="23" t="n"/>
      <c r="AP210" s="23" t="n"/>
      <c r="AQ210" s="23" t="n"/>
    </row>
    <row r="211">
      <c r="A211" t="n">
        <v>22</v>
      </c>
      <c r="B211" s="67" t="n">
        <v>0.01213801987599792</v>
      </c>
      <c r="C211" s="25" t="n">
        <v>0.01604003709737202</v>
      </c>
      <c r="D211" s="25" t="n">
        <v>0.01398424104635086</v>
      </c>
      <c r="E211" s="720" t="n">
        <v>0.02524746127899623</v>
      </c>
      <c r="F211" s="720" t="n">
        <v>-0.0784494544619859</v>
      </c>
      <c r="G211" s="720" t="n">
        <v>0.03226954826776367</v>
      </c>
      <c r="H211" s="722" t="n">
        <v>-0.07689860150519923</v>
      </c>
      <c r="I211" s="25" t="n">
        <v>0.02524741069924041</v>
      </c>
      <c r="J211" s="25" t="n">
        <v>0.04518358820132172</v>
      </c>
      <c r="K211" s="25" t="n">
        <v>0.06431001943977481</v>
      </c>
      <c r="L211" s="25" t="n">
        <v>-0.07059451571424286</v>
      </c>
      <c r="M211" s="25" t="n">
        <v>0.01213803132965425</v>
      </c>
      <c r="N211" s="25" t="n">
        <v>0.08762828794873707</v>
      </c>
      <c r="O211" s="25" t="n">
        <v>0.05511647202608969</v>
      </c>
      <c r="P211" s="25" t="n">
        <v>-0.2038316737004922</v>
      </c>
      <c r="Q211" s="25" t="n">
        <v>0.07769988718173056</v>
      </c>
      <c r="R211" s="25" t="n">
        <v>0.07702658986002539</v>
      </c>
      <c r="S211" s="25" t="n">
        <v>-0.002747577682160406</v>
      </c>
      <c r="T211" s="25" t="n">
        <v>-0.06004763105333356</v>
      </c>
      <c r="U211" s="25" t="n">
        <v>0.03128573950947944</v>
      </c>
      <c r="V211" s="25" t="n">
        <v>0.1548308000819428</v>
      </c>
      <c r="W211" s="25" t="n">
        <v>0.2896967764244814</v>
      </c>
      <c r="X211" s="25" t="n">
        <v>0.1401282589207329</v>
      </c>
      <c r="Y211" s="25" t="n">
        <v>0.1038672445807907</v>
      </c>
      <c r="Z211" s="25" t="n">
        <v>0.1495565618439651</v>
      </c>
      <c r="AA211" s="25" t="n">
        <v>0.1619203581480871</v>
      </c>
      <c r="AB211" s="25" t="n">
        <v>-0.04277484341563562</v>
      </c>
      <c r="AC211" s="25" t="n">
        <v>-0.007069352763494584</v>
      </c>
      <c r="AD211" s="25" t="n">
        <v>0.001548537864885128</v>
      </c>
      <c r="AE211" s="25" t="n">
        <v>-0.02338047658937383</v>
      </c>
      <c r="AF211" s="25" t="n">
        <v>-0.04295081034172542</v>
      </c>
      <c r="AG211" s="45" t="n">
        <v>0.05829359216140494</v>
      </c>
      <c r="AI211" s="3">
        <f t="array" ref="AI211">SQRT(INDEX(_xlfn.ANCHORARRAY($B$190),A211,A211))</f>
        <v/>
      </c>
      <c r="AJ211" s="23" t="n"/>
      <c r="AK211" s="3">
        <f>$AP$191*AI211</f>
        <v/>
      </c>
      <c r="AL211" s="105">
        <f>ABS(Y140/AK211)</f>
        <v/>
      </c>
      <c r="AM211" s="108">
        <f>IF(AL211&lt;2.5,"Spełniony","Nie spełniony")</f>
        <v/>
      </c>
      <c r="AN211" s="23" t="n"/>
      <c r="AO211" s="23" t="n"/>
      <c r="AP211" s="23" t="n"/>
      <c r="AQ211" s="23" t="n"/>
    </row>
    <row r="212">
      <c r="A212" t="n">
        <v>23</v>
      </c>
      <c r="B212" s="67" t="n">
        <v>0.03062651358332652</v>
      </c>
      <c r="C212" s="25" t="n">
        <v>0.0923056652380614</v>
      </c>
      <c r="D212" s="25" t="n">
        <v>0.03161948580277266</v>
      </c>
      <c r="E212" s="720" t="n">
        <v>0.03221082715962688</v>
      </c>
      <c r="F212" s="720" t="n">
        <v>0.02862811631971878</v>
      </c>
      <c r="G212" s="720" t="n">
        <v>0.02437828252316324</v>
      </c>
      <c r="H212" s="722" t="n">
        <v>-0.02091187150566154</v>
      </c>
      <c r="I212" s="25" t="n">
        <v>0.0322107626297419</v>
      </c>
      <c r="J212" s="25" t="n">
        <v>0.07129452284402882</v>
      </c>
      <c r="K212" s="25" t="n">
        <v>0.01838902035279057</v>
      </c>
      <c r="L212" s="25" t="n">
        <v>-0.06639698162977049</v>
      </c>
      <c r="M212" s="25" t="n">
        <v>0.03062654248306168</v>
      </c>
      <c r="N212" s="25" t="n">
        <v>0.02731756299982908</v>
      </c>
      <c r="O212" s="25" t="n">
        <v>-0.05322007639087652</v>
      </c>
      <c r="P212" s="25" t="n">
        <v>0.04007315193529279</v>
      </c>
      <c r="Q212" s="25" t="n">
        <v>-0.3234943389455388</v>
      </c>
      <c r="R212" s="25" t="n">
        <v>-0.1735173684681963</v>
      </c>
      <c r="S212" s="25" t="n">
        <v>0.03538571695619287</v>
      </c>
      <c r="T212" s="25" t="n">
        <v>0.04042429329945466</v>
      </c>
      <c r="U212" s="25" t="n">
        <v>0.007014669068348359</v>
      </c>
      <c r="V212" s="25" t="n">
        <v>0.1339296935131805</v>
      </c>
      <c r="W212" s="25" t="n">
        <v>0.1401282589207331</v>
      </c>
      <c r="X212" s="25" t="n">
        <v>0.5339232851000411</v>
      </c>
      <c r="Y212" s="25" t="n">
        <v>0.04444513803965403</v>
      </c>
      <c r="Z212" s="25" t="n">
        <v>0.04198879652398078</v>
      </c>
      <c r="AA212" s="25" t="n">
        <v>0.1055848279024104</v>
      </c>
      <c r="AB212" s="25" t="n">
        <v>-0.06260026987996412</v>
      </c>
      <c r="AC212" s="25" t="n">
        <v>0.0230166322627168</v>
      </c>
      <c r="AD212" s="25" t="n">
        <v>0.09403145043873046</v>
      </c>
      <c r="AE212" s="25" t="n">
        <v>-0.03606501961550019</v>
      </c>
      <c r="AF212" s="25" t="n">
        <v>-0.07760648228824078</v>
      </c>
      <c r="AG212" s="45" t="n">
        <v>0.08801600040436147</v>
      </c>
      <c r="AI212" s="3">
        <f t="array" ref="AI212">SQRT(INDEX(_xlfn.ANCHORARRAY($B$190),A212,A212))</f>
        <v/>
      </c>
      <c r="AJ212" s="23" t="n"/>
      <c r="AK212" s="3">
        <f>$AP$191*AI212</f>
        <v/>
      </c>
      <c r="AL212" s="105">
        <f>ABS(Y141/AK212)</f>
        <v/>
      </c>
      <c r="AM212" s="108">
        <f>IF(AL212&lt;2.5,"Spełniony","Nie spełniony")</f>
        <v/>
      </c>
      <c r="AN212" s="23" t="n"/>
      <c r="AO212" s="23" t="n"/>
      <c r="AP212" s="23" t="n"/>
      <c r="AQ212" s="23" t="n"/>
    </row>
    <row r="213">
      <c r="A213" t="n">
        <v>24</v>
      </c>
      <c r="B213" s="67" t="n">
        <v>0.06804143342133674</v>
      </c>
      <c r="C213" s="25" t="n">
        <v>-0.2039260216335972</v>
      </c>
      <c r="D213" s="25" t="n">
        <v>-0.1111065924245317</v>
      </c>
      <c r="E213" s="720" t="n">
        <v>0.05497302537539927</v>
      </c>
      <c r="F213" s="720" t="n">
        <v>0.1054793124773669</v>
      </c>
      <c r="G213" s="720" t="n">
        <v>-0.0195258749158696</v>
      </c>
      <c r="H213" s="722" t="n">
        <v>-0.07534367017282134</v>
      </c>
      <c r="I213" s="25" t="n">
        <v>0.0549729152446353</v>
      </c>
      <c r="J213" s="25" t="n">
        <v>-0.06509343308607418</v>
      </c>
      <c r="K213" s="25" t="n">
        <v>0.004984258019839483</v>
      </c>
      <c r="L213" s="25" t="n">
        <v>-0.09177640524216167</v>
      </c>
      <c r="M213" s="25" t="n">
        <v>0.06804149762647058</v>
      </c>
      <c r="N213" s="25" t="n">
        <v>-0.01331065505034206</v>
      </c>
      <c r="O213" s="25" t="n">
        <v>-0.04289283619760291</v>
      </c>
      <c r="P213" s="25" t="n">
        <v>0.0740889312702169</v>
      </c>
      <c r="Q213" s="25" t="n">
        <v>0.1178159900777392</v>
      </c>
      <c r="R213" s="25" t="n">
        <v>-0.07370067709204423</v>
      </c>
      <c r="S213" s="25" t="n">
        <v>0.08265939564735418</v>
      </c>
      <c r="T213" s="25" t="n">
        <v>0.08034070555508642</v>
      </c>
      <c r="U213" s="25" t="n">
        <v>-0.112133841007792</v>
      </c>
      <c r="V213" s="25" t="n">
        <v>0.1305565697008588</v>
      </c>
      <c r="W213" s="25" t="n">
        <v>0.1038672445807911</v>
      </c>
      <c r="X213" s="25" t="n">
        <v>0.04444513803965408</v>
      </c>
      <c r="Y213" s="25" t="n">
        <v>0.576334195924459</v>
      </c>
      <c r="Z213" s="25" t="n">
        <v>0.05228608845012452</v>
      </c>
      <c r="AA213" s="25" t="n">
        <v>0.09251076330411255</v>
      </c>
      <c r="AB213" s="25" t="n">
        <v>0.08048569688481536</v>
      </c>
      <c r="AC213" s="25" t="n">
        <v>-0.1530924186927762</v>
      </c>
      <c r="AD213" s="25" t="n">
        <v>-0.01058005767059511</v>
      </c>
      <c r="AE213" s="25" t="n">
        <v>0.1084928726511723</v>
      </c>
      <c r="AF213" s="25" t="n">
        <v>0.06095338237805361</v>
      </c>
      <c r="AG213" s="45" t="n">
        <v>-0.07600484343724562</v>
      </c>
      <c r="AI213" s="3">
        <f t="array" ref="AI213">SQRT(INDEX(_xlfn.ANCHORARRAY($B$190),A213,A213))</f>
        <v/>
      </c>
      <c r="AJ213" s="23" t="n"/>
      <c r="AK213" s="3">
        <f>$AP$191*AI213</f>
        <v/>
      </c>
      <c r="AL213" s="105">
        <f>ABS(Y142/AK213)</f>
        <v/>
      </c>
      <c r="AM213" s="108">
        <f>IF(AL213&lt;2.5,"Spełniony","Nie spełniony")</f>
        <v/>
      </c>
      <c r="AN213" s="23" t="n"/>
      <c r="AO213" s="23" t="n"/>
      <c r="AP213" s="23" t="n"/>
      <c r="AQ213" s="23" t="n"/>
    </row>
    <row r="214">
      <c r="A214" t="n">
        <v>25</v>
      </c>
      <c r="B214" s="67" t="n">
        <v>-0.06589838443981653</v>
      </c>
      <c r="C214" s="25" t="n">
        <v>0.06705057816630228</v>
      </c>
      <c r="D214" s="25" t="n">
        <v>0.04706658293239326</v>
      </c>
      <c r="E214" s="720" t="n">
        <v>-0.2117974566131434</v>
      </c>
      <c r="F214" s="720" t="n">
        <v>0.07314023974529775</v>
      </c>
      <c r="G214" s="720" t="n">
        <v>0.1113386899200649</v>
      </c>
      <c r="H214" s="722" t="n">
        <v>0.08661350374063968</v>
      </c>
      <c r="I214" s="25" t="n">
        <v>-0.2117970323065758</v>
      </c>
      <c r="J214" s="25" t="n">
        <v>-0.1454617617276776</v>
      </c>
      <c r="K214" s="25" t="n">
        <v>0.04120835305477784</v>
      </c>
      <c r="L214" s="25" t="n">
        <v>0.01835953121865336</v>
      </c>
      <c r="M214" s="25" t="n">
        <v>-0.06589844662273044</v>
      </c>
      <c r="N214" s="25" t="n">
        <v>0.08301089044977665</v>
      </c>
      <c r="O214" s="25" t="n">
        <v>-0.07573538474841024</v>
      </c>
      <c r="P214" s="25" t="n">
        <v>0.00345666775306451</v>
      </c>
      <c r="Q214" s="25" t="n">
        <v>0.05046742861932421</v>
      </c>
      <c r="R214" s="25" t="n">
        <v>0.09484986918598887</v>
      </c>
      <c r="S214" s="25" t="n">
        <v>0.005962368012945876</v>
      </c>
      <c r="T214" s="25" t="n">
        <v>0.06746954468359602</v>
      </c>
      <c r="U214" s="25" t="n">
        <v>0.03005010928007699</v>
      </c>
      <c r="V214" s="25" t="n">
        <v>0.09914022786515334</v>
      </c>
      <c r="W214" s="25" t="n">
        <v>0.149556561843965</v>
      </c>
      <c r="X214" s="25" t="n">
        <v>0.0419887965239808</v>
      </c>
      <c r="Y214" s="25" t="n">
        <v>0.05228608845012454</v>
      </c>
      <c r="Z214" s="25" t="n">
        <v>0.5517188663600551</v>
      </c>
      <c r="AA214" s="25" t="n">
        <v>0.1053094589567213</v>
      </c>
      <c r="AB214" s="25" t="n">
        <v>-0.01429635339418542</v>
      </c>
      <c r="AC214" s="25" t="n">
        <v>0.08539708770344476</v>
      </c>
      <c r="AD214" s="25" t="n">
        <v>-0.03624412978792365</v>
      </c>
      <c r="AE214" s="25" t="n">
        <v>-0.008424724646658846</v>
      </c>
      <c r="AF214" s="25" t="n">
        <v>0.0663935976471533</v>
      </c>
      <c r="AG214" s="45" t="n">
        <v>-0.05500259690993992</v>
      </c>
      <c r="AI214" s="3">
        <f t="array" ref="AI214">SQRT(INDEX(_xlfn.ANCHORARRAY($B$190),A214,A214))</f>
        <v/>
      </c>
      <c r="AJ214" s="23" t="n"/>
      <c r="AK214" s="3">
        <f>$AP$191*AI214</f>
        <v/>
      </c>
      <c r="AL214" s="105">
        <f>ABS(Y143/AK214)</f>
        <v/>
      </c>
      <c r="AM214" s="108">
        <f>IF(AL214&lt;2.5,"Spełniony","Nie spełniony")</f>
        <v/>
      </c>
      <c r="AN214" s="23" t="n"/>
      <c r="AO214" s="23" t="n"/>
      <c r="AP214" s="23" t="n"/>
      <c r="AQ214" s="23" t="n"/>
    </row>
    <row r="215">
      <c r="A215" t="n">
        <v>26</v>
      </c>
      <c r="B215" s="67" t="n">
        <v>-0.09587473202608528</v>
      </c>
      <c r="C215" s="25" t="n">
        <v>0.01894551862177919</v>
      </c>
      <c r="D215" s="25" t="n">
        <v>0.002828511919342025</v>
      </c>
      <c r="E215" s="720" t="n">
        <v>0.0806177844647657</v>
      </c>
      <c r="F215" s="720" t="n">
        <v>-0.03699045267627697</v>
      </c>
      <c r="G215" s="720" t="n">
        <v>-0.2425461352363034</v>
      </c>
      <c r="H215" s="722" t="n">
        <v>0.08277333806380228</v>
      </c>
      <c r="I215" s="25" t="n">
        <v>0.08061762295831533</v>
      </c>
      <c r="J215" s="25" t="n">
        <v>0.06647275847603595</v>
      </c>
      <c r="K215" s="25" t="n">
        <v>0.1571468332366313</v>
      </c>
      <c r="L215" s="25" t="n">
        <v>0.1589712063399991</v>
      </c>
      <c r="M215" s="25" t="n">
        <v>-0.09587482249522589</v>
      </c>
      <c r="N215" s="25" t="n">
        <v>-0.09350880198829174</v>
      </c>
      <c r="O215" s="25" t="n">
        <v>0.001070403760749628</v>
      </c>
      <c r="P215" s="25" t="n">
        <v>0.01868469532989052</v>
      </c>
      <c r="Q215" s="25" t="n">
        <v>0.04249596176036213</v>
      </c>
      <c r="R215" s="25" t="n">
        <v>0.04830962348786751</v>
      </c>
      <c r="S215" s="25" t="n">
        <v>-0.04418354819899716</v>
      </c>
      <c r="T215" s="25" t="n">
        <v>-0.0484024169111732</v>
      </c>
      <c r="U215" s="25" t="n">
        <v>0.013407643179005</v>
      </c>
      <c r="V215" s="25" t="n">
        <v>0.1114293755777961</v>
      </c>
      <c r="W215" s="25" t="n">
        <v>0.1619203581480871</v>
      </c>
      <c r="X215" s="25" t="n">
        <v>0.1055848279024102</v>
      </c>
      <c r="Y215" s="25" t="n">
        <v>0.09251076330411297</v>
      </c>
      <c r="Z215" s="25" t="n">
        <v>0.1053094589567216</v>
      </c>
      <c r="AA215" s="25" t="n">
        <v>0.4232452161108721</v>
      </c>
      <c r="AB215" s="25" t="n">
        <v>0.03038445131208833</v>
      </c>
      <c r="AC215" s="25" t="n">
        <v>0.03842985127023192</v>
      </c>
      <c r="AD215" s="25" t="n">
        <v>-0.01875109071987469</v>
      </c>
      <c r="AE215" s="25" t="n">
        <v>-0.02741686495537994</v>
      </c>
      <c r="AF215" s="25" t="n">
        <v>0.0130514468164065</v>
      </c>
      <c r="AG215" s="45" t="n">
        <v>-0.01057992849050427</v>
      </c>
      <c r="AI215" s="3">
        <f t="array" ref="AI215">SQRT(INDEX(_xlfn.ANCHORARRAY($B$190),A215,A215))</f>
        <v/>
      </c>
      <c r="AJ215" s="23" t="n"/>
      <c r="AK215" s="3">
        <f>$AP$191*AI215</f>
        <v/>
      </c>
      <c r="AL215" s="105">
        <f>ABS(Y144/AK215)</f>
        <v/>
      </c>
      <c r="AM215" s="108">
        <f>IF(AL215&lt;2.5,"Spełniony","Nie spełniony")</f>
        <v/>
      </c>
      <c r="AN215" s="23" t="n"/>
      <c r="AO215" s="23" t="n"/>
      <c r="AP215" s="23" t="n"/>
      <c r="AQ215" s="23" t="n"/>
    </row>
    <row r="216">
      <c r="A216" t="n">
        <v>27</v>
      </c>
      <c r="B216" s="67" t="n">
        <v>0.05907134460494849</v>
      </c>
      <c r="C216" s="25" t="n">
        <v>0.100233047191358</v>
      </c>
      <c r="D216" s="25" t="n">
        <v>0.01623681928972526</v>
      </c>
      <c r="E216" s="720" t="n">
        <v>-0.0503795495751352</v>
      </c>
      <c r="F216" s="720" t="n">
        <v>0.1089426732431557</v>
      </c>
      <c r="G216" s="720" t="n">
        <v>-0.1056013410370574</v>
      </c>
      <c r="H216" s="722" t="n">
        <v>-0.2410178548476237</v>
      </c>
      <c r="I216" s="25" t="n">
        <v>-0.05037944864675729</v>
      </c>
      <c r="J216" s="25" t="n">
        <v>0.08555918799064384</v>
      </c>
      <c r="K216" s="25" t="n">
        <v>0.004804267463148881</v>
      </c>
      <c r="L216" s="25" t="n">
        <v>-0.03839510492470266</v>
      </c>
      <c r="M216" s="25" t="n">
        <v>0.05907140034574335</v>
      </c>
      <c r="N216" s="25" t="n">
        <v>-0.1267049305793836</v>
      </c>
      <c r="O216" s="25" t="n">
        <v>0.06663729985252015</v>
      </c>
      <c r="P216" s="25" t="n">
        <v>0.03281542044394264</v>
      </c>
      <c r="Q216" s="25" t="n">
        <v>-0.02846735973433358</v>
      </c>
      <c r="R216" s="25" t="n">
        <v>0.073789658252327</v>
      </c>
      <c r="S216" s="25" t="n">
        <v>0.001918295736562298</v>
      </c>
      <c r="T216" s="25" t="n">
        <v>0.008990078758796427</v>
      </c>
      <c r="U216" s="25" t="n">
        <v>-0.1162500247010715</v>
      </c>
      <c r="V216" s="25" t="n">
        <v>0.00880131849288146</v>
      </c>
      <c r="W216" s="25" t="n">
        <v>-0.04277484341563563</v>
      </c>
      <c r="X216" s="25" t="n">
        <v>-0.06260026987996431</v>
      </c>
      <c r="Y216" s="25" t="n">
        <v>0.08048569688481549</v>
      </c>
      <c r="Z216" s="25" t="n">
        <v>-0.01429635339418556</v>
      </c>
      <c r="AA216" s="25" t="n">
        <v>0.03038445131208878</v>
      </c>
      <c r="AB216" s="25" t="n">
        <v>0.5421292252218037</v>
      </c>
      <c r="AC216" s="25" t="n">
        <v>0.2523741924370263</v>
      </c>
      <c r="AD216" s="25" t="n">
        <v>-0.03299519866695384</v>
      </c>
      <c r="AE216" s="25" t="n">
        <v>0.0629887475678397</v>
      </c>
      <c r="AF216" s="25" t="n">
        <v>0.1015396300018001</v>
      </c>
      <c r="AG216" s="45" t="n">
        <v>-0.04490223860974906</v>
      </c>
      <c r="AI216" s="3">
        <f t="array" ref="AI216">SQRT(INDEX(_xlfn.ANCHORARRAY($B$190),A216,A216))</f>
        <v/>
      </c>
      <c r="AJ216" s="23" t="n"/>
      <c r="AK216" s="3">
        <f>$AP$191*AI216</f>
        <v/>
      </c>
      <c r="AL216" s="105">
        <f>ABS(Y145/AK216)</f>
        <v/>
      </c>
      <c r="AM216" s="108">
        <f>IF(AL216&lt;2.5,"Spełniony","Nie spełniony")</f>
        <v/>
      </c>
      <c r="AN216" s="23" t="n"/>
      <c r="AO216" s="23" t="n"/>
      <c r="AP216" s="23" t="n"/>
      <c r="AQ216" s="23" t="n"/>
    </row>
    <row r="217">
      <c r="A217" t="n">
        <v>28</v>
      </c>
      <c r="B217" s="67" t="n">
        <v>-0.002928763398369182</v>
      </c>
      <c r="C217" s="25" t="n">
        <v>-0.1051648951685152</v>
      </c>
      <c r="D217" s="25" t="n">
        <v>0.05506210495563671</v>
      </c>
      <c r="E217" s="720" t="n">
        <v>-0.02622038115143793</v>
      </c>
      <c r="F217" s="720" t="n">
        <v>-0.07428862373029893</v>
      </c>
      <c r="G217" s="720" t="n">
        <v>-0.02257235443881798</v>
      </c>
      <c r="H217" s="722" t="n">
        <v>-0.1103917403286765</v>
      </c>
      <c r="I217" s="25" t="n">
        <v>-0.02622032862257328</v>
      </c>
      <c r="J217" s="25" t="n">
        <v>-0.04137203083868062</v>
      </c>
      <c r="K217" s="25" t="n">
        <v>0.01594726958614681</v>
      </c>
      <c r="L217" s="25" t="n">
        <v>0.005381716429700999</v>
      </c>
      <c r="M217" s="25" t="n">
        <v>-0.002928766162003641</v>
      </c>
      <c r="N217" s="25" t="n">
        <v>-0.0572264270283766</v>
      </c>
      <c r="O217" s="25" t="n">
        <v>0.01554422473829417</v>
      </c>
      <c r="P217" s="25" t="n">
        <v>0.02927304893432868</v>
      </c>
      <c r="Q217" s="25" t="n">
        <v>0.03455265326717099</v>
      </c>
      <c r="R217" s="25" t="n">
        <v>-0.09158621463849904</v>
      </c>
      <c r="S217" s="25" t="n">
        <v>0.02536236551905523</v>
      </c>
      <c r="T217" s="25" t="n">
        <v>0.124217449396098</v>
      </c>
      <c r="U217" s="25" t="n">
        <v>0.2303956436212687</v>
      </c>
      <c r="V217" s="25" t="n">
        <v>0.01331820021987701</v>
      </c>
      <c r="W217" s="25" t="n">
        <v>-0.007069352763494128</v>
      </c>
      <c r="X217" s="25" t="n">
        <v>0.02301663226271668</v>
      </c>
      <c r="Y217" s="25" t="n">
        <v>-0.1530924186927763</v>
      </c>
      <c r="Z217" s="25" t="n">
        <v>0.08539708770344495</v>
      </c>
      <c r="AA217" s="25" t="n">
        <v>0.0384298512702318</v>
      </c>
      <c r="AB217" s="25" t="n">
        <v>0.2523741924370261</v>
      </c>
      <c r="AC217" s="25" t="n">
        <v>0.6308128609052132</v>
      </c>
      <c r="AD217" s="25" t="n">
        <v>0.01070923396280897</v>
      </c>
      <c r="AE217" s="25" t="n">
        <v>-0.05001229041121406</v>
      </c>
      <c r="AF217" s="25" t="n">
        <v>-0.1216520460581779</v>
      </c>
      <c r="AG217" s="45" t="n">
        <v>0.003504128432494988</v>
      </c>
      <c r="AI217" s="3">
        <f t="array" ref="AI217">SQRT(INDEX(_xlfn.ANCHORARRAY($B$190),A217,A217))</f>
        <v/>
      </c>
      <c r="AJ217" s="23" t="n"/>
      <c r="AK217" s="3">
        <f>$AP$191*AI217</f>
        <v/>
      </c>
      <c r="AL217" s="105">
        <f>ABS(Y146/AK217)</f>
        <v/>
      </c>
      <c r="AM217" s="108">
        <f>IF(AL217&lt;2.5,"Spełniony","Nie spełniony")</f>
        <v/>
      </c>
      <c r="AN217" s="23" t="n"/>
      <c r="AO217" s="23" t="n"/>
      <c r="AP217" s="23" t="n"/>
      <c r="AQ217" s="23" t="n"/>
    </row>
    <row r="218">
      <c r="A218" t="n">
        <v>29</v>
      </c>
      <c r="B218" s="67" t="n">
        <v>-0.01325414497026701</v>
      </c>
      <c r="C218" s="25" t="n">
        <v>-0.1533030621153924</v>
      </c>
      <c r="D218" s="25" t="n">
        <v>0.1055595762979112</v>
      </c>
      <c r="E218" s="720" t="n">
        <v>-0.01974001542494036</v>
      </c>
      <c r="F218" s="720" t="n">
        <v>-0.004591817569736548</v>
      </c>
      <c r="G218" s="720" t="n">
        <v>0.00191500531122922</v>
      </c>
      <c r="H218" s="722" t="n">
        <v>0.01345460437067671</v>
      </c>
      <c r="I218" s="25" t="n">
        <v>-0.01973997587858169</v>
      </c>
      <c r="J218" s="25" t="n">
        <v>0.07970723005880433</v>
      </c>
      <c r="K218" s="25" t="n">
        <v>0.003786064187979112</v>
      </c>
      <c r="L218" s="25" t="n">
        <v>0.01595335976699701</v>
      </c>
      <c r="M218" s="25" t="n">
        <v>-0.0132541574771192</v>
      </c>
      <c r="N218" s="25" t="n">
        <v>0.01779239553503889</v>
      </c>
      <c r="O218" s="25" t="n">
        <v>0.03343696626775934</v>
      </c>
      <c r="P218" s="25" t="n">
        <v>-0.06929497112414756</v>
      </c>
      <c r="Q218" s="25" t="n">
        <v>-0.06069251331754121</v>
      </c>
      <c r="R218" s="25" t="n">
        <v>-0.03941540646330355</v>
      </c>
      <c r="S218" s="25" t="n">
        <v>-0.1119280733352027</v>
      </c>
      <c r="T218" s="25" t="n">
        <v>0.06884697809149964</v>
      </c>
      <c r="U218" s="25" t="n">
        <v>0.1233017854295552</v>
      </c>
      <c r="V218" s="25" t="n">
        <v>-0.03000471012522163</v>
      </c>
      <c r="W218" s="25" t="n">
        <v>0.001548537864885079</v>
      </c>
      <c r="X218" s="25" t="n">
        <v>0.0940314504387303</v>
      </c>
      <c r="Y218" s="25" t="n">
        <v>-0.01058005767059507</v>
      </c>
      <c r="Z218" s="25" t="n">
        <v>-0.03624412978792377</v>
      </c>
      <c r="AA218" s="25" t="n">
        <v>-0.01875109071987492</v>
      </c>
      <c r="AB218" s="25" t="n">
        <v>-0.03299519866695422</v>
      </c>
      <c r="AC218" s="25" t="n">
        <v>0.01070923396280941</v>
      </c>
      <c r="AD218" s="25" t="n">
        <v>0.577463675102255</v>
      </c>
      <c r="AE218" s="25" t="n">
        <v>0.2080544209168175</v>
      </c>
      <c r="AF218" s="25" t="n">
        <v>0.2904164768248494</v>
      </c>
      <c r="AG218" s="45" t="n">
        <v>0.1307592722820075</v>
      </c>
      <c r="AI218" s="3">
        <f t="array" ref="AI218">SQRT(INDEX(_xlfn.ANCHORARRAY($B$190),A218,A218))</f>
        <v/>
      </c>
      <c r="AJ218" s="23" t="n"/>
      <c r="AK218" s="3">
        <f>$AP$191*AI218</f>
        <v/>
      </c>
      <c r="AL218" s="105">
        <f>ABS(Y147/AK218)</f>
        <v/>
      </c>
      <c r="AM218" s="108">
        <f>IF(AL218&lt;2.5,"Spełniony","Nie spełniony")</f>
        <v/>
      </c>
      <c r="AN218" s="23" t="n"/>
      <c r="AO218" s="23" t="n"/>
      <c r="AP218" s="23" t="n"/>
      <c r="AQ218" s="23" t="n"/>
    </row>
    <row r="219">
      <c r="A219" t="n">
        <v>30</v>
      </c>
      <c r="B219" s="67" t="n">
        <v>0.03815349058760112</v>
      </c>
      <c r="C219" s="25" t="n">
        <v>0.0815805933689055</v>
      </c>
      <c r="D219" s="25" t="n">
        <v>-0.1881094011907277</v>
      </c>
      <c r="E219" s="720" t="n">
        <v>0.03339385450287842</v>
      </c>
      <c r="F219" s="720" t="n">
        <v>0.09698943012648613</v>
      </c>
      <c r="G219" s="720" t="n">
        <v>-0.03952480560277694</v>
      </c>
      <c r="H219" s="722" t="n">
        <v>-0.02262425904999598</v>
      </c>
      <c r="I219" s="25" t="n">
        <v>0.03339378760296367</v>
      </c>
      <c r="J219" s="25" t="n">
        <v>-0.1446979313528876</v>
      </c>
      <c r="K219" s="25" t="n">
        <v>-0.01562322510346369</v>
      </c>
      <c r="L219" s="25" t="n">
        <v>-0.02718600500765818</v>
      </c>
      <c r="M219" s="25" t="n">
        <v>0.03815352658992865</v>
      </c>
      <c r="N219" s="25" t="n">
        <v>-0.0147719477492811</v>
      </c>
      <c r="O219" s="25" t="n">
        <v>0.0233439659025906</v>
      </c>
      <c r="P219" s="25" t="n">
        <v>-0.01093209559136119</v>
      </c>
      <c r="Q219" s="25" t="n">
        <v>-0.04077265814975164</v>
      </c>
      <c r="R219" s="25" t="n">
        <v>0.07703071253622146</v>
      </c>
      <c r="S219" s="25" t="n">
        <v>-0.02298833829254911</v>
      </c>
      <c r="T219" s="25" t="n">
        <v>-0.0269305158085089</v>
      </c>
      <c r="U219" s="25" t="n">
        <v>0.2120568970980386</v>
      </c>
      <c r="V219" s="25" t="n">
        <v>-0.01320578684425941</v>
      </c>
      <c r="W219" s="25" t="n">
        <v>-0.02338047658937404</v>
      </c>
      <c r="X219" s="25" t="n">
        <v>-0.03606501961550035</v>
      </c>
      <c r="Y219" s="25" t="n">
        <v>0.1084928726511723</v>
      </c>
      <c r="Z219" s="25" t="n">
        <v>-0.008424724646658808</v>
      </c>
      <c r="AA219" s="25" t="n">
        <v>-0.0274168649553797</v>
      </c>
      <c r="AB219" s="25" t="n">
        <v>0.06298874756783959</v>
      </c>
      <c r="AC219" s="25" t="n">
        <v>-0.0500122904112143</v>
      </c>
      <c r="AD219" s="25" t="n">
        <v>0.2080544209168173</v>
      </c>
      <c r="AE219" s="25" t="n">
        <v>0.3368028239802568</v>
      </c>
      <c r="AF219" s="25" t="n">
        <v>0.1538320572205135</v>
      </c>
      <c r="AG219" s="45" t="n">
        <v>-0.006877775200117628</v>
      </c>
      <c r="AI219" s="3">
        <f t="array" ref="AI219">SQRT(INDEX(_xlfn.ANCHORARRAY($B$190),A219,A219))</f>
        <v/>
      </c>
      <c r="AJ219" s="23" t="n"/>
      <c r="AK219" s="3">
        <f>$AP$191*AI219</f>
        <v/>
      </c>
      <c r="AL219" s="105">
        <f>ABS(Y148/AK219)</f>
        <v/>
      </c>
      <c r="AM219" s="108">
        <f>IF(AL219&lt;2.5,"Spełniony","Nie spełniony")</f>
        <v/>
      </c>
      <c r="AN219" s="23" t="n"/>
      <c r="AO219" s="23" t="n"/>
      <c r="AP219" s="23" t="n"/>
      <c r="AQ219" s="23" t="n"/>
    </row>
    <row r="220">
      <c r="A220" t="n">
        <v>31</v>
      </c>
      <c r="B220" s="67" t="n">
        <v>-0.04887373490292118</v>
      </c>
      <c r="C220" s="25" t="n">
        <v>0.1373584044984986</v>
      </c>
      <c r="D220" s="25" t="n">
        <v>0.1114887984906825</v>
      </c>
      <c r="E220" s="720" t="n">
        <v>-0.04664854130186599</v>
      </c>
      <c r="F220" s="720" t="n">
        <v>-0.1589934940157896</v>
      </c>
      <c r="G220" s="720" t="n">
        <v>0.02096200994161163</v>
      </c>
      <c r="H220" s="722" t="n">
        <v>-0.02633127146592349</v>
      </c>
      <c r="I220" s="25" t="n">
        <v>-0.04664844784804095</v>
      </c>
      <c r="J220" s="25" t="n">
        <v>0.02640696951592136</v>
      </c>
      <c r="K220" s="25" t="n">
        <v>0.01381372646361665</v>
      </c>
      <c r="L220" s="25" t="n">
        <v>0.05239642727875331</v>
      </c>
      <c r="M220" s="25" t="n">
        <v>-0.04887378102106622</v>
      </c>
      <c r="N220" s="25" t="n">
        <v>-0.03541463818785456</v>
      </c>
      <c r="O220" s="25" t="n">
        <v>-0.0175690331815845</v>
      </c>
      <c r="P220" s="25" t="n">
        <v>0.05586893460949136</v>
      </c>
      <c r="Q220" s="25" t="n">
        <v>0.0483150732615681</v>
      </c>
      <c r="R220" s="25" t="n">
        <v>-0.03038704814879151</v>
      </c>
      <c r="S220" s="25" t="n">
        <v>0.09943967232344969</v>
      </c>
      <c r="T220" s="25" t="n">
        <v>-0.01607943593204873</v>
      </c>
      <c r="U220" s="25" t="n">
        <v>-0.06844466888352822</v>
      </c>
      <c r="V220" s="25" t="n">
        <v>-0.01984113421164821</v>
      </c>
      <c r="W220" s="25" t="n">
        <v>-0.04295081034172491</v>
      </c>
      <c r="X220" s="25" t="n">
        <v>-0.07760648228824055</v>
      </c>
      <c r="Y220" s="25" t="n">
        <v>0.06095338237805346</v>
      </c>
      <c r="Z220" s="25" t="n">
        <v>0.0663935976471535</v>
      </c>
      <c r="AA220" s="25" t="n">
        <v>0.0130514468164067</v>
      </c>
      <c r="AB220" s="25" t="n">
        <v>0.1015396300018004</v>
      </c>
      <c r="AC220" s="25" t="n">
        <v>-0.1216520460581783</v>
      </c>
      <c r="AD220" s="25" t="n">
        <v>0.2904164768248493</v>
      </c>
      <c r="AE220" s="25" t="n">
        <v>0.1538320572205134</v>
      </c>
      <c r="AF220" s="25" t="n">
        <v>0.5049749903826837</v>
      </c>
      <c r="AG220" s="45" t="n">
        <v>-0.08402137738109638</v>
      </c>
      <c r="AI220" s="3">
        <f t="array" ref="AI220">SQRT(INDEX(_xlfn.ANCHORARRAY($B$190),A220,A220))</f>
        <v/>
      </c>
      <c r="AJ220" s="23" t="n"/>
      <c r="AK220" s="3">
        <f>$AP$191*AI220</f>
        <v/>
      </c>
      <c r="AL220" s="105">
        <f>ABS(Y149/AK220)</f>
        <v/>
      </c>
      <c r="AM220" s="108">
        <f>IF(AL220&lt;2.5,"Spełniony","Nie spełniony")</f>
        <v/>
      </c>
      <c r="AN220" s="23" t="n"/>
      <c r="AO220" s="23" t="n"/>
      <c r="AP220" s="23" t="n"/>
      <c r="AQ220" s="23" t="n"/>
    </row>
    <row r="221">
      <c r="A221" t="n">
        <v>32</v>
      </c>
      <c r="B221" s="68" t="n">
        <v>0.02697317466543384</v>
      </c>
      <c r="C221" s="32" t="n">
        <v>0.08362365497938777</v>
      </c>
      <c r="D221" s="32" t="n">
        <v>0.02149233389022769</v>
      </c>
      <c r="E221" s="720" t="n">
        <v>0.0129980911177072</v>
      </c>
      <c r="F221" s="720" t="n">
        <v>0.1001384146216117</v>
      </c>
      <c r="G221" s="720" t="n">
        <v>-0.0222641226288097</v>
      </c>
      <c r="H221" s="722" t="n">
        <v>-0.003982860413865155</v>
      </c>
      <c r="I221" s="32" t="n">
        <v>0.01299806507785046</v>
      </c>
      <c r="J221" s="32" t="n">
        <v>0.0411323373417562</v>
      </c>
      <c r="K221" s="32" t="n">
        <v>0.002545076088209267</v>
      </c>
      <c r="L221" s="32" t="n">
        <v>-0.02990896071622495</v>
      </c>
      <c r="M221" s="32" t="n">
        <v>0.02697320011781192</v>
      </c>
      <c r="N221" s="32" t="n">
        <v>0.0401601614636949</v>
      </c>
      <c r="O221" s="32" t="n">
        <v>0.06770564858931347</v>
      </c>
      <c r="P221" s="32" t="n">
        <v>-0.1421084268527536</v>
      </c>
      <c r="Q221" s="32" t="n">
        <v>0.09132340710983847</v>
      </c>
      <c r="R221" s="32" t="n">
        <v>-0.1137941696104211</v>
      </c>
      <c r="S221" s="32" t="n">
        <v>-0.2512404034222377</v>
      </c>
      <c r="T221" s="32" t="n">
        <v>0.107851715879618</v>
      </c>
      <c r="U221" s="32" t="n">
        <v>-0.02933254648612094</v>
      </c>
      <c r="V221" s="32" t="n">
        <v>-0.004722223728076541</v>
      </c>
      <c r="W221" s="32" t="n">
        <v>0.05829359216140492</v>
      </c>
      <c r="X221" s="32" t="n">
        <v>0.08801600040436178</v>
      </c>
      <c r="Y221" s="32" t="n">
        <v>-0.07600484343724534</v>
      </c>
      <c r="Z221" s="32" t="n">
        <v>-0.05500259690993983</v>
      </c>
      <c r="AA221" s="32" t="n">
        <v>-0.01057992849050485</v>
      </c>
      <c r="AB221" s="32" t="n">
        <v>-0.04490223860974913</v>
      </c>
      <c r="AC221" s="32" t="n">
        <v>0.00350412843249457</v>
      </c>
      <c r="AD221" s="32" t="n">
        <v>0.1307592722820072</v>
      </c>
      <c r="AE221" s="32" t="n">
        <v>-0.006877775200118293</v>
      </c>
      <c r="AF221" s="32" t="n">
        <v>-0.08402137738109589</v>
      </c>
      <c r="AG221" s="49" t="n">
        <v>0.2591462817026629</v>
      </c>
      <c r="AI221" s="3">
        <f t="array" ref="AI221">SQRT(INDEX(_xlfn.ANCHORARRAY($B$190),A221,A221))</f>
        <v/>
      </c>
      <c r="AJ221" s="23" t="n"/>
      <c r="AK221" s="4">
        <f>$AP$191*AI221</f>
        <v/>
      </c>
      <c r="AL221" s="106">
        <f>ABS(Y150/AK221)</f>
        <v/>
      </c>
      <c r="AM221" s="109">
        <f>IF(AL221&lt;2.5,"Spełniony","Nie spełniony")</f>
        <v/>
      </c>
      <c r="AN221" s="23" t="n"/>
      <c r="AO221" s="23" t="n"/>
      <c r="AP221" s="23" t="n"/>
      <c r="AQ221" s="23" t="n"/>
    </row>
  </sheetData>
  <mergeCells count="18">
    <mergeCell ref="R130:T130"/>
    <mergeCell ref="R109:T109"/>
    <mergeCell ref="S39:S41"/>
    <mergeCell ref="B189:AG189"/>
    <mergeCell ref="B154:AG154"/>
    <mergeCell ref="AO192:AP192"/>
    <mergeCell ref="AJ154:BO154"/>
    <mergeCell ref="A147:A149"/>
    <mergeCell ref="U91:AZ91"/>
    <mergeCell ref="B75:Q75"/>
    <mergeCell ref="A126:A128"/>
    <mergeCell ref="B109:Q109"/>
    <mergeCell ref="AO189:AP189"/>
    <mergeCell ref="B130:Q130"/>
    <mergeCell ref="Y112:Y114"/>
    <mergeCell ref="AK188:AM188"/>
    <mergeCell ref="B39:Q39"/>
    <mergeCell ref="P3:R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9.01171875" customWidth="1" min="1" max="1"/>
    <col width="11.02734375" customWidth="1" min="2" max="2"/>
    <col width="14.9296875" customWidth="1" min="3" max="3"/>
    <col width="13" customWidth="1" min="4" max="4"/>
    <col width="16.0078125" customWidth="1" min="5" max="5"/>
    <col width="14.9296875" customWidth="1" min="6" max="6"/>
    <col width="13" customWidth="1" min="7" max="7"/>
    <col width="16.0078125" customWidth="1" min="8" max="8"/>
    <col width="13.046875" customWidth="1" min="9" max="9"/>
    <col width="13" customWidth="1" min="10" max="10"/>
    <col width="13" customWidth="1" min="11" max="11"/>
  </cols>
  <sheetData>
    <row r="1">
      <c r="A1" s="476" t="n"/>
      <c r="B1" s="476" t="n"/>
      <c r="C1" s="476" t="n"/>
      <c r="D1" s="476" t="n"/>
      <c r="E1" s="476" t="n"/>
      <c r="F1" s="476" t="n"/>
      <c r="G1" s="476" t="n"/>
      <c r="H1" s="476" t="n"/>
      <c r="I1" s="476" t="n"/>
      <c r="J1" s="476" t="n"/>
      <c r="K1" s="476" t="n"/>
    </row>
    <row r="2">
      <c r="A2" s="476" t="n"/>
      <c r="B2" s="476" t="n"/>
      <c r="C2" s="476" t="n"/>
      <c r="D2" s="476" t="n"/>
      <c r="E2" s="476" t="n"/>
      <c r="F2" s="476" t="n"/>
      <c r="G2" s="476" t="n"/>
      <c r="H2" s="476" t="n"/>
      <c r="I2" s="476" t="n"/>
      <c r="J2" s="476" t="n"/>
      <c r="K2" s="476" t="n"/>
    </row>
    <row r="3" ht="15.95" customHeight="1">
      <c r="A3" s="476" t="n"/>
      <c r="B3" s="477" t="inlineStr">
        <is>
          <t>`</t>
        </is>
      </c>
      <c r="C3" s="802" t="inlineStr">
        <is>
          <t>Współrzędne przybliżone</t>
        </is>
      </c>
      <c r="D3" s="803" t="n"/>
      <c r="E3" s="804" t="inlineStr">
        <is>
          <t>Współrzędne przemieszczone</t>
        </is>
      </c>
      <c r="F3" s="805" t="n"/>
      <c r="G3" s="476" t="n"/>
      <c r="H3" s="476" t="n"/>
      <c r="I3" s="476" t="n"/>
      <c r="J3" s="476" t="n"/>
      <c r="K3" s="476" t="n"/>
    </row>
    <row r="4">
      <c r="A4" s="476" t="n"/>
      <c r="B4" s="806" t="inlineStr">
        <is>
          <t>Nr</t>
        </is>
      </c>
      <c r="C4" s="807" t="inlineStr">
        <is>
          <t>X [m]</t>
        </is>
      </c>
      <c r="D4" s="808" t="inlineStr">
        <is>
          <t>Y [m]</t>
        </is>
      </c>
      <c r="E4" s="739" t="inlineStr">
        <is>
          <t>X [m]</t>
        </is>
      </c>
      <c r="F4" s="809" t="inlineStr">
        <is>
          <t>Y [m]</t>
        </is>
      </c>
      <c r="G4" s="476" t="n"/>
      <c r="H4" s="476" t="n"/>
      <c r="I4" s="476" t="n"/>
      <c r="J4" s="476" t="n"/>
      <c r="K4" s="476" t="n"/>
    </row>
    <row r="5" ht="18" customHeight="1">
      <c r="A5" s="476" t="n"/>
      <c r="B5" s="810" t="n">
        <v>1</v>
      </c>
      <c r="C5" s="811" t="n">
        <v>240</v>
      </c>
      <c r="D5" s="811" t="n">
        <v>120</v>
      </c>
      <c r="E5" s="720" t="n">
        <v>240.0089027072915</v>
      </c>
      <c r="F5" s="720" t="n">
        <v>120.0054635144992</v>
      </c>
      <c r="G5" s="476" t="n"/>
      <c r="H5" s="476" t="n"/>
      <c r="I5" s="476" t="n"/>
      <c r="J5" s="476" t="n"/>
      <c r="K5" s="476" t="n"/>
    </row>
    <row r="6" ht="18" customHeight="1">
      <c r="A6" s="476" t="n"/>
      <c r="B6" s="810" t="n">
        <v>4</v>
      </c>
      <c r="C6" s="811" t="n">
        <v>435</v>
      </c>
      <c r="D6" s="811" t="n">
        <v>435</v>
      </c>
      <c r="E6" s="720" t="n">
        <v>435.0072666613897</v>
      </c>
      <c r="F6" s="720" t="n">
        <v>434.9965034822665</v>
      </c>
      <c r="G6" s="476" t="n"/>
      <c r="H6" s="476" t="n"/>
      <c r="I6" s="476" t="n"/>
      <c r="J6" s="476" t="n"/>
      <c r="K6" s="476" t="n"/>
    </row>
    <row r="7" ht="18" customHeight="1">
      <c r="A7" s="476" t="n"/>
      <c r="B7" s="810" t="n">
        <v>5</v>
      </c>
      <c r="C7" s="811" t="n">
        <v>295</v>
      </c>
      <c r="D7" s="811" t="n">
        <v>490</v>
      </c>
      <c r="E7" s="720" t="n">
        <v>295.0001006801879</v>
      </c>
      <c r="F7" s="720" t="n">
        <v>490.0007000639898</v>
      </c>
      <c r="G7" s="476" t="n"/>
      <c r="H7" s="476" t="n"/>
      <c r="I7" s="476" t="n"/>
      <c r="J7" s="476" t="n"/>
      <c r="K7" s="476" t="n"/>
    </row>
    <row r="8" ht="18" customHeight="1">
      <c r="A8" s="476" t="n"/>
      <c r="B8" s="810" t="n">
        <v>6</v>
      </c>
      <c r="C8" s="811" t="n">
        <v>145</v>
      </c>
      <c r="D8" s="811" t="n">
        <v>560</v>
      </c>
      <c r="E8" s="720" t="n">
        <v>145.0001379131694</v>
      </c>
      <c r="F8" s="720" t="n">
        <v>559.9995579260383</v>
      </c>
      <c r="G8" s="476" t="n"/>
      <c r="H8" s="476" t="n"/>
      <c r="I8" s="476" t="n"/>
      <c r="J8" s="763" t="n"/>
      <c r="K8" s="476" t="n"/>
    </row>
    <row r="9" ht="18" customHeight="1">
      <c r="A9" s="476" t="n"/>
      <c r="B9" s="810" t="n">
        <v>7</v>
      </c>
      <c r="C9" s="811" t="n">
        <v>180</v>
      </c>
      <c r="D9" s="811" t="n">
        <v>385</v>
      </c>
      <c r="E9" s="720" t="n">
        <v>179.997336316056</v>
      </c>
      <c r="F9" s="720" t="n">
        <v>384.9959480199327</v>
      </c>
      <c r="G9" s="476" t="n"/>
      <c r="H9" s="476" t="n"/>
      <c r="I9" s="476" t="n"/>
      <c r="J9" s="476" t="n"/>
      <c r="K9" s="476" t="n"/>
    </row>
    <row r="10" ht="18" customHeight="1">
      <c r="A10" s="476" t="n"/>
      <c r="B10" s="810" t="n">
        <v>8</v>
      </c>
      <c r="C10" s="811" t="n">
        <v>150</v>
      </c>
      <c r="D10" s="811" t="n">
        <v>240</v>
      </c>
      <c r="E10" s="720" t="n">
        <v>149.9972631545468</v>
      </c>
      <c r="F10" s="720" t="n">
        <v>239.9969937721246</v>
      </c>
      <c r="G10" s="476" t="n"/>
      <c r="H10" s="476" t="n"/>
      <c r="I10" s="476" t="n"/>
      <c r="J10" s="476" t="n"/>
      <c r="K10" s="476" t="n"/>
    </row>
    <row r="11" ht="18" customHeight="1">
      <c r="A11" s="476" t="n"/>
      <c r="B11" s="810" t="n">
        <v>9</v>
      </c>
      <c r="C11" s="811" t="n">
        <v>313</v>
      </c>
      <c r="D11" s="811" t="n">
        <v>272</v>
      </c>
      <c r="E11" s="720" t="n">
        <v>312.9997614066427</v>
      </c>
      <c r="F11" s="720" t="n">
        <v>271.999742009972</v>
      </c>
      <c r="G11" s="476" t="n"/>
      <c r="H11" s="476" t="n"/>
      <c r="I11" s="476" t="n"/>
      <c r="J11" s="476" t="n"/>
      <c r="K11" s="476" t="n"/>
    </row>
    <row r="12">
      <c r="A12" s="476" t="n"/>
      <c r="B12" s="476" t="n"/>
      <c r="C12" s="476" t="n"/>
      <c r="D12" s="476" t="n"/>
      <c r="E12" s="476" t="n"/>
      <c r="F12" s="476" t="n"/>
      <c r="G12" s="476" t="n"/>
      <c r="H12" s="476" t="n"/>
      <c r="I12" s="476" t="n"/>
      <c r="J12" s="476" t="n"/>
      <c r="K12" s="476" t="n"/>
    </row>
    <row r="13" ht="15.95" customHeight="1">
      <c r="A13" s="476" t="n"/>
      <c r="B13" s="476" t="n"/>
      <c r="C13" s="476" t="n"/>
      <c r="D13" s="476" t="n"/>
      <c r="E13" s="476" t="n"/>
      <c r="F13" s="476" t="n"/>
      <c r="G13" s="476" t="n"/>
      <c r="H13" s="476" t="n"/>
      <c r="I13" s="476" t="n"/>
      <c r="J13" s="476" t="n"/>
      <c r="K13" s="476" t="n"/>
    </row>
    <row r="14">
      <c r="A14" s="476" t="n"/>
      <c r="B14" s="476" t="n"/>
      <c r="C14" s="476" t="n"/>
      <c r="D14" s="476" t="n"/>
      <c r="E14" s="476" t="n"/>
      <c r="F14" s="476" t="n"/>
      <c r="G14" s="476" t="n"/>
      <c r="H14" s="476" t="n"/>
      <c r="I14" s="476" t="n"/>
      <c r="J14" s="476" t="n"/>
      <c r="K14" s="476" t="n"/>
    </row>
    <row r="15" ht="15.95" customHeight="1">
      <c r="A15" s="476" t="n"/>
      <c r="B15" s="476" t="n"/>
      <c r="C15" s="476" t="n"/>
      <c r="D15" s="476" t="n"/>
      <c r="E15" s="476" t="n"/>
      <c r="F15" s="476" t="n"/>
      <c r="G15" s="812" t="inlineStr">
        <is>
          <t>Baza</t>
        </is>
      </c>
      <c r="H15" s="476" t="n"/>
      <c r="I15" s="476" t="n"/>
      <c r="J15" s="476" t="n"/>
      <c r="K15" s="476" t="n"/>
    </row>
    <row r="16">
      <c r="A16" s="476" t="n"/>
      <c r="B16" s="476" t="n"/>
      <c r="C16" s="476" t="n"/>
      <c r="D16" s="476" t="n"/>
      <c r="E16" s="476" t="n"/>
      <c r="F16" s="813" t="n"/>
      <c r="G16" s="812" t="n">
        <v>5</v>
      </c>
      <c r="H16" s="476" t="n"/>
      <c r="I16" s="476" t="n"/>
      <c r="J16" s="476" t="n"/>
      <c r="K16" s="476" t="n"/>
    </row>
    <row r="17" ht="15.95" customHeight="1">
      <c r="A17" s="476" t="n"/>
      <c r="B17" s="814" t="inlineStr">
        <is>
          <t>m0wyjść</t>
        </is>
      </c>
      <c r="C17" s="815" t="n">
        <v>0.9240985803099251</v>
      </c>
      <c r="D17" s="476" t="n"/>
      <c r="E17" s="814" t="inlineStr">
        <is>
          <t>k</t>
        </is>
      </c>
      <c r="F17" s="476" t="n"/>
      <c r="G17" s="816" t="n">
        <v>6</v>
      </c>
      <c r="H17" s="476" t="n"/>
      <c r="I17" s="476" t="n"/>
      <c r="J17" s="476" t="n"/>
      <c r="K17" s="476" t="n"/>
    </row>
    <row r="18">
      <c r="A18" s="476" t="n"/>
      <c r="B18" s="814" t="inlineStr">
        <is>
          <t>m0akt</t>
        </is>
      </c>
      <c r="C18" s="815" t="n">
        <v>1.001105756368422</v>
      </c>
      <c r="D18" s="476" t="n"/>
      <c r="E18" s="817" t="n">
        <v>2.5</v>
      </c>
      <c r="F18" s="476" t="n"/>
      <c r="G18" s="818" t="n">
        <v>9</v>
      </c>
      <c r="H18" s="476" t="n"/>
      <c r="I18" s="476" t="n"/>
      <c r="J18" s="476" t="n"/>
      <c r="K18" s="476" t="n"/>
    </row>
    <row r="19" ht="15.95" customHeight="1">
      <c r="A19" s="476" t="n"/>
      <c r="B19" s="476" t="n"/>
      <c r="C19" s="476" t="n"/>
      <c r="D19" s="476" t="n"/>
      <c r="E19" s="476" t="n"/>
      <c r="F19" s="476" t="n"/>
      <c r="G19" s="476" t="n"/>
      <c r="H19" s="476" t="n"/>
      <c r="I19" s="476" t="n"/>
      <c r="J19" s="476" t="n"/>
      <c r="K19" s="476" t="n"/>
    </row>
    <row r="20">
      <c r="A20" s="476" t="n"/>
      <c r="B20" s="476" t="n"/>
      <c r="C20" s="476" t="n"/>
      <c r="D20" s="476" t="n"/>
      <c r="E20" s="476" t="n"/>
      <c r="F20" s="476" t="n"/>
      <c r="G20" s="476" t="n"/>
      <c r="H20" s="476" t="n"/>
      <c r="I20" s="476" t="n"/>
      <c r="J20" s="476" t="n"/>
      <c r="K20" s="476" t="n"/>
    </row>
    <row r="21" ht="20.1" customHeight="1">
      <c r="A21" s="476" t="n"/>
      <c r="B21" s="819" t="inlineStr">
        <is>
          <t>Nr</t>
        </is>
      </c>
      <c r="C21" s="819" t="inlineStr">
        <is>
          <t>∆X</t>
        </is>
      </c>
      <c r="D21" s="819" t="inlineStr">
        <is>
          <t>σdx</t>
        </is>
      </c>
      <c r="E21" s="819" t="inlineStr">
        <is>
          <t>|ΔX|≤ kα*mΔx</t>
        </is>
      </c>
      <c r="F21" s="819" t="inlineStr">
        <is>
          <t>∆Y</t>
        </is>
      </c>
      <c r="G21" s="819" t="inlineStr">
        <is>
          <t>σdy</t>
        </is>
      </c>
      <c r="H21" s="819" t="inlineStr">
        <is>
          <t>|ΔY|≤ kα*mΔy</t>
        </is>
      </c>
      <c r="I21" s="819" t="inlineStr">
        <is>
          <t>warunek</t>
        </is>
      </c>
      <c r="J21" s="476" t="n"/>
      <c r="K21" s="476" t="n"/>
    </row>
    <row r="22" ht="20.1" customHeight="1">
      <c r="A22" s="476" t="n"/>
      <c r="B22" s="820" t="n">
        <v>1</v>
      </c>
      <c r="C22" s="720" t="n">
        <v>0.008902707291515464</v>
      </c>
      <c r="D22" s="720" t="n">
        <v>0.001144055031093724</v>
      </c>
      <c r="E22" s="821" t="inlineStr">
        <is>
          <t>NIE</t>
        </is>
      </c>
      <c r="F22" s="720" t="n">
        <v>0.005463514499218081</v>
      </c>
      <c r="G22" s="720" t="n">
        <v>0.0009960394233063067</v>
      </c>
      <c r="H22" s="821" t="inlineStr">
        <is>
          <t>NIE</t>
        </is>
      </c>
      <c r="I22" s="821" t="inlineStr">
        <is>
          <t>źle</t>
        </is>
      </c>
      <c r="J22" s="476" t="n"/>
      <c r="K22" s="476" t="n"/>
    </row>
    <row r="23" ht="20.1" customHeight="1">
      <c r="A23" s="476" t="n"/>
      <c r="B23" s="820" t="n">
        <v>4</v>
      </c>
      <c r="C23" s="720" t="n">
        <v>0.007266661389654976</v>
      </c>
      <c r="D23" s="720" t="n">
        <v>0.0008989286941796129</v>
      </c>
      <c r="E23" s="821" t="inlineStr">
        <is>
          <t>NIE</t>
        </is>
      </c>
      <c r="F23" s="720" t="n">
        <v>-0.003496517733511567</v>
      </c>
      <c r="G23" s="720" t="n">
        <v>0.0008690377137644665</v>
      </c>
      <c r="H23" s="821" t="inlineStr">
        <is>
          <t>NIE</t>
        </is>
      </c>
      <c r="I23" s="821" t="inlineStr">
        <is>
          <t>źle</t>
        </is>
      </c>
      <c r="J23" s="476" t="n"/>
      <c r="K23" s="476" t="n"/>
    </row>
    <row r="24" ht="20.1" customHeight="1">
      <c r="A24" s="476" t="n"/>
      <c r="B24" s="822" t="n">
        <v>5</v>
      </c>
      <c r="C24" s="720" t="n">
        <v>0.0001006801879294978</v>
      </c>
      <c r="D24" s="720" t="n">
        <v>0.0004982436535433509</v>
      </c>
      <c r="E24" s="823" t="inlineStr">
        <is>
          <t>TAK</t>
        </is>
      </c>
      <c r="F24" s="720" t="n">
        <v>0.0007000639897543875</v>
      </c>
      <c r="G24" s="720" t="n">
        <v>0.0004772383600987435</v>
      </c>
      <c r="H24" s="823" t="inlineStr">
        <is>
          <t>TAK</t>
        </is>
      </c>
      <c r="I24" s="823" t="inlineStr">
        <is>
          <t>dobrze</t>
        </is>
      </c>
      <c r="J24" s="476" t="n"/>
      <c r="K24" s="476" t="n"/>
    </row>
    <row r="25" ht="20.1" customHeight="1">
      <c r="A25" s="476" t="n"/>
      <c r="B25" s="822" t="n">
        <v>6</v>
      </c>
      <c r="C25" s="720" t="n">
        <v>0.0001379131694146104</v>
      </c>
      <c r="D25" s="720" t="n">
        <v>0.0005067055963055504</v>
      </c>
      <c r="E25" s="823" t="inlineStr">
        <is>
          <t>TAK</t>
        </is>
      </c>
      <c r="F25" s="720" t="n">
        <v>-0.0004420739617596331</v>
      </c>
      <c r="G25" s="720" t="n">
        <v>0.0004411408176675038</v>
      </c>
      <c r="H25" s="823" t="inlineStr">
        <is>
          <t>TAK</t>
        </is>
      </c>
      <c r="I25" s="823" t="inlineStr">
        <is>
          <t>dobrze</t>
        </is>
      </c>
      <c r="J25" s="476" t="n"/>
      <c r="K25" s="476" t="n"/>
    </row>
    <row r="26" ht="20.1" customHeight="1">
      <c r="A26" s="476" t="n"/>
      <c r="B26" s="822" t="n">
        <v>7</v>
      </c>
      <c r="C26" s="720" t="n">
        <v>-0.002663683943955589</v>
      </c>
      <c r="D26" s="720" t="n">
        <v>0.0005590156966358946</v>
      </c>
      <c r="E26" s="821" t="inlineStr">
        <is>
          <t>NIE</t>
        </is>
      </c>
      <c r="F26" s="720" t="n">
        <v>-0.00405198006726422</v>
      </c>
      <c r="G26" s="720" t="n">
        <v>0.0006029749478337</v>
      </c>
      <c r="H26" s="821" t="inlineStr">
        <is>
          <t>NIE</t>
        </is>
      </c>
      <c r="I26" s="821" t="inlineStr">
        <is>
          <t>źle</t>
        </is>
      </c>
      <c r="J26" s="476" t="n"/>
      <c r="K26" s="476" t="n"/>
    </row>
    <row r="27" ht="20.1" customHeight="1">
      <c r="A27" s="476" t="n"/>
      <c r="B27" s="822" t="n">
        <v>8</v>
      </c>
      <c r="C27" s="720" t="n">
        <v>-0.002736845453163996</v>
      </c>
      <c r="D27" s="720" t="n">
        <v>0.001125837860818426</v>
      </c>
      <c r="E27" s="823" t="inlineStr">
        <is>
          <t>TAK</t>
        </is>
      </c>
      <c r="F27" s="720" t="n">
        <v>-0.003006227875384173</v>
      </c>
      <c r="G27" s="720" t="n">
        <v>0.000838765379552424</v>
      </c>
      <c r="H27" s="821" t="inlineStr">
        <is>
          <t>NIE</t>
        </is>
      </c>
      <c r="I27" s="821" t="inlineStr">
        <is>
          <t>źle</t>
        </is>
      </c>
      <c r="J27" s="476" t="n"/>
      <c r="K27" s="476" t="n"/>
    </row>
    <row r="28" ht="20.1" customHeight="1">
      <c r="A28" s="476" t="n"/>
      <c r="B28" s="822" t="n">
        <v>9</v>
      </c>
      <c r="C28" s="720" t="n">
        <v>-0.0002385933573441106</v>
      </c>
      <c r="D28" s="720" t="n">
        <v>0.0002430576510053747</v>
      </c>
      <c r="E28" s="823" t="inlineStr">
        <is>
          <t>TAK</t>
        </is>
      </c>
      <c r="F28" s="720" t="n">
        <v>-0.0002579900279947545</v>
      </c>
      <c r="G28" s="720" t="n">
        <v>0.0005168550197427421</v>
      </c>
      <c r="H28" s="823" t="inlineStr">
        <is>
          <t>TAK</t>
        </is>
      </c>
      <c r="I28" s="823" t="inlineStr">
        <is>
          <t>dobrze</t>
        </is>
      </c>
      <c r="J28" s="476" t="n"/>
      <c r="K28" s="476" t="n"/>
    </row>
    <row r="29">
      <c r="A29" s="476" t="n"/>
      <c r="B29" s="476" t="n"/>
      <c r="C29" s="476" t="n"/>
      <c r="D29" s="476" t="n"/>
      <c r="E29" s="476" t="n"/>
      <c r="F29" s="476" t="n"/>
      <c r="G29" s="476" t="n"/>
      <c r="H29" s="476" t="n"/>
      <c r="I29" s="476" t="n"/>
      <c r="J29" s="476" t="n"/>
      <c r="K29" s="476" t="n"/>
    </row>
    <row r="30">
      <c r="A30" s="476" t="n"/>
      <c r="B30" s="660" t="n"/>
      <c r="C30" s="476" t="n"/>
      <c r="D30" s="476" t="n"/>
      <c r="E30" s="476" t="n"/>
      <c r="F30" s="476" t="n"/>
      <c r="G30" s="476" t="n"/>
      <c r="H30" s="476" t="n"/>
      <c r="I30" s="476" t="n"/>
      <c r="J30" s="476" t="n"/>
      <c r="K30" s="476" t="n"/>
    </row>
    <row r="31" ht="18" customHeight="1">
      <c r="A31" s="476" t="n"/>
      <c r="B31" s="476" t="n"/>
      <c r="C31" s="476" t="n"/>
      <c r="D31" s="476" t="n"/>
      <c r="E31" s="476" t="n"/>
      <c r="F31" s="476" t="n"/>
      <c r="G31" s="476" t="n"/>
      <c r="H31" s="476" t="n"/>
      <c r="I31" s="476" t="n"/>
      <c r="J31" s="476" t="n"/>
      <c r="K31" s="476" t="n"/>
    </row>
    <row r="32" ht="18" customHeight="1">
      <c r="A32" s="476" t="n"/>
      <c r="B32" s="476" t="n"/>
      <c r="C32" s="824" t="inlineStr">
        <is>
          <t>Wyjściowy</t>
        </is>
      </c>
      <c r="D32" s="652" t="n"/>
      <c r="E32" s="825" t="inlineStr">
        <is>
          <t>Aktualny</t>
        </is>
      </c>
      <c r="F32" s="826" t="n"/>
      <c r="G32" s="476" t="n"/>
      <c r="H32" s="476" t="n"/>
      <c r="I32" s="476" t="n"/>
      <c r="J32" s="476" t="n"/>
      <c r="K32" s="476" t="n"/>
    </row>
    <row r="33" ht="18" customHeight="1">
      <c r="A33" s="476" t="n"/>
      <c r="B33" s="476" t="n"/>
      <c r="C33" s="827" t="inlineStr">
        <is>
          <t>x [m]</t>
        </is>
      </c>
      <c r="D33" s="828" t="inlineStr">
        <is>
          <t>mx [m]</t>
        </is>
      </c>
      <c r="E33" s="828" t="inlineStr">
        <is>
          <t>x [m]</t>
        </is>
      </c>
      <c r="F33" s="829" t="inlineStr">
        <is>
          <t>mx [m]</t>
        </is>
      </c>
      <c r="G33" s="476" t="n"/>
      <c r="H33" s="476" t="n"/>
      <c r="I33" s="476" t="n"/>
      <c r="J33" s="476" t="n"/>
      <c r="K33" s="476" t="n"/>
    </row>
    <row r="34" ht="18" customHeight="1">
      <c r="A34" s="476" t="n"/>
      <c r="B34" s="830" t="n">
        <v>1</v>
      </c>
      <c r="C34" s="831" t="n">
        <v>0.001882125715791753</v>
      </c>
      <c r="D34" s="832" t="n">
        <v>0.0007809965336423793</v>
      </c>
      <c r="E34" s="832" t="n">
        <v>0.01078483300730722</v>
      </c>
      <c r="F34" s="833" t="n">
        <v>0.000836006177375173</v>
      </c>
      <c r="G34" s="476" t="n"/>
      <c r="H34" s="476" t="n"/>
      <c r="I34" s="476" t="n"/>
      <c r="J34" s="476" t="n"/>
      <c r="K34" s="476" t="n"/>
    </row>
    <row r="35" ht="18" customHeight="1">
      <c r="A35" s="476" t="n"/>
      <c r="B35" s="760" t="n"/>
      <c r="C35" s="834" t="n">
        <v>0.0003220278288427659</v>
      </c>
      <c r="D35" s="835" t="n">
        <v>0.0006727075052148292</v>
      </c>
      <c r="E35" s="835" t="n">
        <v>0.005785542328060847</v>
      </c>
      <c r="F35" s="836" t="n">
        <v>0.000734546897895567</v>
      </c>
      <c r="G35" s="476" t="n"/>
      <c r="H35" s="476" t="n"/>
      <c r="I35" s="476" t="n"/>
      <c r="J35" s="476" t="n"/>
      <c r="K35" s="476" t="n"/>
    </row>
    <row r="36" ht="18" customHeight="1">
      <c r="A36" s="476" t="n"/>
      <c r="B36" s="830" t="n">
        <v>2</v>
      </c>
      <c r="C36" s="831" t="inlineStr">
        <is>
          <t>-</t>
        </is>
      </c>
      <c r="D36" s="832" t="inlineStr">
        <is>
          <t>-</t>
        </is>
      </c>
      <c r="E36" s="832" t="n">
        <v>-0.003334494003816733</v>
      </c>
      <c r="F36" s="833" t="n">
        <v>0.0007307069053107702</v>
      </c>
      <c r="G36" s="763" t="n"/>
      <c r="H36" s="476" t="n"/>
      <c r="I36" s="476" t="n"/>
      <c r="J36" s="476" t="n"/>
      <c r="K36" s="476" t="n"/>
    </row>
    <row r="37" ht="18" customHeight="1">
      <c r="A37" s="476" t="n"/>
      <c r="B37" s="760" t="n"/>
      <c r="C37" s="834" t="inlineStr">
        <is>
          <t>-</t>
        </is>
      </c>
      <c r="D37" s="835" t="inlineStr">
        <is>
          <t>-</t>
        </is>
      </c>
      <c r="E37" s="835" t="n">
        <v>0.003535323257781095</v>
      </c>
      <c r="F37" s="836" t="n">
        <v>0.0008618865814832244</v>
      </c>
      <c r="G37" s="476" t="n"/>
      <c r="H37" s="476" t="n"/>
      <c r="I37" s="476" t="n"/>
      <c r="J37" s="476" t="n"/>
      <c r="K37" s="476" t="n"/>
    </row>
    <row r="38" ht="18" customHeight="1">
      <c r="A38" s="476" t="n"/>
      <c r="B38" s="830" t="n">
        <v>3</v>
      </c>
      <c r="C38" s="831" t="n">
        <v>0.0002334406878869818</v>
      </c>
      <c r="D38" s="832" t="n">
        <v>0.0008424815044475115</v>
      </c>
      <c r="E38" s="832" t="inlineStr">
        <is>
          <t>-</t>
        </is>
      </c>
      <c r="F38" s="833" t="inlineStr">
        <is>
          <t>-</t>
        </is>
      </c>
      <c r="G38" s="476" t="n"/>
      <c r="H38" s="476" t="n"/>
      <c r="I38" s="476" t="n"/>
      <c r="J38" s="770" t="n"/>
      <c r="K38" s="770" t="n"/>
    </row>
    <row r="39" ht="18" customHeight="1">
      <c r="A39" s="476" t="n"/>
      <c r="B39" s="760" t="n"/>
      <c r="C39" s="834" t="n">
        <v>0.0008918808347797584</v>
      </c>
      <c r="D39" s="835" t="n">
        <v>0.0006819959288979365</v>
      </c>
      <c r="E39" s="835" t="inlineStr">
        <is>
          <t>-</t>
        </is>
      </c>
      <c r="F39" s="836" t="inlineStr">
        <is>
          <t>-</t>
        </is>
      </c>
      <c r="G39" s="763" t="n"/>
      <c r="H39" s="476" t="n"/>
      <c r="I39" s="476" t="n"/>
      <c r="J39" s="770" t="n"/>
      <c r="K39" s="770" t="n"/>
    </row>
    <row r="40" ht="18" customHeight="1">
      <c r="A40" s="476" t="n"/>
      <c r="B40" s="830" t="n">
        <v>4</v>
      </c>
      <c r="C40" s="831" t="n">
        <v>0.000622479795151019</v>
      </c>
      <c r="D40" s="832" t="n">
        <v>0.0006108631713820032</v>
      </c>
      <c r="E40" s="832" t="n">
        <v>0.007889141184805996</v>
      </c>
      <c r="F40" s="833" t="n">
        <v>0.0006594838762764298</v>
      </c>
      <c r="G40" s="476" t="n"/>
      <c r="H40" s="476" t="n"/>
      <c r="I40" s="476" t="n"/>
      <c r="J40" s="770" t="n"/>
      <c r="K40" s="770" t="n"/>
    </row>
    <row r="41" ht="18" customHeight="1">
      <c r="A41" s="476" t="n"/>
      <c r="B41" s="760" t="n"/>
      <c r="C41" s="834" t="n">
        <v>0.0001928196323583883</v>
      </c>
      <c r="D41" s="835" t="n">
        <v>0.0005865474607862208</v>
      </c>
      <c r="E41" s="835" t="n">
        <v>-0.003303698101153179</v>
      </c>
      <c r="F41" s="836" t="n">
        <v>0.0006412399115699269</v>
      </c>
      <c r="G41" s="476" t="n"/>
      <c r="H41" s="476" t="n"/>
      <c r="I41" s="476" t="n"/>
      <c r="J41" s="770" t="n"/>
      <c r="K41" s="770" t="n"/>
    </row>
    <row r="42" ht="18" customHeight="1">
      <c r="A42" s="476" t="n"/>
      <c r="B42" s="830" t="n">
        <v>5</v>
      </c>
      <c r="C42" s="831" t="n">
        <v>-1.540805544075137e-05</v>
      </c>
      <c r="D42" s="832" t="n">
        <v>0.0003380407106061577</v>
      </c>
      <c r="E42" s="832" t="n">
        <v>8.527213248874646e-05</v>
      </c>
      <c r="F42" s="833" t="n">
        <v>0.0003660262507923587</v>
      </c>
      <c r="G42" s="476" t="n"/>
      <c r="H42" s="476" t="n"/>
      <c r="I42" s="476" t="n"/>
      <c r="J42" s="770" t="n"/>
      <c r="K42" s="770" t="n"/>
    </row>
    <row r="43" ht="18" customHeight="1">
      <c r="A43" s="476" t="n"/>
      <c r="B43" s="760" t="n"/>
      <c r="C43" s="834" t="n">
        <v>-0.0006532521671825497</v>
      </c>
      <c r="D43" s="835" t="n">
        <v>0.0003174052411585846</v>
      </c>
      <c r="E43" s="835" t="n">
        <v>4.681182257183784e-05</v>
      </c>
      <c r="F43" s="836" t="n">
        <v>0.0003563851361025019</v>
      </c>
      <c r="G43" s="476" t="n"/>
      <c r="H43" s="476" t="n"/>
      <c r="I43" s="476" t="n"/>
      <c r="J43" s="770" t="n"/>
      <c r="K43" s="770" t="n"/>
    </row>
    <row r="44" ht="18" customHeight="1">
      <c r="A44" s="476" t="n"/>
      <c r="B44" s="830" t="n">
        <v>6</v>
      </c>
      <c r="C44" s="831" t="n">
        <v>-8.753833003130007e-05</v>
      </c>
      <c r="D44" s="832" t="n">
        <v>0.000343943032755023</v>
      </c>
      <c r="E44" s="832" t="n">
        <v>5.037483938331028e-05</v>
      </c>
      <c r="F44" s="833" t="n">
        <v>0.0003720937402680144</v>
      </c>
      <c r="G44" s="476" t="n"/>
      <c r="H44" s="476" t="n"/>
      <c r="I44" s="476" t="n"/>
      <c r="J44" s="770" t="n"/>
      <c r="K44" s="770" t="n"/>
    </row>
    <row r="45" ht="18" customHeight="1">
      <c r="A45" s="476" t="n"/>
      <c r="B45" s="760" t="n"/>
      <c r="C45" s="834" t="n">
        <v>0.000240050798478477</v>
      </c>
      <c r="D45" s="835" t="n">
        <v>0.0002987619183280047</v>
      </c>
      <c r="E45" s="835" t="n">
        <v>-0.0002020231632811561</v>
      </c>
      <c r="F45" s="836" t="n">
        <v>0.0003245713129180158</v>
      </c>
      <c r="G45" s="476" t="n"/>
      <c r="H45" s="476" t="n"/>
      <c r="I45" s="476" t="n"/>
      <c r="J45" s="476" t="n"/>
      <c r="K45" s="476" t="n"/>
    </row>
    <row r="46" ht="18" customHeight="1">
      <c r="A46" s="476" t="n"/>
      <c r="B46" s="830" t="n">
        <v>7</v>
      </c>
      <c r="C46" s="831" t="n">
        <v>-0.0002725833483454633</v>
      </c>
      <c r="D46" s="832" t="n">
        <v>0.0003805578251940149</v>
      </c>
      <c r="E46" s="832" t="n">
        <v>-0.002936267292301053</v>
      </c>
      <c r="F46" s="833" t="n">
        <v>0.0004094805132957077</v>
      </c>
      <c r="G46" s="476" t="n"/>
      <c r="H46" s="476" t="n"/>
      <c r="I46" s="476" t="n"/>
      <c r="J46" s="476" t="n"/>
      <c r="K46" s="476" t="n"/>
    </row>
    <row r="47" ht="18" customHeight="1">
      <c r="A47" s="476" t="n"/>
      <c r="B47" s="760" t="n"/>
      <c r="C47" s="834" t="n">
        <v>-0.0001168522349069685</v>
      </c>
      <c r="D47" s="835" t="n">
        <v>0.0004086661593845735</v>
      </c>
      <c r="E47" s="835" t="n">
        <v>-0.004168832302171188</v>
      </c>
      <c r="F47" s="836" t="n">
        <v>0.0004433630091571867</v>
      </c>
      <c r="G47" s="476" t="n"/>
      <c r="H47" s="476" t="n"/>
      <c r="I47" s="476" t="n"/>
      <c r="J47" s="770" t="n"/>
      <c r="K47" s="476" t="n"/>
    </row>
    <row r="48" ht="18" customHeight="1">
      <c r="A48" s="476" t="n"/>
      <c r="B48" s="830" t="n">
        <v>8</v>
      </c>
      <c r="C48" s="831" t="n">
        <v>-2.014116186637006e-06</v>
      </c>
      <c r="D48" s="832" t="n">
        <v>0.0008025231556039226</v>
      </c>
      <c r="E48" s="832" t="n">
        <v>-0.002738859569350633</v>
      </c>
      <c r="F48" s="833" t="n">
        <v>0.0007895995653315243</v>
      </c>
      <c r="G48" s="476" t="n"/>
      <c r="H48" s="476" t="n"/>
      <c r="I48" s="476" t="n"/>
      <c r="J48" s="476" t="n"/>
      <c r="K48" s="476" t="n"/>
    </row>
    <row r="49" ht="18" customHeight="1">
      <c r="A49" s="476" t="n"/>
      <c r="B49" s="760" t="n"/>
      <c r="C49" s="834" t="n">
        <v>-0.001097473731735472</v>
      </c>
      <c r="D49" s="835" t="n">
        <v>0.000569638477757669</v>
      </c>
      <c r="E49" s="835" t="n">
        <v>-0.004103701607119646</v>
      </c>
      <c r="F49" s="836" t="n">
        <v>0.0006156617306554367</v>
      </c>
      <c r="G49" s="476" t="n"/>
      <c r="H49" s="476" t="n"/>
      <c r="I49" s="476" t="n"/>
      <c r="J49" s="476" t="n"/>
      <c r="K49" s="476" t="n"/>
    </row>
    <row r="50" ht="18" customHeight="1">
      <c r="A50" s="476" t="n"/>
      <c r="B50" s="837" t="n">
        <v>9</v>
      </c>
      <c r="C50" s="838" t="n">
        <v>0.0001029463854720501</v>
      </c>
      <c r="D50" s="839" t="n">
        <v>0.0001639875380706729</v>
      </c>
      <c r="E50" s="839" t="n">
        <v>-0.0001356469718720605</v>
      </c>
      <c r="F50" s="840" t="n">
        <v>0.000179402087696242</v>
      </c>
      <c r="G50" s="476" t="n"/>
      <c r="H50" s="476" t="n"/>
      <c r="I50" s="476" t="n"/>
      <c r="J50" s="476" t="n"/>
      <c r="K50" s="476" t="n"/>
    </row>
    <row r="51" ht="18" customHeight="1">
      <c r="A51" s="476" t="n"/>
      <c r="B51" s="760" t="n"/>
      <c r="C51" s="834" t="n">
        <v>0.0004132013687040723</v>
      </c>
      <c r="D51" s="835" t="n">
        <v>0.0003412539632679983</v>
      </c>
      <c r="E51" s="835" t="n">
        <v>0.0001552113407093179</v>
      </c>
      <c r="F51" s="836" t="n">
        <v>0.0003881814575519472</v>
      </c>
      <c r="G51" s="476" t="n"/>
      <c r="H51" s="476" t="n"/>
      <c r="I51" s="476" t="n"/>
      <c r="J51" s="476" t="n"/>
      <c r="K51" s="476" t="n"/>
    </row>
    <row r="52" ht="18" customHeight="1">
      <c r="A52" s="476" t="n"/>
      <c r="B52" s="476" t="n"/>
      <c r="C52" s="476" t="n"/>
      <c r="D52" s="476" t="n"/>
      <c r="E52" s="476" t="n"/>
      <c r="F52" s="476" t="n"/>
      <c r="G52" s="476" t="n"/>
      <c r="H52" s="476" t="n"/>
      <c r="I52" s="476" t="n"/>
      <c r="J52" s="476" t="n"/>
      <c r="K52" s="476" t="n"/>
    </row>
    <row r="53" ht="18" customHeight="1">
      <c r="A53" s="476" t="n"/>
      <c r="B53" s="476" t="n"/>
      <c r="C53" s="476" t="n"/>
      <c r="D53" s="476" t="n"/>
      <c r="E53" s="476" t="n"/>
      <c r="F53" s="476" t="n"/>
      <c r="G53" s="476" t="n"/>
      <c r="H53" s="476" t="n"/>
      <c r="I53" s="476" t="n"/>
      <c r="J53" s="770" t="n"/>
      <c r="K53" s="476" t="n"/>
    </row>
  </sheetData>
  <mergeCells count="13">
    <mergeCell ref="C32:D32"/>
    <mergeCell ref="B48:B49"/>
    <mergeCell ref="E32:F32"/>
    <mergeCell ref="B36:B37"/>
    <mergeCell ref="B46:B47"/>
    <mergeCell ref="B34:B35"/>
    <mergeCell ref="B50:B51"/>
    <mergeCell ref="B42:B43"/>
    <mergeCell ref="B40:B41"/>
    <mergeCell ref="C3:D3"/>
    <mergeCell ref="B38:B39"/>
    <mergeCell ref="E3:F3"/>
    <mergeCell ref="B44:B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tabSelected="1" workbookViewId="0">
      <selection activeCell="L24" sqref="L24"/>
    </sheetView>
  </sheetViews>
  <sheetFormatPr baseColWidth="10" defaultColWidth="8.83203125" defaultRowHeight="15"/>
  <cols>
    <col width="5" customWidth="1" min="1" max="1"/>
    <col width="10" customWidth="1" min="2" max="4"/>
    <col width="12" customWidth="1" min="5" max="5"/>
    <col width="10" customWidth="1" min="6" max="8"/>
    <col width="12" customWidth="1" min="9" max="9"/>
    <col width="5" customWidth="1" min="10" max="11"/>
    <col width="12" customWidth="1" min="12" max="14"/>
  </cols>
  <sheetData>
    <row r="1"/>
    <row r="2">
      <c r="B2" s="386" t="inlineStr">
        <is>
          <t>ID</t>
        </is>
      </c>
      <c r="C2" s="387" t="n">
        <v>3</v>
      </c>
    </row>
    <row r="3" ht="18" customHeight="1">
      <c r="B3" s="388" t="inlineStr">
        <is>
          <t>Wyniki pomiaru wyjściowego</t>
        </is>
      </c>
      <c r="C3" s="596" t="n"/>
      <c r="D3" s="596" t="n"/>
      <c r="E3" s="767" t="n"/>
      <c r="F3" s="389" t="inlineStr">
        <is>
          <t>Wyniki pomiaru aktualnego</t>
        </is>
      </c>
      <c r="G3" s="596" t="n"/>
      <c r="H3" s="596" t="n"/>
      <c r="I3" s="767" t="n"/>
      <c r="L3" s="841" t="inlineStr">
        <is>
          <t>Współrzedne przybliżone</t>
        </is>
      </c>
      <c r="M3" s="506" t="n"/>
      <c r="N3" s="507" t="n"/>
    </row>
    <row r="4" ht="18" customHeight="1">
      <c r="B4" s="391" t="inlineStr">
        <is>
          <t>c</t>
        </is>
      </c>
      <c r="C4" s="391" t="inlineStr">
        <is>
          <t>l</t>
        </is>
      </c>
      <c r="D4" s="391" t="inlineStr">
        <is>
          <t>p</t>
        </is>
      </c>
      <c r="E4" s="392" t="inlineStr">
        <is>
          <t>Lobs. [m]</t>
        </is>
      </c>
      <c r="F4" s="391" t="inlineStr">
        <is>
          <t>c</t>
        </is>
      </c>
      <c r="G4" s="391" t="inlineStr">
        <is>
          <t>l</t>
        </is>
      </c>
      <c r="H4" s="391" t="inlineStr">
        <is>
          <t>p</t>
        </is>
      </c>
      <c r="I4" s="392" t="inlineStr">
        <is>
          <t>Lobs. [m]</t>
        </is>
      </c>
      <c r="L4" s="396" t="inlineStr">
        <is>
          <t>NR</t>
        </is>
      </c>
      <c r="M4" s="397" t="inlineStr">
        <is>
          <t>Xo</t>
        </is>
      </c>
      <c r="N4" s="398" t="inlineStr">
        <is>
          <t>Yo</t>
        </is>
      </c>
    </row>
    <row r="5">
      <c r="B5" s="2" t="n">
        <v>7</v>
      </c>
      <c r="C5" s="2" t="n">
        <v>1</v>
      </c>
      <c r="D5" s="2" t="n">
        <v>0</v>
      </c>
      <c r="E5" s="2" t="n">
        <v>271.7062</v>
      </c>
      <c r="F5" s="2" t="n">
        <v>7</v>
      </c>
      <c r="G5" s="2" t="n">
        <v>1</v>
      </c>
      <c r="H5" s="2" t="n">
        <v>0</v>
      </c>
      <c r="I5" s="2" t="n">
        <v>271.702</v>
      </c>
      <c r="L5" s="399" t="n">
        <v>1</v>
      </c>
      <c r="M5" s="9" t="n">
        <v>240</v>
      </c>
      <c r="N5" s="10" t="n">
        <v>120</v>
      </c>
    </row>
    <row r="6">
      <c r="B6" s="3" t="n">
        <v>7</v>
      </c>
      <c r="C6" s="3" t="n">
        <v>5</v>
      </c>
      <c r="D6" s="3" t="n">
        <v>0</v>
      </c>
      <c r="E6" s="3" t="n">
        <v>155.7243</v>
      </c>
      <c r="F6" s="3" t="n">
        <v>7</v>
      </c>
      <c r="G6" s="3" t="n">
        <v>5</v>
      </c>
      <c r="H6" s="3" t="n">
        <v>0</v>
      </c>
      <c r="I6" s="3" t="n">
        <v>155.7279</v>
      </c>
      <c r="L6" s="400" t="n">
        <v>2</v>
      </c>
      <c r="M6" s="1" t="n">
        <v>385</v>
      </c>
      <c r="N6" s="12" t="n">
        <v>145</v>
      </c>
    </row>
    <row r="7">
      <c r="B7" s="3" t="n">
        <v>7</v>
      </c>
      <c r="C7" s="3" t="n">
        <v>6</v>
      </c>
      <c r="D7" s="3" t="n">
        <v>0</v>
      </c>
      <c r="E7" s="3" t="n">
        <v>178.4659</v>
      </c>
      <c r="F7" s="3" t="n">
        <v>7</v>
      </c>
      <c r="G7" s="3" t="n">
        <v>6</v>
      </c>
      <c r="H7" s="3" t="n">
        <v>0</v>
      </c>
      <c r="I7" s="3" t="n">
        <v>178.4685</v>
      </c>
      <c r="L7" s="400" t="n">
        <v>3</v>
      </c>
      <c r="M7" s="1" t="n">
        <v>475</v>
      </c>
      <c r="N7" s="12" t="n">
        <v>245</v>
      </c>
    </row>
    <row r="8">
      <c r="B8" s="3" t="n">
        <v>7</v>
      </c>
      <c r="C8" s="3" t="n">
        <v>8</v>
      </c>
      <c r="D8" s="3" t="n">
        <v>0</v>
      </c>
      <c r="E8" s="3" t="n">
        <v>148.0717</v>
      </c>
      <c r="F8" s="3" t="n">
        <v>7</v>
      </c>
      <c r="G8" s="3" t="n">
        <v>8</v>
      </c>
      <c r="H8" s="3" t="n">
        <v>0</v>
      </c>
      <c r="I8" s="3" t="n">
        <v>148.0689</v>
      </c>
      <c r="L8" s="400" t="n">
        <v>4</v>
      </c>
      <c r="M8" s="1" t="n">
        <v>435</v>
      </c>
      <c r="N8" s="12" t="n">
        <v>435</v>
      </c>
    </row>
    <row r="9">
      <c r="B9" s="3" t="n">
        <v>7</v>
      </c>
      <c r="C9" s="3" t="n">
        <v>9</v>
      </c>
      <c r="D9" s="3" t="n">
        <v>0</v>
      </c>
      <c r="E9" s="3" t="n">
        <v>174.5226</v>
      </c>
      <c r="F9" s="3" t="n">
        <v>7</v>
      </c>
      <c r="G9" s="3" t="n">
        <v>9</v>
      </c>
      <c r="H9" s="3" t="n">
        <v>0</v>
      </c>
      <c r="I9" s="3" t="n">
        <v>174.522</v>
      </c>
      <c r="L9" s="400" t="n">
        <v>5</v>
      </c>
      <c r="M9" s="1" t="n">
        <v>295</v>
      </c>
      <c r="N9" s="12" t="n">
        <v>490</v>
      </c>
    </row>
    <row r="10">
      <c r="B10" s="3" t="n">
        <v>8</v>
      </c>
      <c r="C10" s="3" t="n">
        <v>1</v>
      </c>
      <c r="D10" s="3" t="n">
        <v>0</v>
      </c>
      <c r="E10" s="3" t="n">
        <v>149.9983</v>
      </c>
      <c r="F10" s="3" t="n">
        <v>8</v>
      </c>
      <c r="G10" s="3" t="n">
        <v>1</v>
      </c>
      <c r="H10" s="3" t="n">
        <v>0</v>
      </c>
      <c r="I10" s="3" t="n">
        <v>150.0006</v>
      </c>
      <c r="L10" s="400" t="n">
        <v>6</v>
      </c>
      <c r="M10" s="1" t="n">
        <v>145</v>
      </c>
      <c r="N10" s="12" t="n">
        <v>560</v>
      </c>
    </row>
    <row r="11">
      <c r="B11" s="3" t="n">
        <v>8</v>
      </c>
      <c r="C11" s="3" t="n">
        <v>9</v>
      </c>
      <c r="D11" s="3" t="n">
        <v>0</v>
      </c>
      <c r="E11" s="3" t="n">
        <v>166.1118</v>
      </c>
      <c r="F11" s="3" t="n">
        <v>8</v>
      </c>
      <c r="G11" s="3" t="n">
        <v>9</v>
      </c>
      <c r="H11" s="3" t="n">
        <v>0</v>
      </c>
      <c r="I11" s="3" t="n">
        <v>166.1145</v>
      </c>
      <c r="L11" s="400" t="n">
        <v>7</v>
      </c>
      <c r="M11" s="1" t="n">
        <v>180</v>
      </c>
      <c r="N11" s="12" t="n">
        <v>385</v>
      </c>
    </row>
    <row r="12">
      <c r="B12" s="3" t="n">
        <v>8</v>
      </c>
      <c r="C12" s="3" t="n">
        <v>7</v>
      </c>
      <c r="D12" s="3" t="n">
        <v>0</v>
      </c>
      <c r="E12" s="3" t="n">
        <v>148.0732</v>
      </c>
      <c r="F12" s="3" t="n">
        <v>8</v>
      </c>
      <c r="G12" s="3" t="n">
        <v>7</v>
      </c>
      <c r="H12" s="3" t="n">
        <v>0</v>
      </c>
      <c r="I12" s="3" t="n">
        <v>148.0712</v>
      </c>
      <c r="L12" s="400" t="n">
        <v>8</v>
      </c>
      <c r="M12" s="1" t="n">
        <v>150</v>
      </c>
      <c r="N12" s="12" t="n">
        <v>240</v>
      </c>
    </row>
    <row r="13">
      <c r="B13" s="3" t="n">
        <v>8</v>
      </c>
      <c r="C13" s="3" t="n">
        <v>6</v>
      </c>
      <c r="D13" s="3" t="n">
        <v>0</v>
      </c>
      <c r="E13" s="3" t="n">
        <v>320.0413</v>
      </c>
      <c r="F13" s="3" t="n">
        <v>8</v>
      </c>
      <c r="G13" s="3" t="n">
        <v>6</v>
      </c>
      <c r="H13" s="3" t="n">
        <v>0</v>
      </c>
      <c r="I13" s="3" t="n">
        <v>320.0445</v>
      </c>
      <c r="L13" s="401" t="n">
        <v>9</v>
      </c>
      <c r="M13" s="14" t="n">
        <v>313</v>
      </c>
      <c r="N13" s="15" t="n">
        <v>272</v>
      </c>
    </row>
    <row r="14">
      <c r="B14" s="3" t="n">
        <v>1</v>
      </c>
      <c r="C14" s="110" t="n">
        <v>3</v>
      </c>
      <c r="D14" s="3" t="n">
        <v>0</v>
      </c>
      <c r="E14" s="3" t="n">
        <v>266.1756</v>
      </c>
      <c r="F14" s="3" t="n">
        <v>1</v>
      </c>
      <c r="G14" s="110" t="n">
        <v>2</v>
      </c>
      <c r="H14" s="3" t="n">
        <v>0</v>
      </c>
      <c r="I14" s="3" t="n">
        <v>147.1241</v>
      </c>
    </row>
    <row r="15">
      <c r="B15" s="3" t="n">
        <v>1</v>
      </c>
      <c r="C15" s="3" t="n">
        <v>9</v>
      </c>
      <c r="D15" s="3" t="n">
        <v>0</v>
      </c>
      <c r="E15" s="3" t="n">
        <v>168.6215</v>
      </c>
      <c r="F15" s="3" t="n">
        <v>1</v>
      </c>
      <c r="G15" s="3" t="n">
        <v>9</v>
      </c>
      <c r="H15" s="3" t="n">
        <v>0</v>
      </c>
      <c r="I15" s="3" t="n">
        <v>168.6108</v>
      </c>
      <c r="L15" s="402" t="inlineStr">
        <is>
          <t>σβ</t>
        </is>
      </c>
      <c r="M15" s="404" t="n">
        <v>3</v>
      </c>
      <c r="N15" s="405" t="inlineStr">
        <is>
          <t>cc</t>
        </is>
      </c>
    </row>
    <row r="16">
      <c r="B16" s="3" t="n">
        <v>1</v>
      </c>
      <c r="C16" s="3" t="n">
        <v>7</v>
      </c>
      <c r="D16" s="3" t="n">
        <v>0</v>
      </c>
      <c r="E16" s="3" t="n">
        <v>271.7081</v>
      </c>
      <c r="F16" s="3" t="n">
        <v>1</v>
      </c>
      <c r="G16" s="3" t="n">
        <v>7</v>
      </c>
      <c r="H16" s="3" t="n">
        <v>0</v>
      </c>
      <c r="I16" s="3" t="n">
        <v>271.7008</v>
      </c>
      <c r="L16" s="403" t="inlineStr">
        <is>
          <t>σd</t>
        </is>
      </c>
      <c r="M16" s="406" t="inlineStr">
        <is>
          <t>0,001+10-6d</t>
        </is>
      </c>
      <c r="N16" s="407" t="inlineStr">
        <is>
          <t>m</t>
        </is>
      </c>
    </row>
    <row r="17">
      <c r="B17" s="110" t="n">
        <v>3</v>
      </c>
      <c r="C17" s="110" t="n">
        <v>5</v>
      </c>
      <c r="D17" s="3" t="n">
        <v>0</v>
      </c>
      <c r="E17" s="3" t="n">
        <v>304.0138</v>
      </c>
      <c r="F17" s="110" t="n">
        <v>2</v>
      </c>
      <c r="G17" s="110" t="n">
        <v>8</v>
      </c>
      <c r="H17" s="3" t="n">
        <v>0</v>
      </c>
      <c r="I17" s="3" t="n">
        <v>253.4723</v>
      </c>
    </row>
    <row r="18">
      <c r="B18" s="110" t="n">
        <v>3</v>
      </c>
      <c r="C18" s="3" t="n">
        <v>9</v>
      </c>
      <c r="D18" s="3" t="n">
        <v>0</v>
      </c>
      <c r="E18" s="3" t="n">
        <v>164.2349</v>
      </c>
      <c r="F18" s="110" t="n">
        <v>2</v>
      </c>
      <c r="G18" s="3" t="n">
        <v>9</v>
      </c>
      <c r="H18" s="3" t="n">
        <v>0</v>
      </c>
      <c r="I18" s="3" t="n">
        <v>145.9865</v>
      </c>
    </row>
    <row r="19">
      <c r="B19" s="110" t="n">
        <v>3</v>
      </c>
      <c r="C19" s="3" t="n">
        <v>4</v>
      </c>
      <c r="D19" s="3" t="n">
        <v>0</v>
      </c>
      <c r="E19" s="3" t="n">
        <v>194.1629</v>
      </c>
      <c r="F19" s="110" t="n">
        <v>2</v>
      </c>
      <c r="G19" s="3" t="n">
        <v>4</v>
      </c>
      <c r="H19" s="3" t="n">
        <v>0</v>
      </c>
      <c r="I19" s="3" t="n">
        <v>294.2725</v>
      </c>
    </row>
    <row r="20">
      <c r="B20" s="3" t="n">
        <v>4</v>
      </c>
      <c r="C20" s="3" t="n">
        <v>5</v>
      </c>
      <c r="D20" s="3" t="n">
        <v>0</v>
      </c>
      <c r="E20" s="3" t="n">
        <v>150.4167</v>
      </c>
      <c r="F20" s="3" t="n">
        <v>4</v>
      </c>
      <c r="G20" s="3" t="n">
        <v>5</v>
      </c>
      <c r="H20" s="3" t="n">
        <v>0</v>
      </c>
      <c r="I20" s="3" t="n">
        <v>150.4243</v>
      </c>
    </row>
    <row r="21">
      <c r="B21" s="3" t="n">
        <v>4</v>
      </c>
      <c r="C21" s="3" t="n">
        <v>7</v>
      </c>
      <c r="D21" s="3" t="n">
        <v>0</v>
      </c>
      <c r="E21" s="3" t="n">
        <v>259.8561</v>
      </c>
      <c r="F21" s="3" t="n">
        <v>4</v>
      </c>
      <c r="G21" s="3" t="n">
        <v>7</v>
      </c>
      <c r="H21" s="3" t="n">
        <v>0</v>
      </c>
      <c r="I21" s="3" t="n">
        <v>259.868</v>
      </c>
    </row>
    <row r="22">
      <c r="B22" s="3" t="n">
        <v>4</v>
      </c>
      <c r="C22" s="3" t="n">
        <v>9</v>
      </c>
      <c r="D22" s="3" t="n">
        <v>0</v>
      </c>
      <c r="E22" s="3" t="n">
        <v>203.6004</v>
      </c>
      <c r="F22" s="3" t="n">
        <v>4</v>
      </c>
      <c r="G22" s="3" t="n">
        <v>9</v>
      </c>
      <c r="H22" s="3" t="n">
        <v>0</v>
      </c>
      <c r="I22" s="3" t="n">
        <v>203.6019</v>
      </c>
    </row>
    <row r="23">
      <c r="B23" s="3" t="n">
        <v>6</v>
      </c>
      <c r="C23" s="3" t="n">
        <v>9</v>
      </c>
      <c r="D23" s="3" t="n">
        <v>0</v>
      </c>
      <c r="E23" s="3" t="n">
        <v>333.4194</v>
      </c>
      <c r="F23" s="3" t="n">
        <v>6</v>
      </c>
      <c r="G23" s="3" t="n">
        <v>9</v>
      </c>
      <c r="H23" s="3" t="n">
        <v>0</v>
      </c>
      <c r="I23" s="3" t="n">
        <v>333.4174</v>
      </c>
    </row>
    <row r="24">
      <c r="B24" s="112" t="n">
        <v>6</v>
      </c>
      <c r="C24" s="112" t="n">
        <v>5</v>
      </c>
      <c r="D24" s="112" t="n">
        <v>0</v>
      </c>
      <c r="E24" s="112" t="n">
        <v>165.528</v>
      </c>
      <c r="F24" s="112" t="n">
        <v>6</v>
      </c>
      <c r="G24" s="112" t="n">
        <v>5</v>
      </c>
      <c r="H24" s="112" t="n">
        <v>0</v>
      </c>
      <c r="I24" s="112" t="n">
        <v>165.5303</v>
      </c>
    </row>
    <row r="25">
      <c r="B25" s="2" t="n">
        <v>9</v>
      </c>
      <c r="C25" s="2" t="n">
        <v>1</v>
      </c>
      <c r="D25" s="113" t="n">
        <v>3</v>
      </c>
      <c r="E25" s="2" t="n">
        <v>117.9893</v>
      </c>
      <c r="F25" s="2" t="n">
        <v>9</v>
      </c>
      <c r="G25" s="2" t="n">
        <v>1</v>
      </c>
      <c r="H25" s="113" t="n">
        <v>2</v>
      </c>
      <c r="I25" s="2" t="n">
        <v>61.3342</v>
      </c>
    </row>
    <row r="26">
      <c r="B26" s="3" t="n">
        <v>9</v>
      </c>
      <c r="C26" s="110" t="n">
        <v>3</v>
      </c>
      <c r="D26" s="3" t="n">
        <v>4</v>
      </c>
      <c r="E26" s="3" t="n">
        <v>69.6093</v>
      </c>
      <c r="F26" s="3" t="n">
        <v>9</v>
      </c>
      <c r="G26" s="110" t="n">
        <v>2</v>
      </c>
      <c r="H26" s="3" t="n">
        <v>4</v>
      </c>
      <c r="I26" s="3" t="n">
        <v>126.2606</v>
      </c>
    </row>
    <row r="27">
      <c r="B27" s="3" t="n">
        <v>9</v>
      </c>
      <c r="C27" s="3" t="n">
        <v>4</v>
      </c>
      <c r="D27" s="3" t="n">
        <v>5</v>
      </c>
      <c r="E27" s="3" t="n">
        <v>46.1487</v>
      </c>
      <c r="F27" s="3" t="n">
        <v>9</v>
      </c>
      <c r="G27" s="3" t="n">
        <v>4</v>
      </c>
      <c r="H27" s="3" t="n">
        <v>5</v>
      </c>
      <c r="I27" s="3" t="n">
        <v>46.1513</v>
      </c>
    </row>
    <row r="28">
      <c r="B28" s="3" t="n">
        <v>9</v>
      </c>
      <c r="C28" s="3" t="n">
        <v>5</v>
      </c>
      <c r="D28" s="3" t="n">
        <v>7</v>
      </c>
      <c r="E28" s="3" t="n">
        <v>49.92</v>
      </c>
      <c r="F28" s="3" t="n">
        <v>9</v>
      </c>
      <c r="G28" s="3" t="n">
        <v>5</v>
      </c>
      <c r="H28" s="3" t="n">
        <v>7</v>
      </c>
      <c r="I28" s="3" t="n">
        <v>49.9219</v>
      </c>
    </row>
    <row r="29">
      <c r="B29" s="3" t="n">
        <v>9</v>
      </c>
      <c r="C29" s="3" t="n">
        <v>7</v>
      </c>
      <c r="D29" s="3" t="n">
        <v>8</v>
      </c>
      <c r="E29" s="3" t="n">
        <v>57.1766</v>
      </c>
      <c r="F29" s="3" t="n">
        <v>9</v>
      </c>
      <c r="G29" s="3" t="n">
        <v>7</v>
      </c>
      <c r="H29" s="3" t="n">
        <v>8</v>
      </c>
      <c r="I29" s="3" t="n">
        <v>57.1764</v>
      </c>
    </row>
    <row r="30">
      <c r="B30" s="3" t="n">
        <v>9</v>
      </c>
      <c r="C30" s="3" t="n">
        <v>8</v>
      </c>
      <c r="D30" s="3" t="n">
        <v>1</v>
      </c>
      <c r="E30" s="3" t="n">
        <v>59.1555</v>
      </c>
      <c r="F30" s="3" t="n">
        <v>9</v>
      </c>
      <c r="G30" s="3" t="n">
        <v>8</v>
      </c>
      <c r="H30" s="3" t="n">
        <v>1</v>
      </c>
      <c r="I30" s="3" t="n">
        <v>59.1567</v>
      </c>
    </row>
    <row r="31">
      <c r="B31" s="3" t="n">
        <v>6</v>
      </c>
      <c r="C31" s="3" t="n">
        <v>8</v>
      </c>
      <c r="D31" s="3" t="n">
        <v>7</v>
      </c>
      <c r="E31" s="3" t="n">
        <v>11.5719</v>
      </c>
      <c r="F31" s="3" t="n">
        <v>6</v>
      </c>
      <c r="G31" s="3" t="n">
        <v>8</v>
      </c>
      <c r="H31" s="3" t="n">
        <v>7</v>
      </c>
      <c r="I31" s="3" t="n">
        <v>11.5714</v>
      </c>
    </row>
    <row r="32">
      <c r="B32" s="3" t="n">
        <v>6</v>
      </c>
      <c r="C32" s="3" t="n">
        <v>7</v>
      </c>
      <c r="D32" s="3" t="n">
        <v>9</v>
      </c>
      <c r="E32" s="3" t="n">
        <v>21.0515</v>
      </c>
      <c r="F32" s="3" t="n">
        <v>6</v>
      </c>
      <c r="G32" s="3" t="n">
        <v>7</v>
      </c>
      <c r="H32" s="3" t="n">
        <v>9</v>
      </c>
      <c r="I32" s="3" t="n">
        <v>21.0531</v>
      </c>
    </row>
    <row r="33">
      <c r="B33" s="3" t="n">
        <v>6</v>
      </c>
      <c r="C33" s="3" t="n">
        <v>9</v>
      </c>
      <c r="D33" s="3" t="n">
        <v>5</v>
      </c>
      <c r="E33" s="3" t="n">
        <v>38.5847</v>
      </c>
      <c r="F33" s="3" t="n">
        <v>6</v>
      </c>
      <c r="G33" s="3" t="n">
        <v>9</v>
      </c>
      <c r="H33" s="3" t="n">
        <v>5</v>
      </c>
      <c r="I33" s="3" t="n">
        <v>38.5857</v>
      </c>
    </row>
    <row r="34">
      <c r="B34" s="3" t="n">
        <v>5</v>
      </c>
      <c r="C34" s="3" t="n">
        <v>6</v>
      </c>
      <c r="D34" s="3" t="n">
        <v>7</v>
      </c>
      <c r="E34" s="3" t="n">
        <v>74.90470000000001</v>
      </c>
      <c r="F34" s="3" t="n">
        <v>5</v>
      </c>
      <c r="G34" s="3" t="n">
        <v>6</v>
      </c>
      <c r="H34" s="3" t="n">
        <v>7</v>
      </c>
      <c r="I34" s="3" t="n">
        <v>74.9054</v>
      </c>
    </row>
    <row r="35">
      <c r="B35" s="3" t="n">
        <v>5</v>
      </c>
      <c r="C35" s="3" t="n">
        <v>7</v>
      </c>
      <c r="D35" s="3" t="n">
        <v>9</v>
      </c>
      <c r="E35" s="3" t="n">
        <v>58.1366</v>
      </c>
      <c r="F35" s="3" t="n">
        <v>5</v>
      </c>
      <c r="G35" s="3" t="n">
        <v>7</v>
      </c>
      <c r="H35" s="3" t="n">
        <v>9</v>
      </c>
      <c r="I35" s="3" t="n">
        <v>58.1359</v>
      </c>
    </row>
    <row r="36">
      <c r="B36" s="4" t="n">
        <v>5</v>
      </c>
      <c r="C36" s="4" t="n">
        <v>9</v>
      </c>
      <c r="D36" s="4" t="n">
        <v>4</v>
      </c>
      <c r="E36" s="4" t="n">
        <v>70.9251</v>
      </c>
      <c r="F36" s="4" t="n">
        <v>5</v>
      </c>
      <c r="G36" s="4" t="n">
        <v>9</v>
      </c>
      <c r="H36" s="4" t="n">
        <v>4</v>
      </c>
      <c r="I36" s="4" t="n">
        <v>70.9246</v>
      </c>
    </row>
  </sheetData>
  <mergeCells count="3">
    <mergeCell ref="L3:N3"/>
    <mergeCell ref="F3:I3"/>
    <mergeCell ref="B3:E3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10" defaultColWidth="8.83203125" defaultRowHeight="15"/>
  <cols>
    <col width="5" customWidth="1" min="1" max="1"/>
    <col width="10" customWidth="1" min="2" max="2"/>
    <col width="12" customWidth="1" min="3" max="6"/>
    <col width="5" customWidth="1" min="7" max="7"/>
    <col width="5" customWidth="1" min="8" max="8"/>
    <col width="13" customWidth="1" min="9" max="15"/>
  </cols>
  <sheetData>
    <row r="1" ht="18" customHeight="1">
      <c r="N1" s="475" t="inlineStr">
        <is>
          <t>Baza zidentyfikowana</t>
        </is>
      </c>
      <c r="O1" s="475" t="inlineStr">
        <is>
          <t>5, 6, 9</t>
        </is>
      </c>
    </row>
    <row r="2" ht="18" customHeight="1">
      <c r="B2" s="23" t="n"/>
      <c r="C2" s="447" t="inlineStr">
        <is>
          <t>Wyjściowy</t>
        </is>
      </c>
      <c r="D2" s="767" t="n"/>
      <c r="E2" s="842" t="inlineStr">
        <is>
          <t>Aktualny</t>
        </is>
      </c>
      <c r="F2" s="597" t="n"/>
      <c r="H2" s="216" t="inlineStr">
        <is>
          <t>Nr</t>
        </is>
      </c>
      <c r="I2" s="458" t="inlineStr">
        <is>
          <t>∆X</t>
        </is>
      </c>
      <c r="J2" s="458" t="inlineStr">
        <is>
          <t>σdx</t>
        </is>
      </c>
      <c r="K2" s="458" t="inlineStr">
        <is>
          <t>Warunek |ΔX|</t>
        </is>
      </c>
      <c r="L2" s="458" t="inlineStr">
        <is>
          <t>∆Y</t>
        </is>
      </c>
      <c r="M2" s="458" t="inlineStr">
        <is>
          <t>σdy</t>
        </is>
      </c>
      <c r="N2" s="458" t="inlineStr">
        <is>
          <t>Warunek |ΔY|</t>
        </is>
      </c>
      <c r="O2" s="459" t="inlineStr">
        <is>
          <t>warunek</t>
        </is>
      </c>
    </row>
    <row r="3" ht="18" customHeight="1">
      <c r="B3" s="23" t="n"/>
      <c r="C3" s="451" t="inlineStr">
        <is>
          <t>x [m]</t>
        </is>
      </c>
      <c r="D3" s="452" t="inlineStr">
        <is>
          <t>mx [m]</t>
        </is>
      </c>
      <c r="E3" s="452" t="inlineStr">
        <is>
          <t>x [m]</t>
        </is>
      </c>
      <c r="F3" s="453" t="inlineStr">
        <is>
          <t>mx [m]</t>
        </is>
      </c>
      <c r="H3" s="16" t="n">
        <v>1</v>
      </c>
      <c r="I3" s="460" t="n">
        <v>0.008902707291515464</v>
      </c>
      <c r="J3" s="461" t="n">
        <v>0.001144055031093724</v>
      </c>
      <c r="K3" s="462" t="inlineStr">
        <is>
          <t>NIESPEŁNIA</t>
        </is>
      </c>
      <c r="L3" s="461" t="n">
        <v>0.005463514499218081</v>
      </c>
      <c r="M3" s="461" t="n">
        <v>0.0009960394233063067</v>
      </c>
      <c r="N3" s="462" t="inlineStr">
        <is>
          <t>NIESPEŁNIA</t>
        </is>
      </c>
      <c r="O3" s="463" t="inlineStr">
        <is>
          <t>ISTOTNE</t>
        </is>
      </c>
    </row>
    <row r="4">
      <c r="B4" s="454" t="n">
        <v>1</v>
      </c>
      <c r="C4" s="197" t="n">
        <v>0.001882125715791753</v>
      </c>
      <c r="D4" s="198" t="n">
        <v>0.0007809965336423793</v>
      </c>
      <c r="E4" s="198" t="n">
        <v>0.01078483300730722</v>
      </c>
      <c r="F4" s="199" t="n">
        <v>0.000836006177375173</v>
      </c>
      <c r="H4" s="201" t="n">
        <v>4</v>
      </c>
      <c r="I4" s="221" t="n">
        <v>0.007266661389654976</v>
      </c>
      <c r="J4" s="222" t="n">
        <v>0.0008989286941796129</v>
      </c>
      <c r="K4" s="233">
        <f>IF(ABS(ROUND(I4,8))&lt;=(J4*2.5),"SPEŁNIA","NIESPEŁNIA")</f>
        <v/>
      </c>
      <c r="L4" s="222" t="n">
        <v>-0.003496517733511567</v>
      </c>
      <c r="M4" s="222" t="n">
        <v>0.0008690377137644665</v>
      </c>
      <c r="N4" s="233">
        <f>IF(ABS(ROUND(L4,8))&lt;=M4*2.5,"SPEŁNIA","NIESPEŁNIA")</f>
        <v/>
      </c>
      <c r="O4" s="234">
        <f>IF(AND(K4="SPEŁNIA",N4="SPEŁNIA"),"NIEISTOTNE","ISTOTNE")</f>
        <v/>
      </c>
    </row>
    <row r="5">
      <c r="B5" s="760" t="n"/>
      <c r="C5" s="200" t="n">
        <v>0.0003220278288427659</v>
      </c>
      <c r="D5" s="118" t="n">
        <v>0.0006727075052148292</v>
      </c>
      <c r="E5" s="118" t="n">
        <v>0.005785542328060847</v>
      </c>
      <c r="F5" s="33" t="n">
        <v>0.000734546897895567</v>
      </c>
      <c r="H5" s="201" t="n">
        <v>5</v>
      </c>
      <c r="I5" s="223" t="n">
        <v>0.0001006801879294978</v>
      </c>
      <c r="J5" s="224" t="n">
        <v>0.0004982436535433509</v>
      </c>
      <c r="K5" s="235">
        <f>IF(ABS(ROUND(I5,8))&lt;=(J5*2.5),"SPEŁNIA","NIESPEŁNIA")</f>
        <v/>
      </c>
      <c r="L5" s="224" t="n">
        <v>0.0007000639897543875</v>
      </c>
      <c r="M5" s="224" t="n">
        <v>0.0004772383600987435</v>
      </c>
      <c r="N5" s="235">
        <f>IF(ABS(ROUND(L5,8))&lt;=M5*2.5,"SPEŁNIA","NIESPEŁNIA")</f>
        <v/>
      </c>
      <c r="O5" s="236">
        <f>IF(AND(K5="SPEŁNIA",N5="SPEŁNIA"),"NIEISTOTNE","ISTOTNE")</f>
        <v/>
      </c>
    </row>
    <row r="6">
      <c r="B6" s="454" t="n">
        <v>2</v>
      </c>
      <c r="C6" s="197" t="inlineStr">
        <is>
          <t>-</t>
        </is>
      </c>
      <c r="D6" s="198" t="inlineStr">
        <is>
          <t>-</t>
        </is>
      </c>
      <c r="E6" s="198" t="n">
        <v>-0.003334494003816733</v>
      </c>
      <c r="F6" s="199" t="n">
        <v>0.0007307069053107702</v>
      </c>
      <c r="H6" s="201" t="n">
        <v>6</v>
      </c>
      <c r="I6" s="242" t="n">
        <v>0.0001379131694146104</v>
      </c>
      <c r="J6" s="243" t="n">
        <v>0.0005067055963055504</v>
      </c>
      <c r="K6" s="235">
        <f>IF(ABS(ROUND(I6,8))&lt;=(J6*2.5),"SPEŁNIA","NIESPEŁNIA")</f>
        <v/>
      </c>
      <c r="L6" s="244" t="n">
        <v>-0.0004420739617596331</v>
      </c>
      <c r="M6" s="244" t="n">
        <v>0.0004411408176675038</v>
      </c>
      <c r="N6" s="235">
        <f>IF(ABS(ROUND(L6,8))&lt;=M6*2.5,"SPEŁNIA","NIESPEŁNIA")</f>
        <v/>
      </c>
      <c r="O6" s="236">
        <f>IF(AND(K6="SPEŁNIA",N6="SPEŁNIA"),"NIEISTOTNE","ISTOTNE")</f>
        <v/>
      </c>
    </row>
    <row r="7">
      <c r="B7" s="760" t="n"/>
      <c r="C7" s="200" t="inlineStr">
        <is>
          <t>-</t>
        </is>
      </c>
      <c r="D7" s="118" t="inlineStr">
        <is>
          <t>-</t>
        </is>
      </c>
      <c r="E7" s="118" t="n">
        <v>0.003535323257781095</v>
      </c>
      <c r="F7" s="33" t="n">
        <v>0.0008618865814832244</v>
      </c>
      <c r="H7" s="201" t="n">
        <v>7</v>
      </c>
      <c r="I7" s="240" t="n">
        <v>-0.002663683943955589</v>
      </c>
      <c r="J7" s="241" t="n">
        <v>0.0005590156966358946</v>
      </c>
      <c r="K7" s="233">
        <f>IF(ABS(ROUND(I7,8))&lt;=(J7*2.5),"SPEŁNIA","NIESPEŁNIA")</f>
        <v/>
      </c>
      <c r="L7" s="241" t="n">
        <v>-0.00405198006726422</v>
      </c>
      <c r="M7" s="241" t="n">
        <v>0.0006029749478337</v>
      </c>
      <c r="N7" s="233">
        <f>IF(ABS(ROUND(L7,8))&lt;=M7*2.5,"SPEŁNIA","NIESPEŁNIA")</f>
        <v/>
      </c>
      <c r="O7" s="234">
        <f>IF(AND(K7="SPEŁNIA",N7="SPEŁNIA"),"NIEISTOTNE","ISTOTNE")</f>
        <v/>
      </c>
    </row>
    <row r="8">
      <c r="B8" s="454" t="n">
        <v>3</v>
      </c>
      <c r="C8" s="197" t="n">
        <v>0.0002334406878869818</v>
      </c>
      <c r="D8" s="198" t="n">
        <v>0.0008424815044475115</v>
      </c>
      <c r="E8" s="198" t="inlineStr">
        <is>
          <t>-</t>
        </is>
      </c>
      <c r="F8" s="199" t="inlineStr">
        <is>
          <t>-</t>
        </is>
      </c>
      <c r="H8" s="201" t="n">
        <v>8</v>
      </c>
      <c r="I8" s="240" t="n">
        <v>-0.002736845453163996</v>
      </c>
      <c r="J8" s="241" t="n">
        <v>0.001125837860818426</v>
      </c>
      <c r="K8" s="235">
        <f>IF(ABS(ROUND(I8,8))&lt;=(J8*2.5),"SPEŁNIA","NIESPEŁNIA")</f>
        <v/>
      </c>
      <c r="L8" s="241" t="n">
        <v>-0.003006227875384173</v>
      </c>
      <c r="M8" s="241" t="n">
        <v>0.000838765379552424</v>
      </c>
      <c r="N8" s="233">
        <f>IF(ABS(ROUND(L8,8))&lt;=M8*2.5,"SPEŁNIA","NIESPEŁNIA")</f>
        <v/>
      </c>
      <c r="O8" s="234">
        <f>IF(AND(K8="SPEŁNIA",N8="SPEŁNIA"),"NIEISTOTNE","ISTOTNE")</f>
        <v/>
      </c>
    </row>
    <row r="9">
      <c r="B9" s="760" t="n"/>
      <c r="C9" s="200" t="n">
        <v>0.0008918808347797584</v>
      </c>
      <c r="D9" s="118" t="n">
        <v>0.0006819959288979365</v>
      </c>
      <c r="E9" s="118" t="inlineStr">
        <is>
          <t>-</t>
        </is>
      </c>
      <c r="F9" s="33" t="inlineStr">
        <is>
          <t>-</t>
        </is>
      </c>
      <c r="H9" s="17" t="n">
        <v>9</v>
      </c>
      <c r="I9" s="245" t="n">
        <v>-0.0002385933573441106</v>
      </c>
      <c r="J9" s="246" t="n">
        <v>0.0002430576510053747</v>
      </c>
      <c r="K9" s="237">
        <f>IF(ABS(ROUND(I9,8))&lt;=(J9*2.5),"SPEŁNIA","NIESPEŁNIA")</f>
        <v/>
      </c>
      <c r="L9" s="246" t="n">
        <v>-0.0002579900279947545</v>
      </c>
      <c r="M9" s="246" t="n">
        <v>0.0005168550197427421</v>
      </c>
      <c r="N9" s="237">
        <f>IF(ABS(ROUND(L9,8))&lt;=M9*2.5,"SPEŁNIA","NIESPEŁNIA")</f>
        <v/>
      </c>
      <c r="O9" s="238">
        <f>IF(AND(K9="SPEŁNIA",N9="SPEŁNIA"),"NIEISTOTNE","ISTOTNE")</f>
        <v/>
      </c>
    </row>
    <row r="10">
      <c r="B10" s="454" t="n">
        <v>4</v>
      </c>
      <c r="C10" s="197" t="n">
        <v>0.000622479795151019</v>
      </c>
      <c r="D10" s="198" t="n">
        <v>0.0006108631713820032</v>
      </c>
      <c r="E10" s="198" t="n">
        <v>0.007889141184805996</v>
      </c>
      <c r="F10" s="199" t="n">
        <v>0.0006594838762764298</v>
      </c>
    </row>
    <row r="11">
      <c r="B11" s="760" t="n"/>
      <c r="C11" s="200" t="n">
        <v>0.0001928196323583883</v>
      </c>
      <c r="D11" s="118" t="n">
        <v>0.0005865474607862208</v>
      </c>
      <c r="E11" s="118" t="n">
        <v>-0.003303698101153179</v>
      </c>
      <c r="F11" s="33" t="n">
        <v>0.0006412399115699269</v>
      </c>
      <c r="I11" s="206" t="n"/>
    </row>
    <row r="12" ht="18" customHeight="1">
      <c r="B12" s="454" t="n">
        <v>5</v>
      </c>
      <c r="C12" s="197" t="n">
        <v>-1.540805544075137e-05</v>
      </c>
      <c r="D12" s="198" t="n">
        <v>0.0003380407106061577</v>
      </c>
      <c r="E12" s="198" t="n">
        <v>8.527213248874646e-05</v>
      </c>
      <c r="F12" s="199" t="n">
        <v>0.0003660262507923587</v>
      </c>
      <c r="H12" s="23" t="n"/>
      <c r="I12" s="464" t="inlineStr">
        <is>
          <t>Współrzędne przybliżone</t>
        </is>
      </c>
      <c r="J12" s="596" t="n"/>
      <c r="K12" s="842" t="inlineStr">
        <is>
          <t>Współrzędne przemieszczone</t>
        </is>
      </c>
      <c r="L12" s="597" t="n"/>
    </row>
    <row r="13" ht="18" customHeight="1">
      <c r="A13" s="470" t="n"/>
      <c r="B13" s="760" t="n"/>
      <c r="C13" s="472" t="n">
        <v>-0.0006532521671825497</v>
      </c>
      <c r="D13" s="473" t="n">
        <v>0.0003174052411585846</v>
      </c>
      <c r="E13" s="473" t="n">
        <v>4.681182257183784e-05</v>
      </c>
      <c r="F13" s="474" t="n">
        <v>0.0003563851361025019</v>
      </c>
      <c r="G13" s="470" t="n"/>
      <c r="H13" s="283" t="inlineStr">
        <is>
          <t>Nr</t>
        </is>
      </c>
      <c r="I13" s="468" t="inlineStr">
        <is>
          <t>X [m]</t>
        </is>
      </c>
      <c r="J13" s="468" t="inlineStr">
        <is>
          <t>Y [m]</t>
        </is>
      </c>
      <c r="K13" s="468" t="inlineStr">
        <is>
          <t>X [m]</t>
        </is>
      </c>
      <c r="L13" s="469" t="inlineStr">
        <is>
          <t>Y [m]</t>
        </is>
      </c>
      <c r="N13" s="843" t="n"/>
      <c r="O13" s="844" t="n"/>
      <c r="P13" s="844" t="n"/>
      <c r="Q13" s="844" t="n"/>
      <c r="R13" s="844" t="n"/>
      <c r="S13" s="844" t="n"/>
      <c r="T13" s="844" t="n"/>
      <c r="U13" s="844" t="n"/>
      <c r="V13" s="844" t="n"/>
      <c r="W13" s="843" t="n"/>
    </row>
    <row r="14">
      <c r="B14" s="454" t="n">
        <v>6</v>
      </c>
      <c r="C14" s="197" t="n">
        <v>-8.753833003130007e-05</v>
      </c>
      <c r="D14" s="198" t="n">
        <v>0.000343943032755023</v>
      </c>
      <c r="E14" s="198" t="n">
        <v>5.037483938331028e-05</v>
      </c>
      <c r="F14" s="199" t="n">
        <v>0.0003720937402680144</v>
      </c>
      <c r="H14" s="205" t="n">
        <v>1</v>
      </c>
      <c r="I14" s="225" t="n">
        <v>240</v>
      </c>
      <c r="J14" s="226" t="n">
        <v>120</v>
      </c>
      <c r="K14" s="225">
        <f>I14+I3</f>
        <v/>
      </c>
      <c r="L14" s="226">
        <f>J14+L3</f>
        <v/>
      </c>
      <c r="P14" s="208" t="n"/>
      <c r="Q14" s="208" t="n"/>
      <c r="R14" s="208" t="n"/>
      <c r="S14" s="208" t="n"/>
      <c r="T14" s="208" t="n"/>
      <c r="U14" s="208" t="n"/>
      <c r="V14" s="208" t="n"/>
      <c r="W14" s="209" t="n"/>
    </row>
    <row r="15">
      <c r="B15" s="760" t="n"/>
      <c r="C15" s="200" t="n">
        <v>0.000240050798478477</v>
      </c>
      <c r="D15" s="118" t="n">
        <v>0.0002987619183280047</v>
      </c>
      <c r="E15" s="118" t="n">
        <v>-0.0002020231632811561</v>
      </c>
      <c r="F15" s="33" t="n">
        <v>0.0003245713129180158</v>
      </c>
      <c r="H15" s="201" t="n">
        <v>4</v>
      </c>
      <c r="I15" s="227" t="n">
        <v>435</v>
      </c>
      <c r="J15" s="228" t="n">
        <v>435</v>
      </c>
      <c r="K15" s="227">
        <f>I15+I4</f>
        <v/>
      </c>
      <c r="L15" s="228">
        <f>J15+L4</f>
        <v/>
      </c>
      <c r="W15" s="211" t="n"/>
    </row>
    <row r="16">
      <c r="B16" s="454" t="n">
        <v>7</v>
      </c>
      <c r="C16" s="197" t="n">
        <v>-0.0002725833483454633</v>
      </c>
      <c r="D16" s="198" t="n">
        <v>0.0003805578251940149</v>
      </c>
      <c r="E16" s="198" t="n">
        <v>-0.002936267292301053</v>
      </c>
      <c r="F16" s="199" t="n">
        <v>0.0004094805132957077</v>
      </c>
      <c r="H16" s="201" t="n">
        <v>5</v>
      </c>
      <c r="I16" s="227" t="n">
        <v>295</v>
      </c>
      <c r="J16" s="228" t="n">
        <v>490</v>
      </c>
      <c r="K16" s="227">
        <f>I16+I5</f>
        <v/>
      </c>
      <c r="L16" s="228">
        <f>J16+L5</f>
        <v/>
      </c>
      <c r="W16" s="211" t="n"/>
    </row>
    <row r="17">
      <c r="B17" s="760" t="n"/>
      <c r="C17" s="200" t="n">
        <v>-0.0001168522349069685</v>
      </c>
      <c r="D17" s="118" t="n">
        <v>0.0004086661593845735</v>
      </c>
      <c r="E17" s="118" t="n">
        <v>-0.004168832302171188</v>
      </c>
      <c r="F17" s="33" t="n">
        <v>0.0004433630091571867</v>
      </c>
      <c r="H17" s="201" t="n">
        <v>6</v>
      </c>
      <c r="I17" s="227" t="n">
        <v>145</v>
      </c>
      <c r="J17" s="228" t="n">
        <v>560</v>
      </c>
      <c r="K17" s="227">
        <f>I17+I6</f>
        <v/>
      </c>
      <c r="L17" s="228">
        <f>J17+L6</f>
        <v/>
      </c>
      <c r="W17" s="211" t="n"/>
    </row>
    <row r="18">
      <c r="B18" s="454" t="n">
        <v>8</v>
      </c>
      <c r="C18" s="197" t="n">
        <v>-2.014116186637006e-06</v>
      </c>
      <c r="D18" s="198" t="n">
        <v>0.0008025231556039226</v>
      </c>
      <c r="E18" s="198" t="n">
        <v>-0.002738859569350633</v>
      </c>
      <c r="F18" s="199" t="n">
        <v>0.0007895995653315243</v>
      </c>
      <c r="H18" s="201" t="n">
        <v>7</v>
      </c>
      <c r="I18" s="227" t="n">
        <v>180</v>
      </c>
      <c r="J18" s="228" t="n">
        <v>385</v>
      </c>
      <c r="K18" s="227">
        <f>I18+I7</f>
        <v/>
      </c>
      <c r="L18" s="228">
        <f>J18+L7</f>
        <v/>
      </c>
      <c r="W18" s="211" t="n"/>
    </row>
    <row r="19">
      <c r="B19" s="760" t="n"/>
      <c r="C19" s="200" t="n">
        <v>-0.001097473731735472</v>
      </c>
      <c r="D19" s="118" t="n">
        <v>0.000569638477757669</v>
      </c>
      <c r="E19" s="118" t="n">
        <v>-0.004103701607119646</v>
      </c>
      <c r="F19" s="33" t="n">
        <v>0.0006156617306554367</v>
      </c>
      <c r="H19" s="201" t="n">
        <v>8</v>
      </c>
      <c r="I19" s="227" t="n">
        <v>150</v>
      </c>
      <c r="J19" s="228" t="n">
        <v>240</v>
      </c>
      <c r="K19" s="227">
        <f>I19+I8</f>
        <v/>
      </c>
      <c r="L19" s="228">
        <f>J19+L8</f>
        <v/>
      </c>
      <c r="W19" s="211" t="n"/>
    </row>
    <row r="20">
      <c r="B20" s="456" t="n">
        <v>9</v>
      </c>
      <c r="C20" s="197" t="n">
        <v>0.0001029463854720501</v>
      </c>
      <c r="D20" s="198" t="n">
        <v>0.0001639875380706729</v>
      </c>
      <c r="E20" s="198" t="n">
        <v>-0.0001356469718720605</v>
      </c>
      <c r="F20" s="199" t="n">
        <v>0.000179402087696242</v>
      </c>
      <c r="H20" s="17" t="n">
        <v>9</v>
      </c>
      <c r="I20" s="229" t="n">
        <v>313</v>
      </c>
      <c r="J20" s="230" t="n">
        <v>272</v>
      </c>
      <c r="K20" s="229">
        <f>I20+I9</f>
        <v/>
      </c>
      <c r="L20" s="230">
        <f>J20+L9</f>
        <v/>
      </c>
      <c r="W20" s="211" t="n"/>
    </row>
    <row r="21">
      <c r="B21" s="760" t="n"/>
      <c r="C21" s="200" t="n">
        <v>0.0004132013687040723</v>
      </c>
      <c r="D21" s="118" t="n">
        <v>0.0003412539632679983</v>
      </c>
      <c r="E21" s="118" t="n">
        <v>0.0001552113407093179</v>
      </c>
      <c r="F21" s="33" t="n">
        <v>0.0003881814575519472</v>
      </c>
      <c r="W21" s="211" t="n"/>
    </row>
    <row r="22">
      <c r="W22" s="211" t="n"/>
    </row>
    <row r="23">
      <c r="W23" s="211" t="n"/>
    </row>
    <row r="24">
      <c r="W24" s="211" t="n"/>
    </row>
    <row r="25">
      <c r="W25" s="211" t="n"/>
    </row>
    <row r="26">
      <c r="W26" s="211" t="n"/>
    </row>
    <row r="27">
      <c r="W27" s="211" t="n"/>
    </row>
    <row r="28">
      <c r="P28" s="213" t="n"/>
      <c r="Q28" s="213" t="n"/>
      <c r="R28" s="213" t="n"/>
      <c r="S28" s="213" t="n"/>
      <c r="T28" s="213" t="n"/>
      <c r="U28" s="213" t="n"/>
      <c r="V28" s="213" t="n"/>
      <c r="W28" s="214" t="n"/>
    </row>
  </sheetData>
  <mergeCells count="14">
    <mergeCell ref="I12:J12"/>
    <mergeCell ref="K12:L12"/>
    <mergeCell ref="B4:B5"/>
    <mergeCell ref="C2:D2"/>
    <mergeCell ref="B18:B19"/>
    <mergeCell ref="E2:F2"/>
    <mergeCell ref="N13:W13"/>
    <mergeCell ref="B12:B13"/>
    <mergeCell ref="B8:B9"/>
    <mergeCell ref="B16:B17"/>
    <mergeCell ref="B20:B21"/>
    <mergeCell ref="B10:B11"/>
    <mergeCell ref="B6:B7"/>
    <mergeCell ref="B14:B15"/>
  </mergeCells>
  <conditionalFormatting sqref="O3:O9">
    <cfRule type="cellIs" priority="1" operator="equal" dxfId="2">
      <formula>"zle"</formula>
    </cfRule>
    <cfRule type="cellIs" priority="2" operator="equal" dxfId="1">
      <formula>"żle"</formula>
    </cfRule>
    <cfRule type="cellIs" priority="3" operator="equal" dxfId="0">
      <formula>"dobrze"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2026-06-12T09:05:58Z</dcterms:created>
  <dcterms:modified xmlns:dcterms="http://purl.org/dc/terms/" xmlns:xsi="http://www.w3.org/2001/XMLSchema-instance" xsi:type="dcterms:W3CDTF">2026-06-12T09:56:17Z</dcterms:modified>
  <cp:lastModifiedBy>Świerk Jakub (STUD)</cp:lastModifiedBy>
</cp:coreProperties>
</file>