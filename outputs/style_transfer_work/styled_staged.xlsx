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/>
  <mc:AlternateContent xmlns:mc="http://schemas.openxmlformats.org/markup-compatibility/2006">
    <mc:Choice Requires="x15">
      <x15ac:absPath xmlns:x15ac="http://schemas.microsoft.com/office/spreadsheetml/2010/11/ac" url="/Users/kjw1/Desktop/Monitoring/"/>
    </mc:Choice>
  </mc:AlternateContent>
  <xr:revisionPtr revIDLastSave="0" documentId="13_ncr:1_{B0BED481-4937-734D-A6DB-52879B093547}" xr6:coauthVersionLast="47" xr6:coauthVersionMax="47" xr10:uidLastSave="{00000000-0000-0000-0000-000000000000}"/>
  <bookViews>
    <workbookView xWindow="0" yWindow="660" windowWidth="29400" windowHeight="16760" xr2:uid="{00000000-000D-0000-FFFF-FFFF00000000}"/>
  </bookViews>
  <sheets>
    <sheet name="Dane" sheetId="1" r:id="rId1"/>
    <sheet name="Wyrównanie wstępne - wyjściowy" sheetId="2" r:id="rId2"/>
    <sheet name="Wyrównanie wstępne - aktualny" sheetId="3" r:id="rId3"/>
    <sheet name="Identyfikacja" sheetId="4" r:id="rId4"/>
    <sheet name="Baza - wyjściowy" sheetId="5" r:id="rId5"/>
    <sheet name="Baza - aktualny" sheetId="6" r:id="rId6"/>
    <sheet name="Przemieszczenia ostateczne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0" i="7" l="1"/>
  <c r="K20" i="7"/>
  <c r="L19" i="7"/>
  <c r="K19" i="7"/>
  <c r="L18" i="7"/>
  <c r="K18" i="7"/>
  <c r="L17" i="7"/>
  <c r="K17" i="7"/>
  <c r="L16" i="7"/>
  <c r="K16" i="7"/>
  <c r="L15" i="7"/>
  <c r="K15" i="7"/>
  <c r="L14" i="7"/>
  <c r="K14" i="7"/>
  <c r="N9" i="7"/>
  <c r="K9" i="7"/>
  <c r="N8" i="7"/>
  <c r="K8" i="7"/>
  <c r="N7" i="7"/>
  <c r="K7" i="7"/>
  <c r="N6" i="7"/>
  <c r="K6" i="7"/>
  <c r="O6" i="7" s="1"/>
  <c r="N5" i="7"/>
  <c r="K5" i="7"/>
  <c r="N4" i="7"/>
  <c r="K4" i="7"/>
  <c r="O4" i="7" s="1"/>
  <c r="AP190" i="6"/>
  <c r="B155" i="6" a="1"/>
  <c r="B155" i="6" s="1"/>
  <c r="O128" i="6"/>
  <c r="N128" i="6"/>
  <c r="M128" i="6"/>
  <c r="L128" i="6"/>
  <c r="I128" i="6"/>
  <c r="H128" i="6"/>
  <c r="D52" i="6"/>
  <c r="O37" i="6"/>
  <c r="I37" i="6"/>
  <c r="H37" i="6"/>
  <c r="G37" i="6"/>
  <c r="F37" i="6"/>
  <c r="E37" i="6"/>
  <c r="D37" i="6"/>
  <c r="C37" i="6"/>
  <c r="B37" i="6"/>
  <c r="O36" i="6"/>
  <c r="I36" i="6"/>
  <c r="H36" i="6"/>
  <c r="G36" i="6"/>
  <c r="F36" i="6"/>
  <c r="L36" i="6" s="1"/>
  <c r="E36" i="6"/>
  <c r="D36" i="6"/>
  <c r="C36" i="6"/>
  <c r="B36" i="6"/>
  <c r="O35" i="6"/>
  <c r="I35" i="6"/>
  <c r="H35" i="6"/>
  <c r="G35" i="6"/>
  <c r="F35" i="6"/>
  <c r="E35" i="6"/>
  <c r="D35" i="6"/>
  <c r="C35" i="6"/>
  <c r="B35" i="6"/>
  <c r="O34" i="6"/>
  <c r="I34" i="6"/>
  <c r="H34" i="6"/>
  <c r="G34" i="6"/>
  <c r="F34" i="6"/>
  <c r="E34" i="6"/>
  <c r="D34" i="6"/>
  <c r="C34" i="6"/>
  <c r="B34" i="6"/>
  <c r="O33" i="6"/>
  <c r="I33" i="6"/>
  <c r="H33" i="6"/>
  <c r="M33" i="6" s="1"/>
  <c r="G33" i="6"/>
  <c r="F33" i="6"/>
  <c r="E33" i="6"/>
  <c r="D33" i="6"/>
  <c r="C33" i="6"/>
  <c r="B33" i="6"/>
  <c r="O32" i="6"/>
  <c r="I32" i="6"/>
  <c r="H32" i="6"/>
  <c r="G32" i="6"/>
  <c r="F32" i="6"/>
  <c r="L32" i="6" s="1"/>
  <c r="E32" i="6"/>
  <c r="D32" i="6"/>
  <c r="C32" i="6"/>
  <c r="B32" i="6"/>
  <c r="O31" i="6"/>
  <c r="I31" i="6"/>
  <c r="H31" i="6"/>
  <c r="G31" i="6"/>
  <c r="F31" i="6"/>
  <c r="E31" i="6"/>
  <c r="D31" i="6"/>
  <c r="C31" i="6"/>
  <c r="B31" i="6"/>
  <c r="O30" i="6"/>
  <c r="I30" i="6"/>
  <c r="H30" i="6"/>
  <c r="G30" i="6"/>
  <c r="F30" i="6"/>
  <c r="E30" i="6"/>
  <c r="D30" i="6"/>
  <c r="C30" i="6"/>
  <c r="B30" i="6"/>
  <c r="O29" i="6"/>
  <c r="I29" i="6"/>
  <c r="H29" i="6"/>
  <c r="G29" i="6"/>
  <c r="F29" i="6"/>
  <c r="L29" i="6" s="1"/>
  <c r="E29" i="6"/>
  <c r="D29" i="6"/>
  <c r="C29" i="6"/>
  <c r="B29" i="6"/>
  <c r="O28" i="6"/>
  <c r="I28" i="6"/>
  <c r="H28" i="6"/>
  <c r="G28" i="6"/>
  <c r="F28" i="6"/>
  <c r="E28" i="6"/>
  <c r="D28" i="6"/>
  <c r="C28" i="6"/>
  <c r="B28" i="6"/>
  <c r="O27" i="6"/>
  <c r="I27" i="6"/>
  <c r="H27" i="6"/>
  <c r="G27" i="6"/>
  <c r="F27" i="6"/>
  <c r="E27" i="6"/>
  <c r="D27" i="6"/>
  <c r="C27" i="6"/>
  <c r="B27" i="6"/>
  <c r="O26" i="6"/>
  <c r="I26" i="6"/>
  <c r="H26" i="6"/>
  <c r="G26" i="6"/>
  <c r="F26" i="6"/>
  <c r="E26" i="6"/>
  <c r="D26" i="6"/>
  <c r="C26" i="6"/>
  <c r="B26" i="6"/>
  <c r="G23" i="6"/>
  <c r="F23" i="6"/>
  <c r="H23" i="6" s="1"/>
  <c r="E23" i="6"/>
  <c r="L23" i="6" s="1"/>
  <c r="D23" i="6"/>
  <c r="C23" i="6"/>
  <c r="B23" i="6"/>
  <c r="G22" i="6"/>
  <c r="F22" i="6"/>
  <c r="E22" i="6"/>
  <c r="L22" i="6" s="1"/>
  <c r="D22" i="6"/>
  <c r="C22" i="6"/>
  <c r="B22" i="6"/>
  <c r="G21" i="6"/>
  <c r="F21" i="6"/>
  <c r="E21" i="6"/>
  <c r="L21" i="6" s="1"/>
  <c r="D21" i="6"/>
  <c r="C21" i="6"/>
  <c r="B21" i="6"/>
  <c r="G20" i="6"/>
  <c r="F20" i="6"/>
  <c r="E20" i="6"/>
  <c r="L20" i="6" s="1"/>
  <c r="D20" i="6"/>
  <c r="C20" i="6"/>
  <c r="B20" i="6"/>
  <c r="G19" i="6"/>
  <c r="F19" i="6"/>
  <c r="E19" i="6"/>
  <c r="L19" i="6" s="1"/>
  <c r="D19" i="6"/>
  <c r="C19" i="6"/>
  <c r="D57" i="6" s="1"/>
  <c r="B19" i="6"/>
  <c r="G18" i="6"/>
  <c r="F18" i="6"/>
  <c r="E18" i="6"/>
  <c r="L18" i="6" s="1"/>
  <c r="D18" i="6"/>
  <c r="C18" i="6"/>
  <c r="B18" i="6"/>
  <c r="Q56" i="6" s="1"/>
  <c r="G17" i="6"/>
  <c r="F17" i="6"/>
  <c r="E17" i="6"/>
  <c r="L17" i="6" s="1"/>
  <c r="D17" i="6"/>
  <c r="C17" i="6"/>
  <c r="B17" i="6"/>
  <c r="G16" i="6"/>
  <c r="F16" i="6"/>
  <c r="I16" i="6" s="1"/>
  <c r="K16" i="6" s="1"/>
  <c r="E16" i="6"/>
  <c r="L16" i="6" s="1"/>
  <c r="D16" i="6"/>
  <c r="C16" i="6"/>
  <c r="B16" i="6"/>
  <c r="B54" i="6" s="1"/>
  <c r="G15" i="6"/>
  <c r="F15" i="6"/>
  <c r="E15" i="6"/>
  <c r="L15" i="6" s="1"/>
  <c r="D15" i="6"/>
  <c r="C15" i="6"/>
  <c r="B15" i="6"/>
  <c r="G14" i="6"/>
  <c r="F14" i="6"/>
  <c r="E14" i="6"/>
  <c r="L14" i="6" s="1"/>
  <c r="D14" i="6"/>
  <c r="C14" i="6"/>
  <c r="B14" i="6"/>
  <c r="G13" i="6"/>
  <c r="F13" i="6"/>
  <c r="E13" i="6"/>
  <c r="L13" i="6" s="1"/>
  <c r="D13" i="6"/>
  <c r="C13" i="6"/>
  <c r="B13" i="6"/>
  <c r="G12" i="6"/>
  <c r="F12" i="6"/>
  <c r="E12" i="6"/>
  <c r="L12" i="6" s="1"/>
  <c r="D12" i="6"/>
  <c r="C12" i="6"/>
  <c r="B12" i="6"/>
  <c r="G11" i="6"/>
  <c r="F11" i="6"/>
  <c r="I11" i="6" s="1"/>
  <c r="E11" i="6"/>
  <c r="L11" i="6" s="1"/>
  <c r="D11" i="6"/>
  <c r="C11" i="6"/>
  <c r="B11" i="6"/>
  <c r="C49" i="6" s="1"/>
  <c r="G10" i="6"/>
  <c r="F10" i="6"/>
  <c r="E10" i="6"/>
  <c r="L10" i="6" s="1"/>
  <c r="D10" i="6"/>
  <c r="C10" i="6"/>
  <c r="B10" i="6"/>
  <c r="G9" i="6"/>
  <c r="F9" i="6"/>
  <c r="E9" i="6"/>
  <c r="L9" i="6" s="1"/>
  <c r="D9" i="6"/>
  <c r="C9" i="6"/>
  <c r="B9" i="6"/>
  <c r="M47" i="6" s="1"/>
  <c r="M81" i="6" s="1"/>
  <c r="G8" i="6"/>
  <c r="F8" i="6"/>
  <c r="E8" i="6"/>
  <c r="L8" i="6" s="1"/>
  <c r="D8" i="6"/>
  <c r="C8" i="6"/>
  <c r="B8" i="6"/>
  <c r="G7" i="6"/>
  <c r="F7" i="6"/>
  <c r="E7" i="6"/>
  <c r="L7" i="6" s="1"/>
  <c r="D7" i="6"/>
  <c r="C7" i="6"/>
  <c r="B7" i="6"/>
  <c r="G6" i="6"/>
  <c r="F6" i="6"/>
  <c r="E6" i="6"/>
  <c r="L6" i="6" s="1"/>
  <c r="D6" i="6"/>
  <c r="C6" i="6"/>
  <c r="B6" i="6"/>
  <c r="G5" i="6"/>
  <c r="F5" i="6"/>
  <c r="E5" i="6"/>
  <c r="L5" i="6" s="1"/>
  <c r="D5" i="6"/>
  <c r="C5" i="6"/>
  <c r="B5" i="6"/>
  <c r="G4" i="6"/>
  <c r="F4" i="6"/>
  <c r="E4" i="6"/>
  <c r="L4" i="6" s="1"/>
  <c r="D4" i="6"/>
  <c r="C4" i="6"/>
  <c r="B4" i="6"/>
  <c r="AP190" i="5"/>
  <c r="B155" i="5" a="1"/>
  <c r="B155" i="5" s="1"/>
  <c r="O128" i="5"/>
  <c r="N128" i="5"/>
  <c r="M128" i="5"/>
  <c r="L128" i="5"/>
  <c r="I128" i="5"/>
  <c r="H128" i="5"/>
  <c r="O37" i="5"/>
  <c r="I37" i="5"/>
  <c r="H37" i="5"/>
  <c r="G37" i="5"/>
  <c r="F37" i="5"/>
  <c r="E37" i="5"/>
  <c r="D37" i="5"/>
  <c r="C37" i="5"/>
  <c r="B37" i="5"/>
  <c r="B73" i="5" s="1"/>
  <c r="O36" i="5"/>
  <c r="I36" i="5"/>
  <c r="H36" i="5"/>
  <c r="G36" i="5"/>
  <c r="F36" i="5"/>
  <c r="E36" i="5"/>
  <c r="D36" i="5"/>
  <c r="C36" i="5"/>
  <c r="B36" i="5"/>
  <c r="O35" i="5"/>
  <c r="I35" i="5"/>
  <c r="H35" i="5"/>
  <c r="G35" i="5"/>
  <c r="F35" i="5"/>
  <c r="E35" i="5"/>
  <c r="D35" i="5"/>
  <c r="C35" i="5"/>
  <c r="B35" i="5"/>
  <c r="O34" i="5"/>
  <c r="I34" i="5"/>
  <c r="H34" i="5"/>
  <c r="G34" i="5"/>
  <c r="F34" i="5"/>
  <c r="E34" i="5"/>
  <c r="D34" i="5"/>
  <c r="C34" i="5"/>
  <c r="B34" i="5"/>
  <c r="O33" i="5"/>
  <c r="I33" i="5"/>
  <c r="H33" i="5"/>
  <c r="K33" i="5" s="1"/>
  <c r="S33" i="5" s="1"/>
  <c r="G33" i="5"/>
  <c r="F33" i="5"/>
  <c r="L33" i="5" s="1"/>
  <c r="E33" i="5"/>
  <c r="D33" i="5"/>
  <c r="C33" i="5"/>
  <c r="B33" i="5"/>
  <c r="O32" i="5"/>
  <c r="I32" i="5"/>
  <c r="H32" i="5"/>
  <c r="M32" i="5" s="1"/>
  <c r="G32" i="5"/>
  <c r="F32" i="5"/>
  <c r="E32" i="5"/>
  <c r="D32" i="5"/>
  <c r="C32" i="5"/>
  <c r="D68" i="5" s="1"/>
  <c r="D102" i="5" s="1"/>
  <c r="B32" i="5"/>
  <c r="O31" i="5"/>
  <c r="I31" i="5"/>
  <c r="H31" i="5"/>
  <c r="G31" i="5"/>
  <c r="F31" i="5"/>
  <c r="E31" i="5"/>
  <c r="D31" i="5"/>
  <c r="C31" i="5"/>
  <c r="J67" i="5" s="1"/>
  <c r="J101" i="5" s="1"/>
  <c r="B31" i="5"/>
  <c r="I67" i="5" s="1"/>
  <c r="I101" i="5" s="1"/>
  <c r="O30" i="5"/>
  <c r="I30" i="5"/>
  <c r="H30" i="5"/>
  <c r="G30" i="5"/>
  <c r="F30" i="5"/>
  <c r="E30" i="5"/>
  <c r="D30" i="5"/>
  <c r="C30" i="5"/>
  <c r="B30" i="5"/>
  <c r="O29" i="5"/>
  <c r="I29" i="5"/>
  <c r="H29" i="5"/>
  <c r="G29" i="5"/>
  <c r="F29" i="5"/>
  <c r="E29" i="5"/>
  <c r="D29" i="5"/>
  <c r="C29" i="5"/>
  <c r="B29" i="5"/>
  <c r="O28" i="5"/>
  <c r="I28" i="5"/>
  <c r="H28" i="5"/>
  <c r="G28" i="5"/>
  <c r="F28" i="5"/>
  <c r="L28" i="5" s="1"/>
  <c r="E28" i="5"/>
  <c r="D28" i="5"/>
  <c r="C28" i="5"/>
  <c r="B64" i="5" s="1"/>
  <c r="B28" i="5"/>
  <c r="O27" i="5"/>
  <c r="I27" i="5"/>
  <c r="H27" i="5"/>
  <c r="G27" i="5"/>
  <c r="F27" i="5"/>
  <c r="E27" i="5"/>
  <c r="D27" i="5"/>
  <c r="C27" i="5"/>
  <c r="B27" i="5"/>
  <c r="O26" i="5"/>
  <c r="I26" i="5"/>
  <c r="H26" i="5"/>
  <c r="G26" i="5"/>
  <c r="F26" i="5"/>
  <c r="E26" i="5"/>
  <c r="D26" i="5"/>
  <c r="C26" i="5"/>
  <c r="B26" i="5"/>
  <c r="G23" i="5"/>
  <c r="F23" i="5"/>
  <c r="E23" i="5"/>
  <c r="L23" i="5" s="1"/>
  <c r="D23" i="5"/>
  <c r="C23" i="5"/>
  <c r="O61" i="5" s="1"/>
  <c r="B23" i="5"/>
  <c r="G22" i="5"/>
  <c r="I22" i="5" s="1"/>
  <c r="F22" i="5"/>
  <c r="E22" i="5"/>
  <c r="L22" i="5" s="1"/>
  <c r="D22" i="5"/>
  <c r="C22" i="5"/>
  <c r="B22" i="5"/>
  <c r="I60" i="5" s="1"/>
  <c r="G21" i="5"/>
  <c r="H21" i="5" s="1"/>
  <c r="M21" i="5" s="1"/>
  <c r="S59" i="5" s="1"/>
  <c r="F21" i="5"/>
  <c r="E21" i="5"/>
  <c r="L21" i="5" s="1"/>
  <c r="D21" i="5"/>
  <c r="C21" i="5"/>
  <c r="B21" i="5"/>
  <c r="D59" i="5" s="1"/>
  <c r="G20" i="5"/>
  <c r="F20" i="5"/>
  <c r="I20" i="5" s="1"/>
  <c r="K20" i="5" s="1"/>
  <c r="E20" i="5"/>
  <c r="L20" i="5" s="1"/>
  <c r="D20" i="5"/>
  <c r="C20" i="5"/>
  <c r="B20" i="5"/>
  <c r="G19" i="5"/>
  <c r="F19" i="5"/>
  <c r="E19" i="5"/>
  <c r="L19" i="5" s="1"/>
  <c r="D19" i="5"/>
  <c r="C19" i="5"/>
  <c r="B19" i="5"/>
  <c r="G18" i="5"/>
  <c r="H18" i="5" s="1"/>
  <c r="M18" i="5" s="1"/>
  <c r="S56" i="5" s="1"/>
  <c r="S90" i="5" s="1"/>
  <c r="F18" i="5"/>
  <c r="E18" i="5"/>
  <c r="L18" i="5" s="1"/>
  <c r="D18" i="5"/>
  <c r="C18" i="5"/>
  <c r="B18" i="5"/>
  <c r="P56" i="5" s="1"/>
  <c r="G17" i="5"/>
  <c r="F17" i="5"/>
  <c r="H17" i="5" s="1"/>
  <c r="E17" i="5"/>
  <c r="L17" i="5" s="1"/>
  <c r="D17" i="5"/>
  <c r="C17" i="5"/>
  <c r="B17" i="5"/>
  <c r="C55" i="5" s="1"/>
  <c r="G16" i="5"/>
  <c r="F16" i="5"/>
  <c r="E16" i="5"/>
  <c r="L16" i="5" s="1"/>
  <c r="D16" i="5"/>
  <c r="C16" i="5"/>
  <c r="B16" i="5"/>
  <c r="Q54" i="5" s="1"/>
  <c r="G15" i="5"/>
  <c r="F15" i="5"/>
  <c r="E15" i="5"/>
  <c r="L15" i="5" s="1"/>
  <c r="D15" i="5"/>
  <c r="C15" i="5"/>
  <c r="B15" i="5"/>
  <c r="G14" i="5"/>
  <c r="F14" i="5"/>
  <c r="E14" i="5"/>
  <c r="L14" i="5" s="1"/>
  <c r="D14" i="5"/>
  <c r="C14" i="5"/>
  <c r="B14" i="5"/>
  <c r="G13" i="5"/>
  <c r="F13" i="5"/>
  <c r="E13" i="5"/>
  <c r="L13" i="5" s="1"/>
  <c r="D13" i="5"/>
  <c r="C13" i="5"/>
  <c r="B13" i="5"/>
  <c r="N51" i="5" s="1"/>
  <c r="G12" i="5"/>
  <c r="F12" i="5"/>
  <c r="E12" i="5"/>
  <c r="L12" i="5" s="1"/>
  <c r="D12" i="5"/>
  <c r="C12" i="5"/>
  <c r="B12" i="5"/>
  <c r="G50" i="5" s="1"/>
  <c r="G11" i="5"/>
  <c r="F11" i="5"/>
  <c r="E11" i="5"/>
  <c r="L11" i="5" s="1"/>
  <c r="D11" i="5"/>
  <c r="C11" i="5"/>
  <c r="B11" i="5"/>
  <c r="P49" i="5" s="1"/>
  <c r="L10" i="5"/>
  <c r="G10" i="5"/>
  <c r="F10" i="5"/>
  <c r="E10" i="5"/>
  <c r="D10" i="5"/>
  <c r="C10" i="5"/>
  <c r="B10" i="5"/>
  <c r="G9" i="5"/>
  <c r="F9" i="5"/>
  <c r="I9" i="5" s="1"/>
  <c r="J9" i="5" s="1"/>
  <c r="C47" i="5" s="1"/>
  <c r="E9" i="5"/>
  <c r="L9" i="5" s="1"/>
  <c r="D9" i="5"/>
  <c r="C9" i="5"/>
  <c r="B9" i="5"/>
  <c r="G8" i="5"/>
  <c r="F8" i="5"/>
  <c r="E8" i="5"/>
  <c r="L8" i="5" s="1"/>
  <c r="D8" i="5"/>
  <c r="C8" i="5"/>
  <c r="B8" i="5"/>
  <c r="G7" i="5"/>
  <c r="F7" i="5"/>
  <c r="E7" i="5"/>
  <c r="L7" i="5" s="1"/>
  <c r="D7" i="5"/>
  <c r="C7" i="5"/>
  <c r="B7" i="5"/>
  <c r="G6" i="5"/>
  <c r="F6" i="5"/>
  <c r="E6" i="5"/>
  <c r="L6" i="5" s="1"/>
  <c r="D6" i="5"/>
  <c r="C6" i="5"/>
  <c r="B44" i="5" s="1"/>
  <c r="B78" i="5" s="1"/>
  <c r="B6" i="5"/>
  <c r="G5" i="5"/>
  <c r="F5" i="5"/>
  <c r="E5" i="5"/>
  <c r="L5" i="5" s="1"/>
  <c r="D5" i="5"/>
  <c r="C5" i="5"/>
  <c r="B5" i="5"/>
  <c r="D43" i="5" s="1"/>
  <c r="L4" i="5"/>
  <c r="G4" i="5"/>
  <c r="I4" i="5" s="1"/>
  <c r="K4" i="5" s="1"/>
  <c r="L42" i="5" s="1"/>
  <c r="F4" i="5"/>
  <c r="E4" i="5"/>
  <c r="D4" i="5"/>
  <c r="C4" i="5"/>
  <c r="B4" i="5"/>
  <c r="G118" i="4"/>
  <c r="D118" i="4"/>
  <c r="H118" i="4" s="1"/>
  <c r="G117" i="4"/>
  <c r="D117" i="4"/>
  <c r="G116" i="4"/>
  <c r="D116" i="4"/>
  <c r="G115" i="4"/>
  <c r="D115" i="4"/>
  <c r="H115" i="4" s="1"/>
  <c r="D50" i="4"/>
  <c r="C50" i="4"/>
  <c r="D49" i="4"/>
  <c r="C49" i="4"/>
  <c r="Q44" i="4"/>
  <c r="P44" i="4"/>
  <c r="M44" i="4"/>
  <c r="L44" i="4"/>
  <c r="K44" i="4"/>
  <c r="J44" i="4"/>
  <c r="G44" i="4"/>
  <c r="F44" i="4"/>
  <c r="E44" i="4"/>
  <c r="D44" i="4"/>
  <c r="C44" i="4"/>
  <c r="B44" i="4"/>
  <c r="Q43" i="4"/>
  <c r="P43" i="4"/>
  <c r="O43" i="4"/>
  <c r="N43" i="4"/>
  <c r="M43" i="4"/>
  <c r="L43" i="4"/>
  <c r="K43" i="4"/>
  <c r="J43" i="4"/>
  <c r="I43" i="4"/>
  <c r="H43" i="4"/>
  <c r="G43" i="4"/>
  <c r="F43" i="4"/>
  <c r="E43" i="4"/>
  <c r="D43" i="4"/>
  <c r="C43" i="4"/>
  <c r="B43" i="4"/>
  <c r="Q42" i="4"/>
  <c r="P42" i="4"/>
  <c r="O42" i="4"/>
  <c r="N42" i="4"/>
  <c r="M42" i="4"/>
  <c r="L42" i="4"/>
  <c r="K42" i="4"/>
  <c r="J42" i="4"/>
  <c r="I42" i="4"/>
  <c r="H42" i="4"/>
  <c r="G42" i="4"/>
  <c r="F42" i="4"/>
  <c r="E42" i="4"/>
  <c r="D42" i="4"/>
  <c r="C42" i="4"/>
  <c r="B42" i="4"/>
  <c r="Q21" i="4"/>
  <c r="P21" i="4"/>
  <c r="M21" i="4"/>
  <c r="L21" i="4"/>
  <c r="K21" i="4"/>
  <c r="J21" i="4"/>
  <c r="G21" i="4"/>
  <c r="F21" i="4"/>
  <c r="E21" i="4"/>
  <c r="D21" i="4"/>
  <c r="C21" i="4"/>
  <c r="B21" i="4"/>
  <c r="Q20" i="4"/>
  <c r="P20" i="4"/>
  <c r="O20" i="4"/>
  <c r="N20" i="4"/>
  <c r="M20" i="4"/>
  <c r="L20" i="4"/>
  <c r="K20" i="4"/>
  <c r="J20" i="4"/>
  <c r="I20" i="4"/>
  <c r="H20" i="4"/>
  <c r="G20" i="4"/>
  <c r="F20" i="4"/>
  <c r="E20" i="4"/>
  <c r="D20" i="4"/>
  <c r="C20" i="4"/>
  <c r="B20" i="4"/>
  <c r="Q19" i="4"/>
  <c r="P19" i="4"/>
  <c r="O19" i="4"/>
  <c r="N19" i="4"/>
  <c r="M19" i="4"/>
  <c r="L19" i="4"/>
  <c r="K19" i="4"/>
  <c r="J19" i="4"/>
  <c r="I19" i="4"/>
  <c r="H19" i="4"/>
  <c r="G19" i="4"/>
  <c r="F19" i="4"/>
  <c r="E19" i="4"/>
  <c r="D19" i="4"/>
  <c r="C19" i="4"/>
  <c r="B19" i="4"/>
  <c r="AP190" i="3"/>
  <c r="B155" i="3" a="1"/>
  <c r="B155" i="3" s="1"/>
  <c r="AB113" i="3"/>
  <c r="AA113" i="3"/>
  <c r="AB112" i="3"/>
  <c r="AA112" i="3"/>
  <c r="AC112" i="3" s="1"/>
  <c r="O37" i="3"/>
  <c r="I37" i="3"/>
  <c r="H37" i="3"/>
  <c r="G37" i="3"/>
  <c r="F37" i="3"/>
  <c r="E37" i="3"/>
  <c r="D37" i="3"/>
  <c r="C37" i="3"/>
  <c r="B37" i="3"/>
  <c r="J73" i="3" s="1"/>
  <c r="O36" i="3"/>
  <c r="I36" i="3"/>
  <c r="H36" i="3"/>
  <c r="G36" i="3"/>
  <c r="F36" i="3"/>
  <c r="E36" i="3"/>
  <c r="D36" i="3"/>
  <c r="C36" i="3"/>
  <c r="B36" i="3"/>
  <c r="O35" i="3"/>
  <c r="I35" i="3"/>
  <c r="H35" i="3"/>
  <c r="G35" i="3"/>
  <c r="F35" i="3"/>
  <c r="E35" i="3"/>
  <c r="D35" i="3"/>
  <c r="C35" i="3"/>
  <c r="B35" i="3"/>
  <c r="O34" i="3"/>
  <c r="I34" i="3"/>
  <c r="H34" i="3"/>
  <c r="G34" i="3"/>
  <c r="F34" i="3"/>
  <c r="E34" i="3"/>
  <c r="D34" i="3"/>
  <c r="C34" i="3"/>
  <c r="B34" i="3"/>
  <c r="O33" i="3"/>
  <c r="I33" i="3"/>
  <c r="H33" i="3"/>
  <c r="G33" i="3"/>
  <c r="F33" i="3"/>
  <c r="L33" i="3" s="1"/>
  <c r="E33" i="3"/>
  <c r="D33" i="3"/>
  <c r="C33" i="3"/>
  <c r="B33" i="3"/>
  <c r="O32" i="3"/>
  <c r="I32" i="3"/>
  <c r="H32" i="3"/>
  <c r="M32" i="3" s="1"/>
  <c r="G32" i="3"/>
  <c r="F32" i="3"/>
  <c r="E32" i="3"/>
  <c r="D32" i="3"/>
  <c r="C32" i="3"/>
  <c r="B32" i="3"/>
  <c r="O31" i="3"/>
  <c r="I31" i="3"/>
  <c r="H31" i="3"/>
  <c r="M31" i="3" s="1"/>
  <c r="G31" i="3"/>
  <c r="F31" i="3"/>
  <c r="J31" i="3" s="1"/>
  <c r="Q31" i="3" s="1"/>
  <c r="E31" i="3"/>
  <c r="D31" i="3"/>
  <c r="C31" i="3"/>
  <c r="B31" i="3"/>
  <c r="O30" i="3"/>
  <c r="I30" i="3"/>
  <c r="H30" i="3"/>
  <c r="G30" i="3"/>
  <c r="F30" i="3"/>
  <c r="J30" i="3" s="1"/>
  <c r="R30" i="3" s="1"/>
  <c r="E30" i="3"/>
  <c r="D30" i="3"/>
  <c r="C30" i="3"/>
  <c r="B30" i="3"/>
  <c r="O29" i="3"/>
  <c r="I29" i="3"/>
  <c r="H29" i="3"/>
  <c r="G29" i="3"/>
  <c r="F29" i="3"/>
  <c r="E29" i="3"/>
  <c r="D29" i="3"/>
  <c r="C29" i="3"/>
  <c r="B29" i="3"/>
  <c r="O28" i="3"/>
  <c r="I28" i="3"/>
  <c r="H28" i="3"/>
  <c r="G28" i="3"/>
  <c r="F28" i="3"/>
  <c r="L28" i="3" s="1"/>
  <c r="E28" i="3"/>
  <c r="D28" i="3"/>
  <c r="C28" i="3"/>
  <c r="B64" i="3" s="1"/>
  <c r="B28" i="3"/>
  <c r="O27" i="3"/>
  <c r="I27" i="3"/>
  <c r="H27" i="3"/>
  <c r="G27" i="3"/>
  <c r="F27" i="3"/>
  <c r="E27" i="3"/>
  <c r="D27" i="3"/>
  <c r="C27" i="3"/>
  <c r="B27" i="3"/>
  <c r="O26" i="3"/>
  <c r="I26" i="3"/>
  <c r="H26" i="3"/>
  <c r="G26" i="3"/>
  <c r="F26" i="3"/>
  <c r="E26" i="3"/>
  <c r="D26" i="3"/>
  <c r="C26" i="3"/>
  <c r="B26" i="3"/>
  <c r="G23" i="3"/>
  <c r="F23" i="3"/>
  <c r="E23" i="3"/>
  <c r="L23" i="3" s="1"/>
  <c r="D23" i="3"/>
  <c r="C23" i="3"/>
  <c r="B23" i="3"/>
  <c r="G61" i="3" s="1"/>
  <c r="G22" i="3"/>
  <c r="F22" i="3"/>
  <c r="E22" i="3"/>
  <c r="L22" i="3" s="1"/>
  <c r="D22" i="3"/>
  <c r="C22" i="3"/>
  <c r="B22" i="3"/>
  <c r="G21" i="3"/>
  <c r="F21" i="3"/>
  <c r="E21" i="3"/>
  <c r="L21" i="3" s="1"/>
  <c r="D21" i="3"/>
  <c r="C21" i="3"/>
  <c r="B21" i="3"/>
  <c r="J59" i="3" s="1"/>
  <c r="J93" i="3" s="1"/>
  <c r="G20" i="3"/>
  <c r="F20" i="3"/>
  <c r="E20" i="3"/>
  <c r="L20" i="3" s="1"/>
  <c r="D20" i="3"/>
  <c r="C20" i="3"/>
  <c r="B20" i="3"/>
  <c r="G19" i="3"/>
  <c r="F19" i="3"/>
  <c r="E19" i="3"/>
  <c r="L19" i="3" s="1"/>
  <c r="D19" i="3"/>
  <c r="C19" i="3"/>
  <c r="B19" i="3"/>
  <c r="N57" i="3" s="1"/>
  <c r="N91" i="3" s="1"/>
  <c r="L18" i="3"/>
  <c r="G18" i="3"/>
  <c r="F18" i="3"/>
  <c r="E18" i="3"/>
  <c r="D18" i="3"/>
  <c r="C18" i="3"/>
  <c r="B18" i="3"/>
  <c r="O56" i="3" s="1"/>
  <c r="G17" i="3"/>
  <c r="F17" i="3"/>
  <c r="E17" i="3"/>
  <c r="L17" i="3" s="1"/>
  <c r="D17" i="3"/>
  <c r="C17" i="3"/>
  <c r="B17" i="3"/>
  <c r="N55" i="3" s="1"/>
  <c r="G16" i="3"/>
  <c r="F16" i="3"/>
  <c r="E16" i="3"/>
  <c r="L16" i="3" s="1"/>
  <c r="D16" i="3"/>
  <c r="C16" i="3"/>
  <c r="B16" i="3"/>
  <c r="P54" i="3" s="1"/>
  <c r="P88" i="3" s="1"/>
  <c r="G15" i="3"/>
  <c r="H15" i="3" s="1"/>
  <c r="F15" i="3"/>
  <c r="E15" i="3"/>
  <c r="L15" i="3" s="1"/>
  <c r="D15" i="3"/>
  <c r="C15" i="3"/>
  <c r="B15" i="3"/>
  <c r="G14" i="3"/>
  <c r="F14" i="3"/>
  <c r="E14" i="3"/>
  <c r="L14" i="3" s="1"/>
  <c r="D14" i="3"/>
  <c r="C14" i="3"/>
  <c r="I52" i="3" s="1"/>
  <c r="B14" i="3"/>
  <c r="G13" i="3"/>
  <c r="F13" i="3"/>
  <c r="H13" i="3" s="1"/>
  <c r="E13" i="3"/>
  <c r="L13" i="3" s="1"/>
  <c r="D13" i="3"/>
  <c r="C13" i="3"/>
  <c r="B13" i="3"/>
  <c r="L12" i="3"/>
  <c r="G12" i="3"/>
  <c r="F12" i="3"/>
  <c r="E12" i="3"/>
  <c r="D12" i="3"/>
  <c r="C12" i="3"/>
  <c r="B12" i="3"/>
  <c r="M50" i="3" s="1"/>
  <c r="G11" i="3"/>
  <c r="F11" i="3"/>
  <c r="E11" i="3"/>
  <c r="L11" i="3" s="1"/>
  <c r="D11" i="3"/>
  <c r="C11" i="3"/>
  <c r="B11" i="3"/>
  <c r="G10" i="3"/>
  <c r="F10" i="3"/>
  <c r="E10" i="3"/>
  <c r="L10" i="3" s="1"/>
  <c r="D10" i="3"/>
  <c r="C10" i="3"/>
  <c r="B10" i="3"/>
  <c r="G9" i="3"/>
  <c r="F9" i="3"/>
  <c r="E9" i="3"/>
  <c r="L9" i="3" s="1"/>
  <c r="D9" i="3"/>
  <c r="C9" i="3"/>
  <c r="B9" i="3"/>
  <c r="G8" i="3"/>
  <c r="F8" i="3"/>
  <c r="E8" i="3"/>
  <c r="L8" i="3" s="1"/>
  <c r="D8" i="3"/>
  <c r="C8" i="3"/>
  <c r="B8" i="3"/>
  <c r="F46" i="3" s="1"/>
  <c r="G7" i="3"/>
  <c r="F7" i="3"/>
  <c r="E7" i="3"/>
  <c r="L7" i="3" s="1"/>
  <c r="D7" i="3"/>
  <c r="C7" i="3"/>
  <c r="B7" i="3"/>
  <c r="G6" i="3"/>
  <c r="F6" i="3"/>
  <c r="I6" i="3" s="1"/>
  <c r="K6" i="3" s="1"/>
  <c r="E6" i="3"/>
  <c r="L6" i="3" s="1"/>
  <c r="D6" i="3"/>
  <c r="C6" i="3"/>
  <c r="B6" i="3"/>
  <c r="G5" i="3"/>
  <c r="F5" i="3"/>
  <c r="H5" i="3" s="1"/>
  <c r="E5" i="3"/>
  <c r="L5" i="3" s="1"/>
  <c r="D5" i="3"/>
  <c r="C5" i="3"/>
  <c r="B5" i="3"/>
  <c r="N43" i="3" s="1"/>
  <c r="N77" i="3" s="1"/>
  <c r="G4" i="3"/>
  <c r="F4" i="3"/>
  <c r="E4" i="3"/>
  <c r="L4" i="3" s="1"/>
  <c r="D4" i="3"/>
  <c r="C4" i="3"/>
  <c r="B4" i="3"/>
  <c r="D42" i="3" s="1"/>
  <c r="AP190" i="2"/>
  <c r="B155" i="2" a="1"/>
  <c r="B155" i="2" s="1"/>
  <c r="AB113" i="2"/>
  <c r="AA113" i="2"/>
  <c r="AB112" i="2"/>
  <c r="AA112" i="2"/>
  <c r="K52" i="2"/>
  <c r="J52" i="2"/>
  <c r="G52" i="2"/>
  <c r="O37" i="2"/>
  <c r="I37" i="2"/>
  <c r="H37" i="2"/>
  <c r="G37" i="2"/>
  <c r="F37" i="2"/>
  <c r="E37" i="2"/>
  <c r="D37" i="2"/>
  <c r="C37" i="2"/>
  <c r="B37" i="2"/>
  <c r="O36" i="2"/>
  <c r="I36" i="2"/>
  <c r="H36" i="2"/>
  <c r="G36" i="2"/>
  <c r="F36" i="2"/>
  <c r="E36" i="2"/>
  <c r="D36" i="2"/>
  <c r="C36" i="2"/>
  <c r="B36" i="2"/>
  <c r="O35" i="2"/>
  <c r="I35" i="2"/>
  <c r="H35" i="2"/>
  <c r="G35" i="2"/>
  <c r="F35" i="2"/>
  <c r="E35" i="2"/>
  <c r="D35" i="2"/>
  <c r="C35" i="2"/>
  <c r="P71" i="2" s="1"/>
  <c r="P105" i="2" s="1"/>
  <c r="B35" i="2"/>
  <c r="O34" i="2"/>
  <c r="I34" i="2"/>
  <c r="H34" i="2"/>
  <c r="G34" i="2"/>
  <c r="F34" i="2"/>
  <c r="E34" i="2"/>
  <c r="D34" i="2"/>
  <c r="C34" i="2"/>
  <c r="B34" i="2"/>
  <c r="O33" i="2"/>
  <c r="I33" i="2"/>
  <c r="M33" i="2" s="1"/>
  <c r="H33" i="2"/>
  <c r="G33" i="2"/>
  <c r="F33" i="2"/>
  <c r="E33" i="2"/>
  <c r="D33" i="2"/>
  <c r="C33" i="2"/>
  <c r="B33" i="2"/>
  <c r="O32" i="2"/>
  <c r="K32" i="2"/>
  <c r="S32" i="2" s="1"/>
  <c r="I32" i="2"/>
  <c r="M32" i="2" s="1"/>
  <c r="H32" i="2"/>
  <c r="G32" i="2"/>
  <c r="F32" i="2"/>
  <c r="L32" i="2" s="1"/>
  <c r="E32" i="2"/>
  <c r="D32" i="2"/>
  <c r="C32" i="2"/>
  <c r="B32" i="2"/>
  <c r="O31" i="2"/>
  <c r="M31" i="2"/>
  <c r="I31" i="2"/>
  <c r="H31" i="2"/>
  <c r="G31" i="2"/>
  <c r="F31" i="2"/>
  <c r="E31" i="2"/>
  <c r="D31" i="2"/>
  <c r="C31" i="2"/>
  <c r="B31" i="2"/>
  <c r="G67" i="2" s="1"/>
  <c r="O30" i="2"/>
  <c r="I30" i="2"/>
  <c r="H30" i="2"/>
  <c r="G30" i="2"/>
  <c r="F30" i="2"/>
  <c r="J30" i="2" s="1"/>
  <c r="Q30" i="2" s="1"/>
  <c r="E30" i="2"/>
  <c r="D30" i="2"/>
  <c r="C30" i="2"/>
  <c r="B30" i="2"/>
  <c r="O29" i="2"/>
  <c r="I29" i="2"/>
  <c r="H29" i="2"/>
  <c r="G29" i="2"/>
  <c r="F29" i="2"/>
  <c r="J29" i="2" s="1"/>
  <c r="R29" i="2" s="1"/>
  <c r="E29" i="2"/>
  <c r="D29" i="2"/>
  <c r="C29" i="2"/>
  <c r="B29" i="2"/>
  <c r="O28" i="2"/>
  <c r="I28" i="2"/>
  <c r="H28" i="2"/>
  <c r="K28" i="2" s="1"/>
  <c r="T28" i="2" s="1"/>
  <c r="G28" i="2"/>
  <c r="F28" i="2"/>
  <c r="E28" i="2"/>
  <c r="D28" i="2"/>
  <c r="C28" i="2"/>
  <c r="B28" i="2"/>
  <c r="O27" i="2"/>
  <c r="I27" i="2"/>
  <c r="H27" i="2"/>
  <c r="G27" i="2"/>
  <c r="F27" i="2"/>
  <c r="E27" i="2"/>
  <c r="D27" i="2"/>
  <c r="C27" i="2"/>
  <c r="B27" i="2"/>
  <c r="J63" i="2" s="1"/>
  <c r="O26" i="2"/>
  <c r="I26" i="2"/>
  <c r="H26" i="2"/>
  <c r="G26" i="2"/>
  <c r="F26" i="2"/>
  <c r="E26" i="2"/>
  <c r="D26" i="2"/>
  <c r="C26" i="2"/>
  <c r="B26" i="2"/>
  <c r="G23" i="2"/>
  <c r="F23" i="2"/>
  <c r="E23" i="2"/>
  <c r="L23" i="2" s="1"/>
  <c r="D23" i="2"/>
  <c r="C23" i="2"/>
  <c r="B23" i="2"/>
  <c r="G22" i="2"/>
  <c r="F22" i="2"/>
  <c r="I22" i="2" s="1"/>
  <c r="K22" i="2" s="1"/>
  <c r="E22" i="2"/>
  <c r="L22" i="2" s="1"/>
  <c r="D22" i="2"/>
  <c r="C22" i="2"/>
  <c r="B22" i="2"/>
  <c r="G21" i="2"/>
  <c r="F21" i="2"/>
  <c r="E21" i="2"/>
  <c r="L21" i="2" s="1"/>
  <c r="D21" i="2"/>
  <c r="C21" i="2"/>
  <c r="B21" i="2"/>
  <c r="C59" i="2" s="1"/>
  <c r="G20" i="2"/>
  <c r="F20" i="2"/>
  <c r="E20" i="2"/>
  <c r="L20" i="2" s="1"/>
  <c r="D20" i="2"/>
  <c r="C20" i="2"/>
  <c r="Q58" i="2" s="1"/>
  <c r="Q92" i="2" s="1"/>
  <c r="B20" i="2"/>
  <c r="J58" i="2" s="1"/>
  <c r="G19" i="2"/>
  <c r="F19" i="2"/>
  <c r="E19" i="2"/>
  <c r="L19" i="2" s="1"/>
  <c r="D19" i="2"/>
  <c r="C19" i="2"/>
  <c r="B19" i="2"/>
  <c r="C57" i="2" s="1"/>
  <c r="C91" i="2" s="1"/>
  <c r="G18" i="2"/>
  <c r="F18" i="2"/>
  <c r="E18" i="2"/>
  <c r="L18" i="2" s="1"/>
  <c r="D18" i="2"/>
  <c r="C18" i="2"/>
  <c r="B18" i="2"/>
  <c r="G17" i="2"/>
  <c r="F17" i="2"/>
  <c r="I17" i="2" s="1"/>
  <c r="E17" i="2"/>
  <c r="L17" i="2" s="1"/>
  <c r="D17" i="2"/>
  <c r="C17" i="2"/>
  <c r="B17" i="2"/>
  <c r="L55" i="2" s="1"/>
  <c r="L89" i="2" s="1"/>
  <c r="G16" i="2"/>
  <c r="F16" i="2"/>
  <c r="E16" i="2"/>
  <c r="L16" i="2" s="1"/>
  <c r="D16" i="2"/>
  <c r="C16" i="2"/>
  <c r="B16" i="2"/>
  <c r="G15" i="2"/>
  <c r="F15" i="2"/>
  <c r="E15" i="2"/>
  <c r="L15" i="2" s="1"/>
  <c r="D15" i="2"/>
  <c r="C15" i="2"/>
  <c r="B15" i="2"/>
  <c r="G14" i="2"/>
  <c r="F14" i="2"/>
  <c r="E14" i="2"/>
  <c r="L14" i="2" s="1"/>
  <c r="D14" i="2"/>
  <c r="C14" i="2"/>
  <c r="B14" i="2"/>
  <c r="L52" i="2" s="1"/>
  <c r="G13" i="2"/>
  <c r="F13" i="2"/>
  <c r="E13" i="2"/>
  <c r="L13" i="2" s="1"/>
  <c r="D13" i="2"/>
  <c r="C13" i="2"/>
  <c r="B13" i="2"/>
  <c r="G12" i="2"/>
  <c r="F12" i="2"/>
  <c r="I12" i="2" s="1"/>
  <c r="E12" i="2"/>
  <c r="L12" i="2" s="1"/>
  <c r="D12" i="2"/>
  <c r="C12" i="2"/>
  <c r="B12" i="2"/>
  <c r="L50" i="2" s="1"/>
  <c r="G11" i="2"/>
  <c r="F11" i="2"/>
  <c r="E11" i="2"/>
  <c r="L11" i="2" s="1"/>
  <c r="D11" i="2"/>
  <c r="C11" i="2"/>
  <c r="B11" i="2"/>
  <c r="G10" i="2"/>
  <c r="F10" i="2"/>
  <c r="E10" i="2"/>
  <c r="L10" i="2" s="1"/>
  <c r="D10" i="2"/>
  <c r="C10" i="2"/>
  <c r="B10" i="2"/>
  <c r="G9" i="2"/>
  <c r="F9" i="2"/>
  <c r="E9" i="2"/>
  <c r="L9" i="2" s="1"/>
  <c r="D9" i="2"/>
  <c r="C9" i="2"/>
  <c r="B9" i="2"/>
  <c r="H47" i="2" s="1"/>
  <c r="H81" i="2" s="1"/>
  <c r="G8" i="2"/>
  <c r="F8" i="2"/>
  <c r="H8" i="2" s="1"/>
  <c r="E8" i="2"/>
  <c r="L8" i="2" s="1"/>
  <c r="D8" i="2"/>
  <c r="C8" i="2"/>
  <c r="B8" i="2"/>
  <c r="G7" i="2"/>
  <c r="F7" i="2"/>
  <c r="I7" i="2" s="1"/>
  <c r="E7" i="2"/>
  <c r="L7" i="2" s="1"/>
  <c r="D7" i="2"/>
  <c r="C7" i="2"/>
  <c r="B7" i="2"/>
  <c r="L6" i="2"/>
  <c r="G6" i="2"/>
  <c r="F6" i="2"/>
  <c r="E6" i="2"/>
  <c r="D6" i="2"/>
  <c r="C6" i="2"/>
  <c r="B6" i="2"/>
  <c r="E44" i="2" s="1"/>
  <c r="G5" i="2"/>
  <c r="F5" i="2"/>
  <c r="E5" i="2"/>
  <c r="L5" i="2" s="1"/>
  <c r="D5" i="2"/>
  <c r="C5" i="2"/>
  <c r="B5" i="2"/>
  <c r="G4" i="2"/>
  <c r="F4" i="2"/>
  <c r="E4" i="2"/>
  <c r="L4" i="2" s="1"/>
  <c r="D4" i="2"/>
  <c r="C4" i="2"/>
  <c r="B4" i="2"/>
  <c r="J42" i="2" s="1"/>
  <c r="F70" i="2" l="1"/>
  <c r="F104" i="2" s="1"/>
  <c r="M66" i="2"/>
  <c r="M100" i="2" s="1"/>
  <c r="M52" i="2"/>
  <c r="M84" i="3"/>
  <c r="D59" i="3"/>
  <c r="I22" i="3"/>
  <c r="K35" i="3"/>
  <c r="F49" i="4"/>
  <c r="P57" i="2"/>
  <c r="P91" i="2" s="1"/>
  <c r="I53" i="2"/>
  <c r="Q71" i="2"/>
  <c r="Q105" i="2" s="1"/>
  <c r="C72" i="2"/>
  <c r="C106" i="2" s="1"/>
  <c r="L47" i="2"/>
  <c r="I49" i="3"/>
  <c r="D52" i="3"/>
  <c r="I15" i="3"/>
  <c r="J37" i="3"/>
  <c r="R37" i="3" s="1"/>
  <c r="M28" i="5"/>
  <c r="M29" i="5"/>
  <c r="P68" i="5"/>
  <c r="P102" i="5" s="1"/>
  <c r="G60" i="5"/>
  <c r="H21" i="6"/>
  <c r="M36" i="6"/>
  <c r="I45" i="6"/>
  <c r="I8" i="6"/>
  <c r="D50" i="6"/>
  <c r="H55" i="6"/>
  <c r="H117" i="4"/>
  <c r="I21" i="5"/>
  <c r="C46" i="5"/>
  <c r="H9" i="5"/>
  <c r="M9" i="5" s="1"/>
  <c r="S47" i="5" s="1"/>
  <c r="B68" i="5"/>
  <c r="B102" i="5" s="1"/>
  <c r="M60" i="5"/>
  <c r="M94" i="5" s="1"/>
  <c r="L32" i="5"/>
  <c r="E64" i="6"/>
  <c r="E98" i="6" s="1"/>
  <c r="N55" i="6"/>
  <c r="J97" i="2"/>
  <c r="E52" i="2"/>
  <c r="B98" i="5"/>
  <c r="B107" i="5"/>
  <c r="F51" i="5"/>
  <c r="O55" i="6"/>
  <c r="J57" i="2"/>
  <c r="M5" i="3"/>
  <c r="S43" i="3" s="1"/>
  <c r="S77" i="3" s="1"/>
  <c r="K29" i="3"/>
  <c r="T29" i="3" s="1"/>
  <c r="K31" i="3"/>
  <c r="C71" i="6"/>
  <c r="C105" i="6" s="1"/>
  <c r="Q54" i="2"/>
  <c r="K31" i="2"/>
  <c r="T31" i="2" s="1"/>
  <c r="F47" i="2"/>
  <c r="I58" i="2"/>
  <c r="I13" i="3"/>
  <c r="C61" i="3"/>
  <c r="L31" i="3"/>
  <c r="N73" i="3"/>
  <c r="C64" i="3"/>
  <c r="E53" i="5"/>
  <c r="J59" i="5"/>
  <c r="H62" i="5"/>
  <c r="C72" i="5"/>
  <c r="C60" i="5"/>
  <c r="C94" i="5" s="1"/>
  <c r="N46" i="6"/>
  <c r="J27" i="6"/>
  <c r="R27" i="6" s="1"/>
  <c r="M29" i="6"/>
  <c r="J6" i="3"/>
  <c r="J107" i="3"/>
  <c r="D64" i="5"/>
  <c r="D98" i="5" s="1"/>
  <c r="K54" i="5"/>
  <c r="H51" i="2"/>
  <c r="M29" i="2"/>
  <c r="G47" i="2"/>
  <c r="E60" i="5"/>
  <c r="E94" i="5" s="1"/>
  <c r="H67" i="2"/>
  <c r="H101" i="2" s="1"/>
  <c r="B63" i="2"/>
  <c r="B97" i="2" s="1"/>
  <c r="L30" i="2"/>
  <c r="K72" i="2"/>
  <c r="K106" i="2" s="1"/>
  <c r="AD112" i="3"/>
  <c r="C89" i="5"/>
  <c r="J27" i="5"/>
  <c r="Q27" i="5" s="1"/>
  <c r="E63" i="5" s="1"/>
  <c r="E97" i="5" s="1"/>
  <c r="F60" i="5"/>
  <c r="F94" i="5" s="1"/>
  <c r="H68" i="6"/>
  <c r="H102" i="6" s="1"/>
  <c r="N80" i="6"/>
  <c r="D77" i="5"/>
  <c r="K7" i="2"/>
  <c r="J7" i="2"/>
  <c r="M28" i="2"/>
  <c r="I51" i="2"/>
  <c r="L81" i="2"/>
  <c r="K29" i="2"/>
  <c r="Q51" i="2"/>
  <c r="O57" i="2"/>
  <c r="AD112" i="2"/>
  <c r="M13" i="3"/>
  <c r="S51" i="3" s="1"/>
  <c r="S85" i="3" s="1"/>
  <c r="C95" i="3"/>
  <c r="M33" i="3"/>
  <c r="N33" i="3" s="1"/>
  <c r="P33" i="3" s="1"/>
  <c r="S69" i="3" s="1"/>
  <c r="S103" i="3" s="1"/>
  <c r="H52" i="3"/>
  <c r="H4" i="5"/>
  <c r="M4" i="5" s="1"/>
  <c r="S42" i="5" s="1"/>
  <c r="S76" i="5" s="1"/>
  <c r="O44" i="5"/>
  <c r="O78" i="5" s="1"/>
  <c r="K66" i="5"/>
  <c r="L67" i="5"/>
  <c r="L101" i="5" s="1"/>
  <c r="F49" i="5"/>
  <c r="C59" i="5"/>
  <c r="I4" i="6"/>
  <c r="J49" i="6"/>
  <c r="B46" i="3"/>
  <c r="C98" i="3"/>
  <c r="L76" i="5"/>
  <c r="M55" i="5"/>
  <c r="D58" i="5"/>
  <c r="G49" i="5"/>
  <c r="G83" i="5" s="1"/>
  <c r="K49" i="6"/>
  <c r="Q57" i="2"/>
  <c r="Q91" i="2" s="1"/>
  <c r="J72" i="3"/>
  <c r="C46" i="3"/>
  <c r="C80" i="3" s="1"/>
  <c r="J52" i="3"/>
  <c r="E64" i="3"/>
  <c r="E98" i="3" s="1"/>
  <c r="L52" i="5"/>
  <c r="G46" i="6"/>
  <c r="G80" i="6" s="1"/>
  <c r="P54" i="6"/>
  <c r="H62" i="6"/>
  <c r="H96" i="6" s="1"/>
  <c r="J28" i="6"/>
  <c r="D86" i="6"/>
  <c r="H9" i="3"/>
  <c r="M9" i="3" s="1"/>
  <c r="S47" i="3" s="1"/>
  <c r="S81" i="3" s="1"/>
  <c r="P71" i="3"/>
  <c r="P105" i="3" s="1"/>
  <c r="E72" i="3"/>
  <c r="E106" i="3" s="1"/>
  <c r="D46" i="3"/>
  <c r="E73" i="3"/>
  <c r="E49" i="4"/>
  <c r="D49" i="5"/>
  <c r="D83" i="5" s="1"/>
  <c r="S93" i="5"/>
  <c r="O7" i="7"/>
  <c r="H51" i="6"/>
  <c r="H85" i="6" s="1"/>
  <c r="J65" i="2"/>
  <c r="J99" i="2" s="1"/>
  <c r="J28" i="2"/>
  <c r="Q28" i="2" s="1"/>
  <c r="K57" i="3"/>
  <c r="K91" i="3" s="1"/>
  <c r="N85" i="5"/>
  <c r="K32" i="5"/>
  <c r="S32" i="5" s="1"/>
  <c r="H60" i="5"/>
  <c r="E68" i="5"/>
  <c r="E102" i="5" s="1"/>
  <c r="N54" i="6"/>
  <c r="N88" i="6" s="1"/>
  <c r="K28" i="6"/>
  <c r="H46" i="6"/>
  <c r="H80" i="6" s="1"/>
  <c r="M15" i="3"/>
  <c r="S53" i="3" s="1"/>
  <c r="S87" i="3" s="1"/>
  <c r="C81" i="5"/>
  <c r="C69" i="2"/>
  <c r="C103" i="2" s="1"/>
  <c r="E50" i="2"/>
  <c r="G72" i="2"/>
  <c r="G106" i="2" s="1"/>
  <c r="M64" i="3"/>
  <c r="M98" i="3" s="1"/>
  <c r="L57" i="3"/>
  <c r="H44" i="2"/>
  <c r="H78" i="2" s="1"/>
  <c r="Q50" i="2"/>
  <c r="Q84" i="2" s="1"/>
  <c r="F50" i="2"/>
  <c r="J72" i="2"/>
  <c r="J106" i="2" s="1"/>
  <c r="I45" i="3"/>
  <c r="I79" i="3" s="1"/>
  <c r="H50" i="3"/>
  <c r="H84" i="3" s="1"/>
  <c r="C45" i="5"/>
  <c r="C79" i="5" s="1"/>
  <c r="L51" i="5"/>
  <c r="I14" i="5"/>
  <c r="J54" i="5"/>
  <c r="J88" i="5" s="1"/>
  <c r="H20" i="5"/>
  <c r="M20" i="5" s="1"/>
  <c r="S58" i="5" s="1"/>
  <c r="S92" i="5" s="1"/>
  <c r="B55" i="5"/>
  <c r="B89" i="5" s="1"/>
  <c r="H8" i="6"/>
  <c r="M8" i="6" s="1"/>
  <c r="S46" i="6" s="1"/>
  <c r="S80" i="6" s="1"/>
  <c r="I48" i="6"/>
  <c r="H53" i="6"/>
  <c r="H87" i="6" s="1"/>
  <c r="L28" i="6"/>
  <c r="K29" i="6"/>
  <c r="J32" i="6"/>
  <c r="R32" i="6" s="1"/>
  <c r="B98" i="3"/>
  <c r="N46" i="3"/>
  <c r="K33" i="6"/>
  <c r="S33" i="6" s="1"/>
  <c r="G101" i="2"/>
  <c r="G71" i="2"/>
  <c r="G105" i="2" s="1"/>
  <c r="B72" i="2"/>
  <c r="B106" i="2" s="1"/>
  <c r="G50" i="2"/>
  <c r="B57" i="2"/>
  <c r="B91" i="2" s="1"/>
  <c r="F67" i="2"/>
  <c r="F101" i="2" s="1"/>
  <c r="O90" i="3"/>
  <c r="L50" i="3"/>
  <c r="M17" i="5"/>
  <c r="S55" i="5" s="1"/>
  <c r="S89" i="5" s="1"/>
  <c r="F58" i="5"/>
  <c r="J33" i="5"/>
  <c r="R33" i="5" s="1"/>
  <c r="F62" i="5"/>
  <c r="H7" i="2"/>
  <c r="H52" i="2"/>
  <c r="H86" i="2" s="1"/>
  <c r="I18" i="2"/>
  <c r="D60" i="2"/>
  <c r="D94" i="2" s="1"/>
  <c r="K26" i="2"/>
  <c r="M44" i="3"/>
  <c r="M78" i="3" s="1"/>
  <c r="G47" i="3"/>
  <c r="G81" i="3" s="1"/>
  <c r="B50" i="3"/>
  <c r="N53" i="3"/>
  <c r="H59" i="3"/>
  <c r="I5" i="5"/>
  <c r="P90" i="5"/>
  <c r="C49" i="5"/>
  <c r="C83" i="5" s="1"/>
  <c r="K55" i="5"/>
  <c r="G62" i="5"/>
  <c r="T28" i="6"/>
  <c r="G68" i="6"/>
  <c r="G102" i="6" s="1"/>
  <c r="N73" i="6"/>
  <c r="N107" i="6" s="1"/>
  <c r="H49" i="6"/>
  <c r="E66" i="2"/>
  <c r="N57" i="2"/>
  <c r="N91" i="2" s="1"/>
  <c r="D69" i="2"/>
  <c r="D103" i="2" s="1"/>
  <c r="AC112" i="2"/>
  <c r="H7" i="3"/>
  <c r="I16" i="3"/>
  <c r="J16" i="3" s="1"/>
  <c r="O54" i="3" s="1"/>
  <c r="O88" i="3" s="1"/>
  <c r="G52" i="3"/>
  <c r="G86" i="3" s="1"/>
  <c r="G84" i="5"/>
  <c r="E87" i="5"/>
  <c r="C106" i="5"/>
  <c r="E49" i="5"/>
  <c r="E83" i="5" s="1"/>
  <c r="B59" i="5"/>
  <c r="B93" i="5" s="1"/>
  <c r="H7" i="6"/>
  <c r="M7" i="6" s="1"/>
  <c r="S45" i="6" s="1"/>
  <c r="S79" i="6" s="1"/>
  <c r="H10" i="6"/>
  <c r="H15" i="6"/>
  <c r="C64" i="6"/>
  <c r="C98" i="6" s="1"/>
  <c r="E67" i="6"/>
  <c r="E101" i="6" s="1"/>
  <c r="O71" i="6"/>
  <c r="O105" i="6" s="1"/>
  <c r="I49" i="6"/>
  <c r="O5" i="7"/>
  <c r="J12" i="2"/>
  <c r="K12" i="2"/>
  <c r="H4" i="3"/>
  <c r="M4" i="3" s="1"/>
  <c r="S42" i="3" s="1"/>
  <c r="S76" i="3" s="1"/>
  <c r="I4" i="3"/>
  <c r="H12" i="2"/>
  <c r="M12" i="2" s="1"/>
  <c r="S50" i="2" s="1"/>
  <c r="H62" i="2"/>
  <c r="I62" i="2"/>
  <c r="I96" i="2" s="1"/>
  <c r="K62" i="2"/>
  <c r="K96" i="2" s="1"/>
  <c r="J62" i="2"/>
  <c r="J96" i="2" s="1"/>
  <c r="G62" i="2"/>
  <c r="G96" i="2" s="1"/>
  <c r="M62" i="2"/>
  <c r="M96" i="2" s="1"/>
  <c r="L62" i="2"/>
  <c r="L96" i="2" s="1"/>
  <c r="K51" i="3"/>
  <c r="K85" i="3" s="1"/>
  <c r="Q51" i="3"/>
  <c r="Q85" i="3" s="1"/>
  <c r="I51" i="3"/>
  <c r="I85" i="3" s="1"/>
  <c r="H51" i="3"/>
  <c r="H85" i="3" s="1"/>
  <c r="G51" i="3"/>
  <c r="G85" i="3" s="1"/>
  <c r="F51" i="3"/>
  <c r="F85" i="3" s="1"/>
  <c r="C49" i="2"/>
  <c r="C83" i="2" s="1"/>
  <c r="P42" i="2"/>
  <c r="P76" i="2" s="1"/>
  <c r="H42" i="2"/>
  <c r="H76" i="2" s="1"/>
  <c r="I42" i="2"/>
  <c r="I76" i="2" s="1"/>
  <c r="G42" i="2"/>
  <c r="G76" i="2" s="1"/>
  <c r="M48" i="3"/>
  <c r="E48" i="3"/>
  <c r="G48" i="3"/>
  <c r="F48" i="3"/>
  <c r="F82" i="3" s="1"/>
  <c r="B48" i="3"/>
  <c r="J48" i="3"/>
  <c r="I48" i="3"/>
  <c r="J22" i="2"/>
  <c r="D70" i="2"/>
  <c r="D104" i="2" s="1"/>
  <c r="E70" i="2"/>
  <c r="E104" i="2" s="1"/>
  <c r="O70" i="2"/>
  <c r="O104" i="2" s="1"/>
  <c r="L70" i="2"/>
  <c r="L104" i="2" s="1"/>
  <c r="N70" i="2"/>
  <c r="N104" i="2" s="1"/>
  <c r="M70" i="2"/>
  <c r="G70" i="2"/>
  <c r="G104" i="2" s="1"/>
  <c r="F71" i="2"/>
  <c r="F105" i="2" s="1"/>
  <c r="E71" i="2"/>
  <c r="E105" i="2" s="1"/>
  <c r="G81" i="2"/>
  <c r="H48" i="3"/>
  <c r="E54" i="3"/>
  <c r="C54" i="3"/>
  <c r="K54" i="3"/>
  <c r="I54" i="3"/>
  <c r="I88" i="3" s="1"/>
  <c r="Q54" i="3"/>
  <c r="Q88" i="3" s="1"/>
  <c r="L48" i="3"/>
  <c r="L82" i="3" s="1"/>
  <c r="D49" i="2"/>
  <c r="K49" i="2"/>
  <c r="J5" i="5"/>
  <c r="K5" i="5"/>
  <c r="H43" i="5" s="1"/>
  <c r="H77" i="5" s="1"/>
  <c r="M30" i="2"/>
  <c r="N30" i="2" s="1"/>
  <c r="K30" i="2"/>
  <c r="S30" i="2" s="1"/>
  <c r="H55" i="2"/>
  <c r="H89" i="2" s="1"/>
  <c r="E46" i="2"/>
  <c r="J46" i="2"/>
  <c r="J80" i="2" s="1"/>
  <c r="D46" i="2"/>
  <c r="H85" i="2"/>
  <c r="J17" i="2"/>
  <c r="Q55" i="2" s="1"/>
  <c r="Q89" i="2" s="1"/>
  <c r="K17" i="2"/>
  <c r="T29" i="2"/>
  <c r="S29" i="2"/>
  <c r="K42" i="2"/>
  <c r="K76" i="2" s="1"/>
  <c r="I55" i="2"/>
  <c r="I89" i="2" s="1"/>
  <c r="Q42" i="2"/>
  <c r="I14" i="3"/>
  <c r="H14" i="3"/>
  <c r="G64" i="2"/>
  <c r="G98" i="2" s="1"/>
  <c r="C63" i="2"/>
  <c r="C97" i="2" s="1"/>
  <c r="G45" i="2"/>
  <c r="G79" i="2" s="1"/>
  <c r="I63" i="2"/>
  <c r="I97" i="2" s="1"/>
  <c r="M63" i="2"/>
  <c r="M97" i="2" s="1"/>
  <c r="N63" i="2"/>
  <c r="N97" i="2" s="1"/>
  <c r="O63" i="2"/>
  <c r="O97" i="2" s="1"/>
  <c r="L63" i="2"/>
  <c r="L97" i="2" s="1"/>
  <c r="Q85" i="2"/>
  <c r="K63" i="2"/>
  <c r="K97" i="2" s="1"/>
  <c r="O60" i="3"/>
  <c r="O94" i="3" s="1"/>
  <c r="G60" i="3"/>
  <c r="G94" i="3" s="1"/>
  <c r="D80" i="3"/>
  <c r="L37" i="5"/>
  <c r="J37" i="5"/>
  <c r="R37" i="5" s="1"/>
  <c r="C70" i="2"/>
  <c r="C104" i="2" s="1"/>
  <c r="I63" i="3"/>
  <c r="I97" i="3" s="1"/>
  <c r="C63" i="3"/>
  <c r="C97" i="3" s="1"/>
  <c r="H63" i="3"/>
  <c r="H97" i="3" s="1"/>
  <c r="K14" i="5"/>
  <c r="J14" i="5"/>
  <c r="Q52" i="5" s="1"/>
  <c r="Q86" i="5" s="1"/>
  <c r="M33" i="5"/>
  <c r="D73" i="5"/>
  <c r="D107" i="5" s="1"/>
  <c r="Q56" i="5"/>
  <c r="Q90" i="5" s="1"/>
  <c r="M61" i="5"/>
  <c r="F66" i="5"/>
  <c r="F100" i="5" s="1"/>
  <c r="D72" i="5"/>
  <c r="D106" i="5" s="1"/>
  <c r="B64" i="6"/>
  <c r="B98" i="6" s="1"/>
  <c r="N107" i="3"/>
  <c r="E42" i="2"/>
  <c r="E76" i="2" s="1"/>
  <c r="E66" i="3"/>
  <c r="E100" i="3" s="1"/>
  <c r="K47" i="2"/>
  <c r="K81" i="2" s="1"/>
  <c r="Q47" i="2"/>
  <c r="Q81" i="2" s="1"/>
  <c r="C93" i="2"/>
  <c r="D47" i="2"/>
  <c r="D81" i="2" s="1"/>
  <c r="C50" i="2"/>
  <c r="C84" i="2" s="1"/>
  <c r="I85" i="2"/>
  <c r="N53" i="2"/>
  <c r="D86" i="3"/>
  <c r="B55" i="3"/>
  <c r="B89" i="3" s="1"/>
  <c r="K55" i="3"/>
  <c r="K89" i="3" s="1"/>
  <c r="M55" i="3"/>
  <c r="M89" i="3" s="1"/>
  <c r="L55" i="3"/>
  <c r="L89" i="3" s="1"/>
  <c r="J55" i="3"/>
  <c r="J89" i="3" s="1"/>
  <c r="Q47" i="3"/>
  <c r="Q81" i="3" s="1"/>
  <c r="G47" i="5"/>
  <c r="G81" i="5" s="1"/>
  <c r="M47" i="5"/>
  <c r="M81" i="5" s="1"/>
  <c r="F47" i="5"/>
  <c r="F81" i="5" s="1"/>
  <c r="Q69" i="5"/>
  <c r="Q103" i="5" s="1"/>
  <c r="I79" i="6"/>
  <c r="P88" i="6"/>
  <c r="K45" i="6"/>
  <c r="K79" i="6" s="1"/>
  <c r="B88" i="6"/>
  <c r="N43" i="2"/>
  <c r="N77" i="2" s="1"/>
  <c r="M7" i="2"/>
  <c r="S45" i="2" s="1"/>
  <c r="S79" i="2" s="1"/>
  <c r="J47" i="2"/>
  <c r="J81" i="2" s="1"/>
  <c r="I10" i="2"/>
  <c r="P53" i="2"/>
  <c r="H22" i="2"/>
  <c r="S26" i="2"/>
  <c r="L28" i="2"/>
  <c r="N28" i="2" s="1"/>
  <c r="P28" i="2" s="1"/>
  <c r="S64" i="2" s="1"/>
  <c r="S98" i="2" s="1"/>
  <c r="E47" i="2"/>
  <c r="D50" i="2"/>
  <c r="J51" i="2"/>
  <c r="J85" i="2" s="1"/>
  <c r="O53" i="2"/>
  <c r="O91" i="2"/>
  <c r="F45" i="3"/>
  <c r="F79" i="3" s="1"/>
  <c r="I9" i="3"/>
  <c r="D60" i="3"/>
  <c r="D94" i="3" s="1"/>
  <c r="F60" i="3"/>
  <c r="F94" i="3" s="1"/>
  <c r="E60" i="3"/>
  <c r="E94" i="3" s="1"/>
  <c r="J28" i="3"/>
  <c r="J45" i="3"/>
  <c r="L91" i="3"/>
  <c r="H11" i="5"/>
  <c r="M11" i="5" s="1"/>
  <c r="S49" i="5" s="1"/>
  <c r="S83" i="5" s="1"/>
  <c r="I11" i="5"/>
  <c r="O54" i="5"/>
  <c r="O88" i="5" s="1"/>
  <c r="G54" i="5"/>
  <c r="G88" i="5" s="1"/>
  <c r="C61" i="5"/>
  <c r="B61" i="5"/>
  <c r="L61" i="5"/>
  <c r="D61" i="5"/>
  <c r="J65" i="5"/>
  <c r="J99" i="5" s="1"/>
  <c r="J32" i="5"/>
  <c r="Q32" i="5" s="1"/>
  <c r="L73" i="5"/>
  <c r="L107" i="5" s="1"/>
  <c r="O73" i="5"/>
  <c r="O107" i="5" s="1"/>
  <c r="N73" i="5"/>
  <c r="N107" i="5" s="1"/>
  <c r="N61" i="5"/>
  <c r="N95" i="5" s="1"/>
  <c r="G72" i="5"/>
  <c r="G106" i="5" s="1"/>
  <c r="I51" i="6"/>
  <c r="I85" i="6" s="1"/>
  <c r="I14" i="6"/>
  <c r="H14" i="6"/>
  <c r="M14" i="6" s="1"/>
  <c r="S52" i="6" s="1"/>
  <c r="S86" i="6" s="1"/>
  <c r="B80" i="3"/>
  <c r="G95" i="3"/>
  <c r="E107" i="3"/>
  <c r="E43" i="5"/>
  <c r="E77" i="5" s="1"/>
  <c r="O43" i="5"/>
  <c r="O77" i="5" s="1"/>
  <c r="F43" i="5"/>
  <c r="F77" i="5" s="1"/>
  <c r="Q43" i="5"/>
  <c r="Q77" i="5" s="1"/>
  <c r="P43" i="5"/>
  <c r="P77" i="5" s="1"/>
  <c r="L26" i="5"/>
  <c r="J26" i="5"/>
  <c r="Q26" i="5" s="1"/>
  <c r="C62" i="5" s="1"/>
  <c r="C96" i="5" s="1"/>
  <c r="O72" i="5"/>
  <c r="O106" i="5" s="1"/>
  <c r="I22" i="6"/>
  <c r="H22" i="6"/>
  <c r="M22" i="6" s="1"/>
  <c r="S60" i="6" s="1"/>
  <c r="S94" i="6" s="1"/>
  <c r="I62" i="6"/>
  <c r="I96" i="6" s="1"/>
  <c r="K62" i="6"/>
  <c r="K96" i="6" s="1"/>
  <c r="J62" i="6"/>
  <c r="J96" i="6" s="1"/>
  <c r="O63" i="6"/>
  <c r="O97" i="6" s="1"/>
  <c r="J65" i="6"/>
  <c r="J99" i="6" s="1"/>
  <c r="B65" i="6"/>
  <c r="B99" i="6" s="1"/>
  <c r="N53" i="5"/>
  <c r="N87" i="5" s="1"/>
  <c r="P53" i="5"/>
  <c r="P87" i="5" s="1"/>
  <c r="L70" i="5"/>
  <c r="E71" i="5"/>
  <c r="E105" i="5" s="1"/>
  <c r="K88" i="5"/>
  <c r="C93" i="5"/>
  <c r="O44" i="6"/>
  <c r="H44" i="6"/>
  <c r="C50" i="6"/>
  <c r="C84" i="6" s="1"/>
  <c r="B56" i="6"/>
  <c r="J20" i="5"/>
  <c r="Q88" i="5"/>
  <c r="E78" i="2"/>
  <c r="N80" i="3"/>
  <c r="I50" i="6"/>
  <c r="H50" i="6"/>
  <c r="H84" i="6" s="1"/>
  <c r="F50" i="6"/>
  <c r="H13" i="6"/>
  <c r="I13" i="6"/>
  <c r="H16" i="6"/>
  <c r="M16" i="6" s="1"/>
  <c r="S54" i="6" s="1"/>
  <c r="S88" i="6" s="1"/>
  <c r="N61" i="6"/>
  <c r="L61" i="6"/>
  <c r="D63" i="6"/>
  <c r="D97" i="6" s="1"/>
  <c r="E48" i="6"/>
  <c r="E50" i="6"/>
  <c r="D91" i="6"/>
  <c r="B66" i="3"/>
  <c r="B100" i="3" s="1"/>
  <c r="N36" i="6"/>
  <c r="F48" i="6"/>
  <c r="C61" i="6"/>
  <c r="J37" i="2"/>
  <c r="Q37" i="2" s="1"/>
  <c r="Q73" i="2" s="1"/>
  <c r="Q107" i="2" s="1"/>
  <c r="M7" i="3"/>
  <c r="S45" i="3" s="1"/>
  <c r="S79" i="3" s="1"/>
  <c r="N89" i="3"/>
  <c r="O64" i="3"/>
  <c r="O98" i="3" s="1"/>
  <c r="L26" i="6"/>
  <c r="J26" i="6"/>
  <c r="R26" i="6" s="1"/>
  <c r="B62" i="6" s="1"/>
  <c r="B96" i="6" s="1"/>
  <c r="H49" i="5"/>
  <c r="Q49" i="5"/>
  <c r="Q83" i="5" s="1"/>
  <c r="B49" i="5"/>
  <c r="B83" i="5" s="1"/>
  <c r="M89" i="5"/>
  <c r="N32" i="5"/>
  <c r="P32" i="5" s="1"/>
  <c r="S68" i="5" s="1"/>
  <c r="S102" i="5" s="1"/>
  <c r="N44" i="5"/>
  <c r="N78" i="5" s="1"/>
  <c r="K89" i="5"/>
  <c r="G94" i="5"/>
  <c r="J47" i="6"/>
  <c r="J81" i="6" s="1"/>
  <c r="I47" i="6"/>
  <c r="I81" i="6" s="1"/>
  <c r="D47" i="6"/>
  <c r="D81" i="6" s="1"/>
  <c r="L47" i="6"/>
  <c r="L81" i="6" s="1"/>
  <c r="K47" i="6"/>
  <c r="K81" i="6" s="1"/>
  <c r="M10" i="6"/>
  <c r="S48" i="6" s="1"/>
  <c r="S82" i="6" s="1"/>
  <c r="M15" i="6"/>
  <c r="S53" i="6" s="1"/>
  <c r="S87" i="6" s="1"/>
  <c r="G48" i="6"/>
  <c r="G82" i="6" s="1"/>
  <c r="G53" i="6"/>
  <c r="G87" i="6" s="1"/>
  <c r="G61" i="6"/>
  <c r="L67" i="3"/>
  <c r="L101" i="3" s="1"/>
  <c r="J67" i="3"/>
  <c r="J101" i="3" s="1"/>
  <c r="D93" i="5"/>
  <c r="C44" i="5"/>
  <c r="M47" i="2"/>
  <c r="M81" i="2" s="1"/>
  <c r="Q56" i="3"/>
  <c r="Q90" i="3" s="1"/>
  <c r="P56" i="3"/>
  <c r="P90" i="3" s="1"/>
  <c r="O59" i="3"/>
  <c r="L59" i="3"/>
  <c r="O73" i="3"/>
  <c r="O107" i="3" s="1"/>
  <c r="I83" i="3"/>
  <c r="K59" i="3"/>
  <c r="K93" i="3" s="1"/>
  <c r="L86" i="5"/>
  <c r="T33" i="5"/>
  <c r="J34" i="5"/>
  <c r="Q34" i="5" s="1"/>
  <c r="Q70" i="5" s="1"/>
  <c r="Q104" i="5" s="1"/>
  <c r="L34" i="5"/>
  <c r="I44" i="5"/>
  <c r="I78" i="5" s="1"/>
  <c r="F85" i="5"/>
  <c r="J33" i="6"/>
  <c r="L33" i="6"/>
  <c r="N33" i="6" s="1"/>
  <c r="P33" i="6" s="1"/>
  <c r="S69" i="6" s="1"/>
  <c r="S103" i="6" s="1"/>
  <c r="G86" i="2"/>
  <c r="I44" i="2"/>
  <c r="I78" i="2" s="1"/>
  <c r="P47" i="2"/>
  <c r="F51" i="2"/>
  <c r="F85" i="2" s="1"/>
  <c r="K62" i="3"/>
  <c r="J29" i="3"/>
  <c r="L29" i="3"/>
  <c r="G71" i="3"/>
  <c r="G105" i="3" s="1"/>
  <c r="E47" i="3"/>
  <c r="L52" i="3"/>
  <c r="H56" i="3"/>
  <c r="H90" i="3" s="1"/>
  <c r="C66" i="3"/>
  <c r="C100" i="3" s="1"/>
  <c r="K9" i="5"/>
  <c r="H15" i="5"/>
  <c r="M15" i="5" s="1"/>
  <c r="S53" i="5" s="1"/>
  <c r="S87" i="5" s="1"/>
  <c r="I15" i="5"/>
  <c r="O51" i="2"/>
  <c r="O85" i="2" s="1"/>
  <c r="H17" i="2"/>
  <c r="M17" i="2" s="1"/>
  <c r="S55" i="2" s="1"/>
  <c r="S89" i="2" s="1"/>
  <c r="K57" i="2"/>
  <c r="K91" i="2" s="1"/>
  <c r="L57" i="2"/>
  <c r="L91" i="2" s="1"/>
  <c r="M57" i="2"/>
  <c r="Q29" i="2"/>
  <c r="Q65" i="2" s="1"/>
  <c r="Q99" i="2" s="1"/>
  <c r="L29" i="2"/>
  <c r="P44" i="2"/>
  <c r="P78" i="2" s="1"/>
  <c r="G51" i="2"/>
  <c r="G85" i="2" s="1"/>
  <c r="D53" i="2"/>
  <c r="D57" i="2"/>
  <c r="D91" i="2" s="1"/>
  <c r="D66" i="2"/>
  <c r="D100" i="2" s="1"/>
  <c r="F80" i="3"/>
  <c r="K49" i="3"/>
  <c r="K83" i="3" s="1"/>
  <c r="J49" i="3"/>
  <c r="J83" i="3" s="1"/>
  <c r="G45" i="3"/>
  <c r="F47" i="3"/>
  <c r="L84" i="3"/>
  <c r="N52" i="3"/>
  <c r="K56" i="3"/>
  <c r="K90" i="3" s="1"/>
  <c r="I60" i="3"/>
  <c r="I94" i="3" s="1"/>
  <c r="D66" i="3"/>
  <c r="D100" i="3" s="1"/>
  <c r="J4" i="5"/>
  <c r="M42" i="5" s="1"/>
  <c r="M76" i="5" s="1"/>
  <c r="H5" i="5"/>
  <c r="M5" i="5" s="1"/>
  <c r="S43" i="5" s="1"/>
  <c r="S77" i="5" s="1"/>
  <c r="K34" i="5"/>
  <c r="M34" i="5"/>
  <c r="M51" i="5"/>
  <c r="M85" i="5" s="1"/>
  <c r="I56" i="5"/>
  <c r="I90" i="5" s="1"/>
  <c r="H94" i="5"/>
  <c r="D65" i="5"/>
  <c r="D99" i="5" s="1"/>
  <c r="B72" i="5"/>
  <c r="B106" i="5" s="1"/>
  <c r="J36" i="6"/>
  <c r="H48" i="6"/>
  <c r="H82" i="6" s="1"/>
  <c r="B63" i="6"/>
  <c r="B97" i="6" s="1"/>
  <c r="M8" i="2"/>
  <c r="S46" i="2" s="1"/>
  <c r="F54" i="2"/>
  <c r="G54" i="2"/>
  <c r="F62" i="3"/>
  <c r="F96" i="3" s="1"/>
  <c r="J106" i="3"/>
  <c r="D47" i="3"/>
  <c r="D81" i="3" s="1"/>
  <c r="C56" i="3"/>
  <c r="C90" i="3" s="1"/>
  <c r="I7" i="3"/>
  <c r="J7" i="3" s="1"/>
  <c r="M45" i="3" s="1"/>
  <c r="M79" i="3" s="1"/>
  <c r="J53" i="3"/>
  <c r="J87" i="3" s="1"/>
  <c r="D53" i="3"/>
  <c r="D87" i="3" s="1"/>
  <c r="H69" i="3"/>
  <c r="H103" i="3" s="1"/>
  <c r="O72" i="3"/>
  <c r="O106" i="3" s="1"/>
  <c r="M50" i="2"/>
  <c r="M84" i="2" s="1"/>
  <c r="P50" i="2"/>
  <c r="P84" i="2" s="1"/>
  <c r="J91" i="2"/>
  <c r="B66" i="2"/>
  <c r="T32" i="2"/>
  <c r="B50" i="2"/>
  <c r="B84" i="2" s="1"/>
  <c r="E53" i="2"/>
  <c r="E87" i="2" s="1"/>
  <c r="E57" i="2"/>
  <c r="E91" i="2" s="1"/>
  <c r="M73" i="2"/>
  <c r="M107" i="2" s="1"/>
  <c r="H6" i="3"/>
  <c r="M6" i="3" s="1"/>
  <c r="S44" i="3" s="1"/>
  <c r="S78" i="3" s="1"/>
  <c r="C49" i="3"/>
  <c r="C83" i="3" s="1"/>
  <c r="K16" i="3"/>
  <c r="I21" i="3"/>
  <c r="M29" i="3"/>
  <c r="N29" i="3" s="1"/>
  <c r="P29" i="3" s="1"/>
  <c r="S65" i="3" s="1"/>
  <c r="S99" i="3" s="1"/>
  <c r="H45" i="3"/>
  <c r="P47" i="3"/>
  <c r="P81" i="3" s="1"/>
  <c r="N56" i="3"/>
  <c r="N90" i="3" s="1"/>
  <c r="M60" i="3"/>
  <c r="M94" i="3" s="1"/>
  <c r="N71" i="3"/>
  <c r="N105" i="3" s="1"/>
  <c r="H22" i="5"/>
  <c r="M22" i="5" s="1"/>
  <c r="S60" i="5" s="1"/>
  <c r="S94" i="5" s="1"/>
  <c r="O62" i="5"/>
  <c r="L62" i="5"/>
  <c r="K62" i="5"/>
  <c r="M62" i="5"/>
  <c r="H63" i="5"/>
  <c r="H97" i="5" s="1"/>
  <c r="K65" i="5"/>
  <c r="F67" i="5"/>
  <c r="F101" i="5" s="1"/>
  <c r="D67" i="5"/>
  <c r="D101" i="5" s="1"/>
  <c r="H67" i="5"/>
  <c r="H101" i="5" s="1"/>
  <c r="G67" i="5"/>
  <c r="G101" i="5" s="1"/>
  <c r="N69" i="5"/>
  <c r="N103" i="5" s="1"/>
  <c r="N33" i="5"/>
  <c r="P33" i="5" s="1"/>
  <c r="S69" i="5" s="1"/>
  <c r="S103" i="5" s="1"/>
  <c r="Q37" i="5"/>
  <c r="Q73" i="5" s="1"/>
  <c r="Q107" i="5" s="1"/>
  <c r="D47" i="5"/>
  <c r="D81" i="5" s="1"/>
  <c r="I94" i="5"/>
  <c r="I46" i="6"/>
  <c r="I80" i="6" s="1"/>
  <c r="J45" i="6"/>
  <c r="J79" i="6" s="1"/>
  <c r="C63" i="6"/>
  <c r="C97" i="6" s="1"/>
  <c r="E86" i="2"/>
  <c r="H65" i="2"/>
  <c r="H99" i="2" s="1"/>
  <c r="M67" i="2"/>
  <c r="M101" i="2" s="1"/>
  <c r="I52" i="2"/>
  <c r="I86" i="2" s="1"/>
  <c r="O71" i="2"/>
  <c r="O105" i="2" s="1"/>
  <c r="B84" i="3"/>
  <c r="I46" i="3"/>
  <c r="I80" i="3" s="1"/>
  <c r="E50" i="3"/>
  <c r="E84" i="3" s="1"/>
  <c r="O53" i="3"/>
  <c r="J57" i="3"/>
  <c r="J91" i="3" s="1"/>
  <c r="C78" i="5"/>
  <c r="J93" i="5"/>
  <c r="Q33" i="5"/>
  <c r="H50" i="5"/>
  <c r="H84" i="5" s="1"/>
  <c r="N55" i="5"/>
  <c r="N89" i="5" s="1"/>
  <c r="L59" i="5"/>
  <c r="L93" i="5" s="1"/>
  <c r="M70" i="5"/>
  <c r="I7" i="6"/>
  <c r="Q69" i="6"/>
  <c r="Q103" i="6" s="1"/>
  <c r="N89" i="6"/>
  <c r="D67" i="6"/>
  <c r="D101" i="6" s="1"/>
  <c r="R110" i="6" a="1"/>
  <c r="R110" i="6" s="1"/>
  <c r="H22" i="3"/>
  <c r="M22" i="3" s="1"/>
  <c r="S60" i="3" s="1"/>
  <c r="S94" i="3" s="1"/>
  <c r="J46" i="3"/>
  <c r="J80" i="3" s="1"/>
  <c r="F50" i="3"/>
  <c r="F84" i="3" s="1"/>
  <c r="Q53" i="3"/>
  <c r="Q87" i="3" s="1"/>
  <c r="H10" i="5"/>
  <c r="M10" i="5" s="1"/>
  <c r="S48" i="5" s="1"/>
  <c r="S82" i="5" s="1"/>
  <c r="L50" i="5"/>
  <c r="L84" i="5" s="1"/>
  <c r="H55" i="5"/>
  <c r="H89" i="5" s="1"/>
  <c r="I18" i="5"/>
  <c r="K29" i="5"/>
  <c r="T29" i="5" s="1"/>
  <c r="L65" i="5" s="1"/>
  <c r="L99" i="5" s="1"/>
  <c r="I50" i="5"/>
  <c r="I84" i="5" s="1"/>
  <c r="O55" i="5"/>
  <c r="O89" i="5" s="1"/>
  <c r="N59" i="5"/>
  <c r="N93" i="5" s="1"/>
  <c r="E52" i="6"/>
  <c r="E86" i="6" s="1"/>
  <c r="C57" i="6"/>
  <c r="C91" i="6" s="1"/>
  <c r="P36" i="6"/>
  <c r="S72" i="6" s="1"/>
  <c r="S106" i="6" s="1"/>
  <c r="O89" i="6"/>
  <c r="O8" i="7"/>
  <c r="M21" i="6"/>
  <c r="S59" i="6" s="1"/>
  <c r="S93" i="6" s="1"/>
  <c r="M23" i="6"/>
  <c r="S61" i="6" s="1"/>
  <c r="H44" i="5"/>
  <c r="H78" i="5" s="1"/>
  <c r="J56" i="5"/>
  <c r="J90" i="5" s="1"/>
  <c r="R32" i="5"/>
  <c r="L55" i="5"/>
  <c r="L89" i="5" s="1"/>
  <c r="H89" i="6"/>
  <c r="B90" i="6"/>
  <c r="B49" i="6"/>
  <c r="C55" i="6"/>
  <c r="C89" i="6" s="1"/>
  <c r="Q76" i="2"/>
  <c r="I8" i="2"/>
  <c r="I15" i="2"/>
  <c r="H63" i="2"/>
  <c r="H97" i="2" s="1"/>
  <c r="I10" i="3"/>
  <c r="D71" i="3"/>
  <c r="D105" i="3" s="1"/>
  <c r="G72" i="3"/>
  <c r="G106" i="3" s="1"/>
  <c r="M59" i="5"/>
  <c r="M93" i="5" s="1"/>
  <c r="N60" i="5"/>
  <c r="N94" i="5" s="1"/>
  <c r="I59" i="5"/>
  <c r="I93" i="5" s="1"/>
  <c r="H4" i="6"/>
  <c r="M4" i="6" s="1"/>
  <c r="S42" i="6" s="1"/>
  <c r="S76" i="6" s="1"/>
  <c r="H9" i="6"/>
  <c r="M9" i="6" s="1"/>
  <c r="S47" i="6" s="1"/>
  <c r="S81" i="6" s="1"/>
  <c r="I21" i="6"/>
  <c r="I23" i="6"/>
  <c r="J29" i="6"/>
  <c r="Q29" i="6" s="1"/>
  <c r="J66" i="6"/>
  <c r="J100" i="6" s="1"/>
  <c r="G55" i="6"/>
  <c r="G89" i="6" s="1"/>
  <c r="K66" i="6"/>
  <c r="K100" i="6" s="1"/>
  <c r="H56" i="2"/>
  <c r="H90" i="2" s="1"/>
  <c r="Q56" i="2"/>
  <c r="Q90" i="2" s="1"/>
  <c r="P56" i="2"/>
  <c r="P90" i="2" s="1"/>
  <c r="I56" i="2"/>
  <c r="I90" i="2" s="1"/>
  <c r="L56" i="2"/>
  <c r="L90" i="2" s="1"/>
  <c r="K56" i="2"/>
  <c r="K90" i="2" s="1"/>
  <c r="J56" i="2"/>
  <c r="J90" i="2" s="1"/>
  <c r="B56" i="2"/>
  <c r="B90" i="2" s="1"/>
  <c r="I20" i="2"/>
  <c r="H20" i="2"/>
  <c r="M20" i="2" s="1"/>
  <c r="S58" i="2" s="1"/>
  <c r="S92" i="2" s="1"/>
  <c r="L26" i="2"/>
  <c r="M37" i="2"/>
  <c r="K37" i="2"/>
  <c r="T37" i="2" s="1"/>
  <c r="F73" i="2" s="1"/>
  <c r="F107" i="2" s="1"/>
  <c r="L60" i="2"/>
  <c r="L94" i="2" s="1"/>
  <c r="H10" i="2"/>
  <c r="M10" i="2" s="1"/>
  <c r="S48" i="2" s="1"/>
  <c r="S82" i="2" s="1"/>
  <c r="J55" i="2"/>
  <c r="J89" i="2" s="1"/>
  <c r="G55" i="2"/>
  <c r="G89" i="2" s="1"/>
  <c r="B55" i="2"/>
  <c r="B89" i="2" s="1"/>
  <c r="L27" i="2"/>
  <c r="J27" i="2"/>
  <c r="R27" i="2" s="1"/>
  <c r="D63" i="2" s="1"/>
  <c r="D97" i="2" s="1"/>
  <c r="S80" i="2"/>
  <c r="S84" i="2"/>
  <c r="I13" i="2"/>
  <c r="H13" i="2"/>
  <c r="M13" i="2" s="1"/>
  <c r="S51" i="2" s="1"/>
  <c r="S85" i="2" s="1"/>
  <c r="I87" i="2"/>
  <c r="C58" i="2"/>
  <c r="C92" i="2" s="1"/>
  <c r="O58" i="2"/>
  <c r="O92" i="2" s="1"/>
  <c r="E58" i="2"/>
  <c r="E92" i="2" s="1"/>
  <c r="H58" i="2"/>
  <c r="H92" i="2" s="1"/>
  <c r="P58" i="2"/>
  <c r="P92" i="2" s="1"/>
  <c r="K58" i="2"/>
  <c r="K92" i="2" s="1"/>
  <c r="M22" i="2"/>
  <c r="S60" i="2" s="1"/>
  <c r="S94" i="2" s="1"/>
  <c r="S28" i="2"/>
  <c r="Q64" i="2" s="1"/>
  <c r="Q98" i="2" s="1"/>
  <c r="K34" i="2"/>
  <c r="S34" i="2" s="1"/>
  <c r="M34" i="2"/>
  <c r="L45" i="2"/>
  <c r="L79" i="2" s="1"/>
  <c r="Q88" i="2"/>
  <c r="O56" i="2"/>
  <c r="O90" i="2" s="1"/>
  <c r="C60" i="2"/>
  <c r="C94" i="2" s="1"/>
  <c r="E67" i="2"/>
  <c r="E101" i="2" s="1"/>
  <c r="P43" i="3"/>
  <c r="P77" i="3" s="1"/>
  <c r="F43" i="3"/>
  <c r="F77" i="3" s="1"/>
  <c r="G43" i="3"/>
  <c r="G77" i="3" s="1"/>
  <c r="E43" i="3"/>
  <c r="E77" i="3" s="1"/>
  <c r="D43" i="3"/>
  <c r="D77" i="3" s="1"/>
  <c r="Q43" i="3"/>
  <c r="Q77" i="3" s="1"/>
  <c r="C43" i="3"/>
  <c r="C77" i="3" s="1"/>
  <c r="J43" i="3"/>
  <c r="J77" i="3" s="1"/>
  <c r="B43" i="3"/>
  <c r="B77" i="3" s="1"/>
  <c r="K43" i="3"/>
  <c r="K77" i="3" s="1"/>
  <c r="I12" i="5"/>
  <c r="H12" i="5"/>
  <c r="M12" i="5" s="1"/>
  <c r="S50" i="5" s="1"/>
  <c r="S84" i="5" s="1"/>
  <c r="I17" i="5"/>
  <c r="O57" i="5"/>
  <c r="O91" i="5" s="1"/>
  <c r="E57" i="5"/>
  <c r="E91" i="5" s="1"/>
  <c r="Q57" i="5"/>
  <c r="Q91" i="5" s="1"/>
  <c r="M57" i="5"/>
  <c r="M91" i="5" s="1"/>
  <c r="K57" i="5"/>
  <c r="K91" i="5" s="1"/>
  <c r="D57" i="5"/>
  <c r="D91" i="5" s="1"/>
  <c r="N57" i="5"/>
  <c r="N91" i="5" s="1"/>
  <c r="L57" i="5"/>
  <c r="L91" i="5" s="1"/>
  <c r="P57" i="5"/>
  <c r="P91" i="5" s="1"/>
  <c r="J57" i="5"/>
  <c r="J91" i="5" s="1"/>
  <c r="C57" i="5"/>
  <c r="C91" i="5" s="1"/>
  <c r="B57" i="5"/>
  <c r="B91" i="5" s="1"/>
  <c r="M36" i="2"/>
  <c r="K36" i="2"/>
  <c r="T36" i="2" s="1"/>
  <c r="J92" i="2"/>
  <c r="J43" i="2"/>
  <c r="J77" i="2" s="1"/>
  <c r="C43" i="2"/>
  <c r="C77" i="2" s="1"/>
  <c r="P43" i="2"/>
  <c r="P77" i="2" s="1"/>
  <c r="B43" i="2"/>
  <c r="B77" i="2" s="1"/>
  <c r="K43" i="2"/>
  <c r="K77" i="2" s="1"/>
  <c r="D43" i="2"/>
  <c r="D77" i="2" s="1"/>
  <c r="M48" i="2"/>
  <c r="M82" i="2" s="1"/>
  <c r="C48" i="2"/>
  <c r="C82" i="2" s="1"/>
  <c r="E48" i="2"/>
  <c r="E82" i="2" s="1"/>
  <c r="G48" i="2"/>
  <c r="G82" i="2" s="1"/>
  <c r="F48" i="2"/>
  <c r="F82" i="2" s="1"/>
  <c r="I11" i="2"/>
  <c r="H11" i="2"/>
  <c r="M11" i="2" s="1"/>
  <c r="S49" i="2" s="1"/>
  <c r="S83" i="2" s="1"/>
  <c r="P87" i="2"/>
  <c r="M61" i="2"/>
  <c r="M95" i="2" s="1"/>
  <c r="C61" i="2"/>
  <c r="C95" i="2" s="1"/>
  <c r="B61" i="2"/>
  <c r="B95" i="2" s="1"/>
  <c r="L61" i="2"/>
  <c r="L95" i="2" s="1"/>
  <c r="N61" i="2"/>
  <c r="N95" i="2" s="1"/>
  <c r="D61" i="2"/>
  <c r="D95" i="2" s="1"/>
  <c r="G61" i="2"/>
  <c r="G95" i="2" s="1"/>
  <c r="F61" i="2"/>
  <c r="F95" i="2" s="1"/>
  <c r="E61" i="2"/>
  <c r="E95" i="2" s="1"/>
  <c r="Q61" i="2"/>
  <c r="Q95" i="2" s="1"/>
  <c r="P61" i="2"/>
  <c r="P95" i="2" s="1"/>
  <c r="G68" i="2"/>
  <c r="G102" i="2" s="1"/>
  <c r="F68" i="2"/>
  <c r="F102" i="2" s="1"/>
  <c r="Q68" i="2"/>
  <c r="Q102" i="2" s="1"/>
  <c r="P68" i="2"/>
  <c r="P102" i="2" s="1"/>
  <c r="N32" i="2"/>
  <c r="P32" i="2" s="1"/>
  <c r="S68" i="2" s="1"/>
  <c r="S102" i="2" s="1"/>
  <c r="T34" i="2"/>
  <c r="O43" i="2"/>
  <c r="O77" i="2" s="1"/>
  <c r="D80" i="2"/>
  <c r="D83" i="2"/>
  <c r="H12" i="3"/>
  <c r="M12" i="3" s="1"/>
  <c r="S50" i="3" s="1"/>
  <c r="S84" i="3" s="1"/>
  <c r="I12" i="3"/>
  <c r="L70" i="3"/>
  <c r="L104" i="3" s="1"/>
  <c r="B70" i="3"/>
  <c r="B104" i="3" s="1"/>
  <c r="G70" i="3"/>
  <c r="G104" i="3" s="1"/>
  <c r="E70" i="3"/>
  <c r="E104" i="3" s="1"/>
  <c r="D70" i="3"/>
  <c r="D104" i="3" s="1"/>
  <c r="C70" i="3"/>
  <c r="C104" i="3" s="1"/>
  <c r="O70" i="3"/>
  <c r="O104" i="3" s="1"/>
  <c r="F70" i="3"/>
  <c r="F104" i="3" s="1"/>
  <c r="N70" i="3"/>
  <c r="N104" i="3" s="1"/>
  <c r="M70" i="3"/>
  <c r="M104" i="3" s="1"/>
  <c r="J22" i="5"/>
  <c r="K22" i="5"/>
  <c r="J60" i="2"/>
  <c r="J94" i="2" s="1"/>
  <c r="I60" i="2"/>
  <c r="I94" i="2" s="1"/>
  <c r="H60" i="2"/>
  <c r="H94" i="2" s="1"/>
  <c r="K60" i="2"/>
  <c r="K94" i="2" s="1"/>
  <c r="F60" i="2"/>
  <c r="F94" i="2" s="1"/>
  <c r="E60" i="2"/>
  <c r="E94" i="2" s="1"/>
  <c r="B60" i="2"/>
  <c r="B94" i="2" s="1"/>
  <c r="Q60" i="2"/>
  <c r="Q94" i="2" s="1"/>
  <c r="N60" i="2"/>
  <c r="N94" i="2" s="1"/>
  <c r="M60" i="2"/>
  <c r="M94" i="2" s="1"/>
  <c r="J31" i="2"/>
  <c r="R31" i="2" s="1"/>
  <c r="J36" i="2"/>
  <c r="Q36" i="2" s="1"/>
  <c r="E80" i="2"/>
  <c r="K83" i="2"/>
  <c r="D87" i="2"/>
  <c r="I92" i="2"/>
  <c r="G60" i="2"/>
  <c r="G94" i="2" s="1"/>
  <c r="I65" i="2"/>
  <c r="I99" i="2" s="1"/>
  <c r="K9" i="3"/>
  <c r="J9" i="3"/>
  <c r="G65" i="3"/>
  <c r="G99" i="3" s="1"/>
  <c r="N65" i="3"/>
  <c r="N99" i="3" s="1"/>
  <c r="C65" i="3"/>
  <c r="C99" i="3" s="1"/>
  <c r="L65" i="3"/>
  <c r="L99" i="3" s="1"/>
  <c r="O65" i="3"/>
  <c r="O99" i="3" s="1"/>
  <c r="D65" i="3"/>
  <c r="D99" i="3" s="1"/>
  <c r="J65" i="3"/>
  <c r="J99" i="3" s="1"/>
  <c r="F65" i="3"/>
  <c r="F99" i="3" s="1"/>
  <c r="K65" i="3"/>
  <c r="K99" i="3" s="1"/>
  <c r="E65" i="3"/>
  <c r="E99" i="3" s="1"/>
  <c r="B65" i="3"/>
  <c r="B99" i="3" s="1"/>
  <c r="M30" i="3"/>
  <c r="K30" i="3"/>
  <c r="S30" i="3" s="1"/>
  <c r="O66" i="3" s="1"/>
  <c r="O100" i="3" s="1"/>
  <c r="I7" i="5"/>
  <c r="H7" i="5"/>
  <c r="M7" i="5" s="1"/>
  <c r="S45" i="5" s="1"/>
  <c r="S79" i="5" s="1"/>
  <c r="J21" i="5"/>
  <c r="K21" i="5"/>
  <c r="H46" i="2"/>
  <c r="H80" i="2" s="1"/>
  <c r="G46" i="2"/>
  <c r="G80" i="2" s="1"/>
  <c r="F46" i="2"/>
  <c r="F80" i="2" s="1"/>
  <c r="I46" i="2"/>
  <c r="I80" i="2" s="1"/>
  <c r="B46" i="2"/>
  <c r="B80" i="2" s="1"/>
  <c r="O46" i="2"/>
  <c r="O80" i="2" s="1"/>
  <c r="C46" i="2"/>
  <c r="C80" i="2" s="1"/>
  <c r="K46" i="2"/>
  <c r="K80" i="2" s="1"/>
  <c r="K10" i="2"/>
  <c r="N48" i="2" s="1"/>
  <c r="N82" i="2" s="1"/>
  <c r="J10" i="2"/>
  <c r="O48" i="2" s="1"/>
  <c r="O82" i="2" s="1"/>
  <c r="J32" i="2"/>
  <c r="R32" i="2" s="1"/>
  <c r="Q32" i="2"/>
  <c r="O68" i="2" s="1"/>
  <c r="O102" i="2" s="1"/>
  <c r="L86" i="3"/>
  <c r="I86" i="3"/>
  <c r="J86" i="3"/>
  <c r="H86" i="3"/>
  <c r="J27" i="3"/>
  <c r="R27" i="3" s="1"/>
  <c r="D63" i="3" s="1"/>
  <c r="D97" i="3" s="1"/>
  <c r="I4" i="2"/>
  <c r="H4" i="2"/>
  <c r="M4" i="2" s="1"/>
  <c r="S42" i="2" s="1"/>
  <c r="S76" i="2" s="1"/>
  <c r="B44" i="2"/>
  <c r="B78" i="2" s="1"/>
  <c r="C44" i="2"/>
  <c r="C78" i="2" s="1"/>
  <c r="D44" i="2"/>
  <c r="D78" i="2" s="1"/>
  <c r="Q44" i="2"/>
  <c r="Q78" i="2" s="1"/>
  <c r="O44" i="2"/>
  <c r="O78" i="2" s="1"/>
  <c r="N44" i="2"/>
  <c r="N78" i="2" s="1"/>
  <c r="G44" i="2"/>
  <c r="G78" i="2" s="1"/>
  <c r="F44" i="2"/>
  <c r="F78" i="2" s="1"/>
  <c r="I9" i="2"/>
  <c r="H9" i="2"/>
  <c r="M9" i="2" s="1"/>
  <c r="S47" i="2" s="1"/>
  <c r="S81" i="2" s="1"/>
  <c r="I14" i="2"/>
  <c r="H14" i="2"/>
  <c r="M14" i="2" s="1"/>
  <c r="S52" i="2" s="1"/>
  <c r="S86" i="2" s="1"/>
  <c r="J26" i="2"/>
  <c r="R26" i="2" s="1"/>
  <c r="B62" i="2" s="1"/>
  <c r="B96" i="2" s="1"/>
  <c r="T30" i="2"/>
  <c r="N66" i="2" s="1"/>
  <c r="N100" i="2" s="1"/>
  <c r="L31" i="2"/>
  <c r="N31" i="2" s="1"/>
  <c r="P31" i="2" s="1"/>
  <c r="S67" i="2" s="1"/>
  <c r="S101" i="2" s="1"/>
  <c r="J33" i="2"/>
  <c r="R33" i="2" s="1"/>
  <c r="L69" i="2" s="1"/>
  <c r="L103" i="2" s="1"/>
  <c r="L33" i="2"/>
  <c r="N33" i="2" s="1"/>
  <c r="P33" i="2" s="1"/>
  <c r="S69" i="2" s="1"/>
  <c r="S103" i="2" s="1"/>
  <c r="J73" i="2"/>
  <c r="J107" i="2" s="1"/>
  <c r="O73" i="2"/>
  <c r="O107" i="2" s="1"/>
  <c r="N73" i="2"/>
  <c r="N107" i="2" s="1"/>
  <c r="B73" i="2"/>
  <c r="B107" i="2" s="1"/>
  <c r="L73" i="2"/>
  <c r="L107" i="2" s="1"/>
  <c r="K73" i="2"/>
  <c r="K107" i="2" s="1"/>
  <c r="E43" i="2"/>
  <c r="E77" i="2" s="1"/>
  <c r="I48" i="2"/>
  <c r="I82" i="2" s="1"/>
  <c r="F88" i="2"/>
  <c r="E100" i="2"/>
  <c r="I68" i="2"/>
  <c r="I102" i="2" s="1"/>
  <c r="C73" i="2"/>
  <c r="C107" i="2" s="1"/>
  <c r="O43" i="3"/>
  <c r="O77" i="3" s="1"/>
  <c r="AE112" i="3"/>
  <c r="AF112" i="3" s="1"/>
  <c r="J32" i="3"/>
  <c r="R32" i="3" s="1"/>
  <c r="L32" i="3"/>
  <c r="N32" i="3" s="1"/>
  <c r="P32" i="3" s="1"/>
  <c r="S68" i="3" s="1"/>
  <c r="S102" i="3" s="1"/>
  <c r="I5" i="2"/>
  <c r="H5" i="2"/>
  <c r="M5" i="2" s="1"/>
  <c r="S43" i="2" s="1"/>
  <c r="S77" i="2" s="1"/>
  <c r="K15" i="2"/>
  <c r="B53" i="2" s="1"/>
  <c r="B87" i="2" s="1"/>
  <c r="J15" i="2"/>
  <c r="C53" i="2" s="1"/>
  <c r="C87" i="2" s="1"/>
  <c r="G69" i="2"/>
  <c r="G103" i="2" s="1"/>
  <c r="F69" i="2"/>
  <c r="F103" i="2" s="1"/>
  <c r="O69" i="2"/>
  <c r="O103" i="2" s="1"/>
  <c r="E69" i="2"/>
  <c r="E103" i="2" s="1"/>
  <c r="H69" i="2"/>
  <c r="H103" i="2" s="1"/>
  <c r="B69" i="2"/>
  <c r="B103" i="2" s="1"/>
  <c r="I69" i="2"/>
  <c r="I103" i="2" s="1"/>
  <c r="N87" i="2"/>
  <c r="H8" i="3"/>
  <c r="M8" i="3" s="1"/>
  <c r="S46" i="3" s="1"/>
  <c r="S80" i="3" s="1"/>
  <c r="I8" i="3"/>
  <c r="C58" i="3"/>
  <c r="C92" i="3" s="1"/>
  <c r="Q58" i="3"/>
  <c r="Q92" i="3" s="1"/>
  <c r="B58" i="3"/>
  <c r="B92" i="3" s="1"/>
  <c r="O58" i="3"/>
  <c r="O92" i="3" s="1"/>
  <c r="N58" i="3"/>
  <c r="N92" i="3" s="1"/>
  <c r="D58" i="3"/>
  <c r="D92" i="3" s="1"/>
  <c r="J58" i="3"/>
  <c r="J92" i="3" s="1"/>
  <c r="H58" i="3"/>
  <c r="H92" i="3" s="1"/>
  <c r="O45" i="2"/>
  <c r="O79" i="2" s="1"/>
  <c r="E45" i="2"/>
  <c r="E79" i="2" s="1"/>
  <c r="D45" i="2"/>
  <c r="D79" i="2" s="1"/>
  <c r="N45" i="2"/>
  <c r="N79" i="2" s="1"/>
  <c r="M45" i="2"/>
  <c r="M79" i="2" s="1"/>
  <c r="C45" i="2"/>
  <c r="C79" i="2" s="1"/>
  <c r="P45" i="2"/>
  <c r="P79" i="2" s="1"/>
  <c r="F45" i="2"/>
  <c r="F79" i="2" s="1"/>
  <c r="Q45" i="2"/>
  <c r="Q79" i="2" s="1"/>
  <c r="J45" i="2"/>
  <c r="J79" i="2" s="1"/>
  <c r="I45" i="2"/>
  <c r="I79" i="2" s="1"/>
  <c r="O59" i="2"/>
  <c r="O93" i="2" s="1"/>
  <c r="E59" i="2"/>
  <c r="E93" i="2" s="1"/>
  <c r="H59" i="2"/>
  <c r="H93" i="2" s="1"/>
  <c r="I59" i="2"/>
  <c r="I93" i="2" s="1"/>
  <c r="D59" i="2"/>
  <c r="D93" i="2" s="1"/>
  <c r="N59" i="2"/>
  <c r="N93" i="2" s="1"/>
  <c r="K59" i="2"/>
  <c r="K93" i="2" s="1"/>
  <c r="J59" i="2"/>
  <c r="J93" i="2" s="1"/>
  <c r="L64" i="2"/>
  <c r="L98" i="2" s="1"/>
  <c r="B64" i="2"/>
  <c r="B98" i="2" s="1"/>
  <c r="K64" i="2"/>
  <c r="K98" i="2" s="1"/>
  <c r="J64" i="2"/>
  <c r="J98" i="2" s="1"/>
  <c r="M64" i="2"/>
  <c r="M98" i="2" s="1"/>
  <c r="C64" i="2"/>
  <c r="C98" i="2" s="1"/>
  <c r="E64" i="2"/>
  <c r="E98" i="2" s="1"/>
  <c r="D64" i="2"/>
  <c r="D98" i="2" s="1"/>
  <c r="I64" i="2"/>
  <c r="I98" i="2" s="1"/>
  <c r="H64" i="2"/>
  <c r="H98" i="2" s="1"/>
  <c r="N46" i="2"/>
  <c r="N80" i="2" s="1"/>
  <c r="O87" i="2"/>
  <c r="P60" i="2"/>
  <c r="P94" i="2" s="1"/>
  <c r="I18" i="3"/>
  <c r="H18" i="3"/>
  <c r="M18" i="3" s="1"/>
  <c r="S56" i="3" s="1"/>
  <c r="S90" i="3" s="1"/>
  <c r="H48" i="2"/>
  <c r="H82" i="2" s="1"/>
  <c r="H68" i="2"/>
  <c r="H102" i="2" s="1"/>
  <c r="J49" i="2"/>
  <c r="J83" i="2" s="1"/>
  <c r="I49" i="2"/>
  <c r="I83" i="2" s="1"/>
  <c r="B49" i="2"/>
  <c r="B83" i="2" s="1"/>
  <c r="F43" i="2"/>
  <c r="F77" i="2" s="1"/>
  <c r="F84" i="2"/>
  <c r="G88" i="2"/>
  <c r="M56" i="2"/>
  <c r="M90" i="2" s="1"/>
  <c r="L59" i="2"/>
  <c r="L93" i="2" s="1"/>
  <c r="N64" i="2"/>
  <c r="N98" i="2" s="1"/>
  <c r="D73" i="2"/>
  <c r="D107" i="2" s="1"/>
  <c r="M14" i="3"/>
  <c r="S52" i="3" s="1"/>
  <c r="S86" i="3" s="1"/>
  <c r="H23" i="3"/>
  <c r="M23" i="3" s="1"/>
  <c r="S61" i="3" s="1"/>
  <c r="S95" i="3" s="1"/>
  <c r="I23" i="3"/>
  <c r="O60" i="2"/>
  <c r="O94" i="2" s="1"/>
  <c r="N69" i="2"/>
  <c r="N103" i="2" s="1"/>
  <c r="H15" i="2"/>
  <c r="M15" i="2" s="1"/>
  <c r="S53" i="2" s="1"/>
  <c r="S87" i="2" s="1"/>
  <c r="I23" i="2"/>
  <c r="H23" i="2"/>
  <c r="M23" i="2" s="1"/>
  <c r="S61" i="2" s="1"/>
  <c r="S95" i="2" s="1"/>
  <c r="B45" i="2"/>
  <c r="B79" i="2" s="1"/>
  <c r="C56" i="2"/>
  <c r="C90" i="2" s="1"/>
  <c r="B59" i="2"/>
  <c r="B93" i="2" s="1"/>
  <c r="K18" i="2"/>
  <c r="F56" i="2" s="1"/>
  <c r="F90" i="2" s="1"/>
  <c r="J18" i="2"/>
  <c r="E56" i="2" s="1"/>
  <c r="E90" i="2" s="1"/>
  <c r="M27" i="2"/>
  <c r="K27" i="2"/>
  <c r="S37" i="2"/>
  <c r="G73" i="2" s="1"/>
  <c r="G107" i="2" s="1"/>
  <c r="H45" i="2"/>
  <c r="H79" i="2" s="1"/>
  <c r="J48" i="2"/>
  <c r="J82" i="2" s="1"/>
  <c r="H18" i="2"/>
  <c r="M18" i="2" s="1"/>
  <c r="S56" i="2" s="1"/>
  <c r="S90" i="2" s="1"/>
  <c r="I21" i="2"/>
  <c r="H21" i="2"/>
  <c r="M21" i="2" s="1"/>
  <c r="S59" i="2" s="1"/>
  <c r="S93" i="2" s="1"/>
  <c r="R28" i="2"/>
  <c r="P64" i="2" s="1"/>
  <c r="P98" i="2" s="1"/>
  <c r="N29" i="2"/>
  <c r="P29" i="2" s="1"/>
  <c r="S65" i="2" s="1"/>
  <c r="S99" i="2" s="1"/>
  <c r="L35" i="2"/>
  <c r="J35" i="2"/>
  <c r="K45" i="2"/>
  <c r="K79" i="2" s="1"/>
  <c r="K48" i="2"/>
  <c r="K82" i="2" s="1"/>
  <c r="G84" i="2"/>
  <c r="N56" i="2"/>
  <c r="N90" i="2" s="1"/>
  <c r="M59" i="2"/>
  <c r="M93" i="2" s="1"/>
  <c r="O61" i="2"/>
  <c r="O95" i="2" s="1"/>
  <c r="O64" i="2"/>
  <c r="O98" i="2" s="1"/>
  <c r="E73" i="2"/>
  <c r="E107" i="2" s="1"/>
  <c r="AE112" i="2"/>
  <c r="AF112" i="2" s="1"/>
  <c r="K44" i="3"/>
  <c r="K78" i="3" s="1"/>
  <c r="I44" i="3"/>
  <c r="I78" i="3" s="1"/>
  <c r="L44" i="3"/>
  <c r="L78" i="3" s="1"/>
  <c r="B44" i="3"/>
  <c r="B78" i="3" s="1"/>
  <c r="E44" i="3"/>
  <c r="E78" i="3" s="1"/>
  <c r="Q44" i="3"/>
  <c r="Q78" i="3" s="1"/>
  <c r="D44" i="3"/>
  <c r="D78" i="3" s="1"/>
  <c r="P44" i="3"/>
  <c r="P78" i="3" s="1"/>
  <c r="C44" i="3"/>
  <c r="C78" i="3" s="1"/>
  <c r="O44" i="3"/>
  <c r="O78" i="3" s="1"/>
  <c r="F44" i="3"/>
  <c r="F78" i="3" s="1"/>
  <c r="J44" i="3"/>
  <c r="J78" i="3" s="1"/>
  <c r="H44" i="3"/>
  <c r="H78" i="3" s="1"/>
  <c r="G44" i="3"/>
  <c r="G78" i="3" s="1"/>
  <c r="N44" i="3"/>
  <c r="N78" i="3" s="1"/>
  <c r="K13" i="3"/>
  <c r="D51" i="3" s="1"/>
  <c r="D85" i="3" s="1"/>
  <c r="J13" i="3"/>
  <c r="E51" i="3" s="1"/>
  <c r="E85" i="3" s="1"/>
  <c r="E58" i="3"/>
  <c r="E92" i="3" s="1"/>
  <c r="L54" i="2"/>
  <c r="L88" i="2" s="1"/>
  <c r="B54" i="2"/>
  <c r="B88" i="2" s="1"/>
  <c r="K54" i="2"/>
  <c r="K88" i="2" s="1"/>
  <c r="J54" i="2"/>
  <c r="J88" i="2" s="1"/>
  <c r="M54" i="2"/>
  <c r="M88" i="2" s="1"/>
  <c r="C54" i="2"/>
  <c r="C88" i="2" s="1"/>
  <c r="N54" i="2"/>
  <c r="N88" i="2" s="1"/>
  <c r="L34" i="2"/>
  <c r="J34" i="2"/>
  <c r="Q34" i="2" s="1"/>
  <c r="Q70" i="2" s="1"/>
  <c r="Q104" i="2" s="1"/>
  <c r="D84" i="2"/>
  <c r="F53" i="2"/>
  <c r="F87" i="2" s="1"/>
  <c r="O54" i="2"/>
  <c r="O88" i="2" s="1"/>
  <c r="G65" i="2"/>
  <c r="G99" i="2" s="1"/>
  <c r="J66" i="2"/>
  <c r="J100" i="2" s="1"/>
  <c r="H19" i="3"/>
  <c r="M19" i="3" s="1"/>
  <c r="S57" i="3" s="1"/>
  <c r="S91" i="3" s="1"/>
  <c r="I19" i="3"/>
  <c r="N62" i="3"/>
  <c r="N96" i="3" s="1"/>
  <c r="M62" i="3"/>
  <c r="M96" i="3" s="1"/>
  <c r="L62" i="3"/>
  <c r="L96" i="3" s="1"/>
  <c r="I62" i="3"/>
  <c r="I96" i="3" s="1"/>
  <c r="O62" i="3"/>
  <c r="O96" i="3" s="1"/>
  <c r="I6" i="2"/>
  <c r="H6" i="2"/>
  <c r="M6" i="2" s="1"/>
  <c r="S44" i="2" s="1"/>
  <c r="S78" i="2" s="1"/>
  <c r="I19" i="2"/>
  <c r="H19" i="2"/>
  <c r="M19" i="2" s="1"/>
  <c r="S57" i="2" s="1"/>
  <c r="S91" i="2" s="1"/>
  <c r="B100" i="2"/>
  <c r="P30" i="2"/>
  <c r="S66" i="2" s="1"/>
  <c r="S100" i="2" s="1"/>
  <c r="R34" i="2"/>
  <c r="P70" i="2" s="1"/>
  <c r="P104" i="2" s="1"/>
  <c r="E84" i="2"/>
  <c r="J86" i="2"/>
  <c r="K53" i="2"/>
  <c r="K87" i="2" s="1"/>
  <c r="P54" i="2"/>
  <c r="P88" i="2" s="1"/>
  <c r="K66" i="2"/>
  <c r="K100" i="2" s="1"/>
  <c r="K4" i="3"/>
  <c r="B42" i="3" s="1"/>
  <c r="B76" i="3" s="1"/>
  <c r="J4" i="3"/>
  <c r="M42" i="3" s="1"/>
  <c r="M76" i="3" s="1"/>
  <c r="K7" i="3"/>
  <c r="L45" i="3" s="1"/>
  <c r="L79" i="3" s="1"/>
  <c r="H82" i="3"/>
  <c r="I11" i="3"/>
  <c r="H11" i="3"/>
  <c r="M11" i="3" s="1"/>
  <c r="S49" i="3" s="1"/>
  <c r="S83" i="3" s="1"/>
  <c r="K15" i="3"/>
  <c r="J15" i="3"/>
  <c r="J22" i="3"/>
  <c r="K22" i="3"/>
  <c r="G62" i="3"/>
  <c r="G96" i="3" s="1"/>
  <c r="K28" i="3"/>
  <c r="T28" i="3" s="1"/>
  <c r="K33" i="3"/>
  <c r="S33" i="3" s="1"/>
  <c r="Q69" i="3" s="1"/>
  <c r="Q103" i="3" s="1"/>
  <c r="G79" i="3"/>
  <c r="B82" i="3"/>
  <c r="H93" i="3"/>
  <c r="J21" i="3"/>
  <c r="G59" i="3" s="1"/>
  <c r="G93" i="3" s="1"/>
  <c r="K21" i="3"/>
  <c r="P59" i="3" s="1"/>
  <c r="P93" i="3" s="1"/>
  <c r="K96" i="3"/>
  <c r="R28" i="3"/>
  <c r="F64" i="3" s="1"/>
  <c r="F98" i="3" s="1"/>
  <c r="Q28" i="3"/>
  <c r="G64" i="3" s="1"/>
  <c r="G98" i="3" s="1"/>
  <c r="J36" i="3"/>
  <c r="R36" i="3" s="1"/>
  <c r="L72" i="3" s="1"/>
  <c r="L106" i="3" s="1"/>
  <c r="L36" i="3"/>
  <c r="L37" i="3"/>
  <c r="Q37" i="3"/>
  <c r="D76" i="3"/>
  <c r="H79" i="3"/>
  <c r="L30" i="5"/>
  <c r="J30" i="5"/>
  <c r="Q30" i="5"/>
  <c r="M66" i="5" s="1"/>
  <c r="M100" i="5" s="1"/>
  <c r="O95" i="5"/>
  <c r="N50" i="2"/>
  <c r="N84" i="2" s="1"/>
  <c r="O65" i="2"/>
  <c r="O99" i="2" s="1"/>
  <c r="E65" i="2"/>
  <c r="E99" i="2" s="1"/>
  <c r="D65" i="2"/>
  <c r="D99" i="2" s="1"/>
  <c r="N65" i="2"/>
  <c r="N99" i="2" s="1"/>
  <c r="M65" i="2"/>
  <c r="M99" i="2" s="1"/>
  <c r="C65" i="2"/>
  <c r="C99" i="2" s="1"/>
  <c r="P65" i="2"/>
  <c r="P99" i="2" s="1"/>
  <c r="F65" i="2"/>
  <c r="F99" i="2" s="1"/>
  <c r="B65" i="2"/>
  <c r="B99" i="2" s="1"/>
  <c r="E81" i="2"/>
  <c r="O42" i="3"/>
  <c r="O76" i="3" s="1"/>
  <c r="E42" i="3"/>
  <c r="E76" i="3" s="1"/>
  <c r="P42" i="3"/>
  <c r="P76" i="3" s="1"/>
  <c r="F42" i="3"/>
  <c r="F76" i="3" s="1"/>
  <c r="J42" i="3"/>
  <c r="J76" i="3" s="1"/>
  <c r="I42" i="3"/>
  <c r="I76" i="3" s="1"/>
  <c r="H42" i="3"/>
  <c r="H76" i="3" s="1"/>
  <c r="G42" i="3"/>
  <c r="G76" i="3" s="1"/>
  <c r="K42" i="3"/>
  <c r="K76" i="3" s="1"/>
  <c r="Q42" i="3"/>
  <c r="Q76" i="3" s="1"/>
  <c r="N42" i="3"/>
  <c r="N76" i="3" s="1"/>
  <c r="K14" i="3"/>
  <c r="B52" i="3" s="1"/>
  <c r="B86" i="3" s="1"/>
  <c r="J14" i="3"/>
  <c r="Q52" i="3" s="1"/>
  <c r="Q86" i="3" s="1"/>
  <c r="E88" i="3"/>
  <c r="H21" i="3"/>
  <c r="M21" i="3" s="1"/>
  <c r="S59" i="3" s="1"/>
  <c r="S93" i="3" s="1"/>
  <c r="J26" i="3"/>
  <c r="L26" i="3"/>
  <c r="M35" i="3"/>
  <c r="S35" i="3"/>
  <c r="M71" i="3" s="1"/>
  <c r="M105" i="3" s="1"/>
  <c r="J79" i="3"/>
  <c r="N86" i="3"/>
  <c r="O69" i="3"/>
  <c r="O103" i="3" s="1"/>
  <c r="M27" i="5"/>
  <c r="K27" i="5"/>
  <c r="T27" i="5" s="1"/>
  <c r="F63" i="5" s="1"/>
  <c r="F97" i="5" s="1"/>
  <c r="R30" i="5"/>
  <c r="L66" i="5" s="1"/>
  <c r="L100" i="5" s="1"/>
  <c r="F92" i="5"/>
  <c r="F96" i="5"/>
  <c r="H53" i="2"/>
  <c r="H87" i="2" s="1"/>
  <c r="J53" i="2"/>
  <c r="J87" i="2" s="1"/>
  <c r="I16" i="2"/>
  <c r="H16" i="2"/>
  <c r="M16" i="2" s="1"/>
  <c r="S54" i="2" s="1"/>
  <c r="S88" i="2" s="1"/>
  <c r="R30" i="2"/>
  <c r="L66" i="2" s="1"/>
  <c r="L100" i="2" s="1"/>
  <c r="M35" i="2"/>
  <c r="K35" i="2"/>
  <c r="T35" i="2" s="1"/>
  <c r="L71" i="2" s="1"/>
  <c r="L105" i="2" s="1"/>
  <c r="L84" i="2"/>
  <c r="M86" i="2"/>
  <c r="K65" i="2"/>
  <c r="K99" i="2" s="1"/>
  <c r="N58" i="2"/>
  <c r="N92" i="2" s="1"/>
  <c r="T26" i="2"/>
  <c r="P62" i="2" s="1"/>
  <c r="P96" i="2" s="1"/>
  <c r="K67" i="2"/>
  <c r="K101" i="2" s="1"/>
  <c r="J67" i="2"/>
  <c r="J101" i="2" s="1"/>
  <c r="I67" i="2"/>
  <c r="I101" i="2" s="1"/>
  <c r="L67" i="2"/>
  <c r="L101" i="2" s="1"/>
  <c r="B67" i="2"/>
  <c r="B101" i="2" s="1"/>
  <c r="D67" i="2"/>
  <c r="D101" i="2" s="1"/>
  <c r="L37" i="2"/>
  <c r="J76" i="2"/>
  <c r="F81" i="2"/>
  <c r="M91" i="2"/>
  <c r="H96" i="2"/>
  <c r="L65" i="2"/>
  <c r="L99" i="2" s="1"/>
  <c r="O66" i="2"/>
  <c r="O100" i="2" s="1"/>
  <c r="M104" i="2"/>
  <c r="H17" i="3"/>
  <c r="M17" i="3" s="1"/>
  <c r="S55" i="3" s="1"/>
  <c r="S89" i="3" s="1"/>
  <c r="I17" i="3"/>
  <c r="P68" i="3"/>
  <c r="P102" i="3" s="1"/>
  <c r="F68" i="3"/>
  <c r="F102" i="3" s="1"/>
  <c r="H68" i="3"/>
  <c r="H102" i="3" s="1"/>
  <c r="Q68" i="3"/>
  <c r="Q102" i="3" s="1"/>
  <c r="E68" i="3"/>
  <c r="E102" i="3" s="1"/>
  <c r="I68" i="3"/>
  <c r="I102" i="3" s="1"/>
  <c r="G68" i="3"/>
  <c r="G102" i="3" s="1"/>
  <c r="D68" i="3"/>
  <c r="D102" i="3" s="1"/>
  <c r="C68" i="3"/>
  <c r="C102" i="3" s="1"/>
  <c r="B68" i="3"/>
  <c r="B102" i="3" s="1"/>
  <c r="N68" i="3"/>
  <c r="N102" i="3" s="1"/>
  <c r="D69" i="3"/>
  <c r="D103" i="3" s="1"/>
  <c r="T35" i="3"/>
  <c r="K88" i="3"/>
  <c r="O93" i="3"/>
  <c r="K27" i="3"/>
  <c r="S27" i="3" s="1"/>
  <c r="G63" i="3" s="1"/>
  <c r="G97" i="3" s="1"/>
  <c r="M27" i="3"/>
  <c r="D93" i="3"/>
  <c r="N42" i="5"/>
  <c r="N76" i="5" s="1"/>
  <c r="I42" i="5"/>
  <c r="I76" i="5" s="1"/>
  <c r="O42" i="5"/>
  <c r="O76" i="5" s="1"/>
  <c r="L31" i="5"/>
  <c r="J31" i="5"/>
  <c r="R31" i="5" s="1"/>
  <c r="N67" i="5" s="1"/>
  <c r="N101" i="5" s="1"/>
  <c r="Q31" i="5"/>
  <c r="K35" i="5"/>
  <c r="T35" i="5" s="1"/>
  <c r="S35" i="5"/>
  <c r="M71" i="5" s="1"/>
  <c r="M105" i="5" s="1"/>
  <c r="O96" i="5"/>
  <c r="N28" i="5"/>
  <c r="P28" i="5" s="1"/>
  <c r="S64" i="5" s="1"/>
  <c r="S98" i="5" s="1"/>
  <c r="M37" i="5"/>
  <c r="N37" i="5" s="1"/>
  <c r="P37" i="5" s="1"/>
  <c r="S73" i="5" s="1"/>
  <c r="S107" i="5" s="1"/>
  <c r="K37" i="5"/>
  <c r="T37" i="5" s="1"/>
  <c r="F73" i="5" s="1"/>
  <c r="F107" i="5" s="1"/>
  <c r="S31" i="3"/>
  <c r="Q67" i="3" s="1"/>
  <c r="Q101" i="3" s="1"/>
  <c r="T31" i="3"/>
  <c r="B67" i="3" s="1"/>
  <c r="B101" i="3" s="1"/>
  <c r="G82" i="3"/>
  <c r="H16" i="5"/>
  <c r="M16" i="5" s="1"/>
  <c r="S54" i="5" s="1"/>
  <c r="S88" i="5" s="1"/>
  <c r="I16" i="5"/>
  <c r="M35" i="5"/>
  <c r="I20" i="3"/>
  <c r="H20" i="3"/>
  <c r="M20" i="3" s="1"/>
  <c r="S58" i="3" s="1"/>
  <c r="S92" i="3" s="1"/>
  <c r="M37" i="3"/>
  <c r="K37" i="3"/>
  <c r="E81" i="3"/>
  <c r="I82" i="3"/>
  <c r="N87" i="3"/>
  <c r="I13" i="5"/>
  <c r="H13" i="5"/>
  <c r="M13" i="5" s="1"/>
  <c r="S51" i="5" s="1"/>
  <c r="S85" i="5" s="1"/>
  <c r="J36" i="5"/>
  <c r="R36" i="5" s="1"/>
  <c r="L72" i="5" s="1"/>
  <c r="L106" i="5" s="1"/>
  <c r="J50" i="2"/>
  <c r="J84" i="2" s="1"/>
  <c r="I50" i="2"/>
  <c r="I84" i="2" s="1"/>
  <c r="H50" i="2"/>
  <c r="H84" i="2" s="1"/>
  <c r="K50" i="2"/>
  <c r="K84" i="2" s="1"/>
  <c r="D68" i="2"/>
  <c r="D102" i="2" s="1"/>
  <c r="M68" i="2"/>
  <c r="M102" i="2" s="1"/>
  <c r="C68" i="2"/>
  <c r="C102" i="2" s="1"/>
  <c r="L68" i="2"/>
  <c r="L102" i="2" s="1"/>
  <c r="B68" i="2"/>
  <c r="B102" i="2" s="1"/>
  <c r="E68" i="2"/>
  <c r="E102" i="2" s="1"/>
  <c r="K33" i="2"/>
  <c r="T33" i="2" s="1"/>
  <c r="S33" i="2"/>
  <c r="Q69" i="2" s="1"/>
  <c r="Q103" i="2" s="1"/>
  <c r="K86" i="2"/>
  <c r="B70" i="2"/>
  <c r="B104" i="2" s="1"/>
  <c r="Q49" i="2"/>
  <c r="Q83" i="2" s="1"/>
  <c r="G49" i="2"/>
  <c r="G83" i="2" s="1"/>
  <c r="P49" i="2"/>
  <c r="P83" i="2" s="1"/>
  <c r="F49" i="2"/>
  <c r="F83" i="2" s="1"/>
  <c r="E49" i="2"/>
  <c r="E83" i="2" s="1"/>
  <c r="H49" i="2"/>
  <c r="H83" i="2" s="1"/>
  <c r="M51" i="2"/>
  <c r="M85" i="2" s="1"/>
  <c r="L51" i="2"/>
  <c r="L85" i="2" s="1"/>
  <c r="K51" i="2"/>
  <c r="K85" i="2" s="1"/>
  <c r="N51" i="2"/>
  <c r="N85" i="2" s="1"/>
  <c r="O55" i="2"/>
  <c r="O89" i="2" s="1"/>
  <c r="E55" i="2"/>
  <c r="E89" i="2" s="1"/>
  <c r="D55" i="2"/>
  <c r="D89" i="2" s="1"/>
  <c r="N55" i="2"/>
  <c r="N89" i="2" s="1"/>
  <c r="M55" i="2"/>
  <c r="M89" i="2" s="1"/>
  <c r="C55" i="2"/>
  <c r="C89" i="2" s="1"/>
  <c r="P55" i="2"/>
  <c r="P89" i="2" s="1"/>
  <c r="F55" i="2"/>
  <c r="F89" i="2" s="1"/>
  <c r="M26" i="2"/>
  <c r="N26" i="2" s="1"/>
  <c r="P26" i="2" s="1"/>
  <c r="S62" i="2" s="1"/>
  <c r="S96" i="2" s="1"/>
  <c r="H66" i="2"/>
  <c r="H100" i="2" s="1"/>
  <c r="Q66" i="2"/>
  <c r="Q100" i="2" s="1"/>
  <c r="G66" i="2"/>
  <c r="G100" i="2" s="1"/>
  <c r="F66" i="2"/>
  <c r="F100" i="2" s="1"/>
  <c r="I66" i="2"/>
  <c r="I100" i="2" s="1"/>
  <c r="S31" i="2"/>
  <c r="C67" i="2" s="1"/>
  <c r="C101" i="2" s="1"/>
  <c r="L36" i="2"/>
  <c r="P81" i="2"/>
  <c r="O50" i="2"/>
  <c r="O84" i="2" s="1"/>
  <c r="P51" i="2"/>
  <c r="P85" i="2" s="1"/>
  <c r="L86" i="2"/>
  <c r="K55" i="2"/>
  <c r="K89" i="2" s="1"/>
  <c r="C66" i="2"/>
  <c r="C100" i="2" s="1"/>
  <c r="H10" i="3"/>
  <c r="M10" i="3" s="1"/>
  <c r="S48" i="3" s="1"/>
  <c r="S82" i="3" s="1"/>
  <c r="H16" i="3"/>
  <c r="M16" i="3" s="1"/>
  <c r="S54" i="3" s="1"/>
  <c r="S88" i="3" s="1"/>
  <c r="L27" i="3"/>
  <c r="Q30" i="3"/>
  <c r="M66" i="3" s="1"/>
  <c r="M100" i="3" s="1"/>
  <c r="L30" i="3"/>
  <c r="M67" i="3"/>
  <c r="M101" i="3" s="1"/>
  <c r="K67" i="3"/>
  <c r="K101" i="3" s="1"/>
  <c r="O67" i="3"/>
  <c r="O101" i="3" s="1"/>
  <c r="D67" i="3"/>
  <c r="D101" i="3" s="1"/>
  <c r="H67" i="3"/>
  <c r="H101" i="3" s="1"/>
  <c r="G67" i="3"/>
  <c r="G101" i="3" s="1"/>
  <c r="F67" i="3"/>
  <c r="F101" i="3" s="1"/>
  <c r="E67" i="3"/>
  <c r="E101" i="3" s="1"/>
  <c r="I67" i="3"/>
  <c r="I101" i="3" s="1"/>
  <c r="N31" i="3"/>
  <c r="P31" i="3" s="1"/>
  <c r="S67" i="3" s="1"/>
  <c r="S101" i="3" s="1"/>
  <c r="L34" i="3"/>
  <c r="J34" i="3"/>
  <c r="B72" i="3"/>
  <c r="B106" i="3" s="1"/>
  <c r="N72" i="3"/>
  <c r="N106" i="3" s="1"/>
  <c r="C72" i="3"/>
  <c r="C106" i="3" s="1"/>
  <c r="F81" i="3"/>
  <c r="J82" i="3"/>
  <c r="O87" i="3"/>
  <c r="K72" i="3"/>
  <c r="K106" i="3" s="1"/>
  <c r="H45" i="5"/>
  <c r="H79" i="5" s="1"/>
  <c r="F45" i="5"/>
  <c r="F79" i="5" s="1"/>
  <c r="P45" i="5"/>
  <c r="P79" i="5" s="1"/>
  <c r="D45" i="5"/>
  <c r="D79" i="5" s="1"/>
  <c r="Q45" i="5"/>
  <c r="Q79" i="5" s="1"/>
  <c r="G45" i="5"/>
  <c r="G79" i="5" s="1"/>
  <c r="E45" i="5"/>
  <c r="E79" i="5" s="1"/>
  <c r="I10" i="5"/>
  <c r="D92" i="5"/>
  <c r="L104" i="5"/>
  <c r="D71" i="2"/>
  <c r="D105" i="2" s="1"/>
  <c r="N71" i="2"/>
  <c r="N105" i="2" s="1"/>
  <c r="M57" i="3"/>
  <c r="M91" i="3" s="1"/>
  <c r="C57" i="3"/>
  <c r="C91" i="3" s="1"/>
  <c r="Q57" i="3"/>
  <c r="Q91" i="3" s="1"/>
  <c r="O57" i="3"/>
  <c r="O91" i="3" s="1"/>
  <c r="D57" i="3"/>
  <c r="D91" i="3" s="1"/>
  <c r="O61" i="3"/>
  <c r="O95" i="3" s="1"/>
  <c r="E61" i="3"/>
  <c r="E95" i="3" s="1"/>
  <c r="P61" i="3"/>
  <c r="P95" i="3" s="1"/>
  <c r="D61" i="3"/>
  <c r="D95" i="3" s="1"/>
  <c r="M61" i="3"/>
  <c r="M95" i="3" s="1"/>
  <c r="B61" i="3"/>
  <c r="B95" i="3" s="1"/>
  <c r="Q61" i="3"/>
  <c r="Q95" i="3" s="1"/>
  <c r="F61" i="3"/>
  <c r="F95" i="3" s="1"/>
  <c r="M28" i="3"/>
  <c r="N28" i="3" s="1"/>
  <c r="P28" i="3" s="1"/>
  <c r="S64" i="3" s="1"/>
  <c r="S98" i="3" s="1"/>
  <c r="L35" i="3"/>
  <c r="J35" i="3"/>
  <c r="Q35" i="3" s="1"/>
  <c r="C45" i="3"/>
  <c r="C79" i="3" s="1"/>
  <c r="M47" i="3"/>
  <c r="M81" i="3" s="1"/>
  <c r="H49" i="3"/>
  <c r="H83" i="3" s="1"/>
  <c r="D50" i="3"/>
  <c r="D84" i="3" s="1"/>
  <c r="P51" i="3"/>
  <c r="P85" i="3" s="1"/>
  <c r="K53" i="3"/>
  <c r="K87" i="3" s="1"/>
  <c r="H54" i="3"/>
  <c r="H88" i="3" s="1"/>
  <c r="I55" i="3"/>
  <c r="I89" i="3" s="1"/>
  <c r="E57" i="3"/>
  <c r="E91" i="3" s="1"/>
  <c r="B59" i="3"/>
  <c r="B93" i="3" s="1"/>
  <c r="C60" i="3"/>
  <c r="C94" i="3" s="1"/>
  <c r="Q60" i="3"/>
  <c r="Q94" i="3" s="1"/>
  <c r="N63" i="3"/>
  <c r="N97" i="3" s="1"/>
  <c r="L66" i="3"/>
  <c r="L100" i="3" s="1"/>
  <c r="G69" i="3"/>
  <c r="G103" i="3" s="1"/>
  <c r="F71" i="3"/>
  <c r="F105" i="3" s="1"/>
  <c r="D73" i="3"/>
  <c r="D107" i="3" s="1"/>
  <c r="K11" i="5"/>
  <c r="N49" i="5" s="1"/>
  <c r="N83" i="5" s="1"/>
  <c r="J11" i="5"/>
  <c r="I23" i="5"/>
  <c r="H23" i="5"/>
  <c r="M23" i="5" s="1"/>
  <c r="S61" i="5" s="1"/>
  <c r="S95" i="5" s="1"/>
  <c r="R27" i="5"/>
  <c r="L27" i="5"/>
  <c r="T32" i="5"/>
  <c r="L68" i="5" s="1"/>
  <c r="L102" i="5" s="1"/>
  <c r="J46" i="5"/>
  <c r="J80" i="5" s="1"/>
  <c r="O69" i="5"/>
  <c r="O103" i="5" s="1"/>
  <c r="I12" i="6"/>
  <c r="H12" i="6"/>
  <c r="M12" i="6" s="1"/>
  <c r="S50" i="6" s="1"/>
  <c r="S84" i="6" s="1"/>
  <c r="K14" i="6"/>
  <c r="B52" i="6" s="1"/>
  <c r="B86" i="6" s="1"/>
  <c r="J14" i="6"/>
  <c r="H48" i="5"/>
  <c r="H82" i="5" s="1"/>
  <c r="E48" i="5"/>
  <c r="E82" i="5" s="1"/>
  <c r="D48" i="5"/>
  <c r="D82" i="5" s="1"/>
  <c r="C48" i="5"/>
  <c r="C82" i="5" s="1"/>
  <c r="F48" i="5"/>
  <c r="F82" i="5" s="1"/>
  <c r="M48" i="5"/>
  <c r="M82" i="5" s="1"/>
  <c r="K48" i="5"/>
  <c r="K82" i="5" s="1"/>
  <c r="J48" i="5"/>
  <c r="J82" i="5" s="1"/>
  <c r="M30" i="5"/>
  <c r="K30" i="5"/>
  <c r="T30" i="5" s="1"/>
  <c r="N66" i="5" s="1"/>
  <c r="N100" i="5" s="1"/>
  <c r="Q71" i="5"/>
  <c r="Q105" i="5" s="1"/>
  <c r="G71" i="5"/>
  <c r="G105" i="5" s="1"/>
  <c r="P71" i="5"/>
  <c r="P105" i="5" s="1"/>
  <c r="C71" i="5"/>
  <c r="C105" i="5" s="1"/>
  <c r="O71" i="5"/>
  <c r="O105" i="5" s="1"/>
  <c r="B71" i="5"/>
  <c r="B105" i="5" s="1"/>
  <c r="N71" i="5"/>
  <c r="N105" i="5" s="1"/>
  <c r="D71" i="5"/>
  <c r="D105" i="5" s="1"/>
  <c r="F71" i="5"/>
  <c r="F105" i="5" s="1"/>
  <c r="B48" i="5"/>
  <c r="B82" i="5" s="1"/>
  <c r="K96" i="5"/>
  <c r="J64" i="3"/>
  <c r="J98" i="3" s="1"/>
  <c r="K34" i="3"/>
  <c r="T34" i="3" s="1"/>
  <c r="H70" i="3" s="1"/>
  <c r="H104" i="3" s="1"/>
  <c r="S34" i="3"/>
  <c r="I70" i="3" s="1"/>
  <c r="I104" i="3" s="1"/>
  <c r="K45" i="3"/>
  <c r="K79" i="3" s="1"/>
  <c r="E82" i="3"/>
  <c r="C88" i="3"/>
  <c r="L93" i="3"/>
  <c r="D42" i="2"/>
  <c r="D76" i="2" s="1"/>
  <c r="N42" i="2"/>
  <c r="N76" i="2" s="1"/>
  <c r="G43" i="2"/>
  <c r="G77" i="2" s="1"/>
  <c r="Q43" i="2"/>
  <c r="Q77" i="2" s="1"/>
  <c r="I47" i="2"/>
  <c r="I81" i="2" s="1"/>
  <c r="B48" i="2"/>
  <c r="B82" i="2" s="1"/>
  <c r="L48" i="2"/>
  <c r="L82" i="2" s="1"/>
  <c r="D52" i="2"/>
  <c r="D86" i="2" s="1"/>
  <c r="N52" i="2"/>
  <c r="N86" i="2" s="1"/>
  <c r="G53" i="2"/>
  <c r="G87" i="2" s="1"/>
  <c r="Q53" i="2"/>
  <c r="Q87" i="2" s="1"/>
  <c r="B58" i="2"/>
  <c r="B92" i="2" s="1"/>
  <c r="N62" i="2"/>
  <c r="N96" i="2" s="1"/>
  <c r="H70" i="2"/>
  <c r="H104" i="2" s="1"/>
  <c r="D72" i="2"/>
  <c r="D106" i="2" s="1"/>
  <c r="N72" i="2"/>
  <c r="N106" i="2" s="1"/>
  <c r="G46" i="3"/>
  <c r="G80" i="3" s="1"/>
  <c r="O46" i="3"/>
  <c r="O80" i="3" s="1"/>
  <c r="E46" i="3"/>
  <c r="E80" i="3" s="1"/>
  <c r="H46" i="3"/>
  <c r="H80" i="3" s="1"/>
  <c r="P49" i="3"/>
  <c r="P83" i="3" s="1"/>
  <c r="F49" i="3"/>
  <c r="F83" i="3" s="1"/>
  <c r="D49" i="3"/>
  <c r="D83" i="3" s="1"/>
  <c r="Q49" i="3"/>
  <c r="Q83" i="3" s="1"/>
  <c r="G49" i="3"/>
  <c r="G83" i="3" s="1"/>
  <c r="I50" i="3"/>
  <c r="I84" i="3" s="1"/>
  <c r="Q50" i="3"/>
  <c r="Q84" i="3" s="1"/>
  <c r="G50" i="3"/>
  <c r="G84" i="3" s="1"/>
  <c r="M26" i="3"/>
  <c r="N26" i="3" s="1"/>
  <c r="P26" i="3" s="1"/>
  <c r="S62" i="3" s="1"/>
  <c r="S96" i="3" s="1"/>
  <c r="K26" i="3"/>
  <c r="M36" i="3"/>
  <c r="K36" i="3"/>
  <c r="K46" i="3"/>
  <c r="K80" i="3" s="1"/>
  <c r="B49" i="3"/>
  <c r="B83" i="3" s="1"/>
  <c r="E53" i="3"/>
  <c r="E87" i="3" s="1"/>
  <c r="P57" i="3"/>
  <c r="P91" i="3" s="1"/>
  <c r="M59" i="3"/>
  <c r="M93" i="3" s="1"/>
  <c r="N60" i="3"/>
  <c r="N94" i="3" s="1"/>
  <c r="Q71" i="3"/>
  <c r="Q105" i="3" s="1"/>
  <c r="I6" i="5"/>
  <c r="H6" i="5"/>
  <c r="M6" i="5" s="1"/>
  <c r="S44" i="5" s="1"/>
  <c r="S78" i="5" s="1"/>
  <c r="M31" i="5"/>
  <c r="G48" i="5"/>
  <c r="G82" i="5" s="1"/>
  <c r="D45" i="3"/>
  <c r="D79" i="3" s="1"/>
  <c r="B45" i="3"/>
  <c r="B79" i="3" s="1"/>
  <c r="O45" i="3"/>
  <c r="O79" i="3" s="1"/>
  <c r="E45" i="3"/>
  <c r="E79" i="3" s="1"/>
  <c r="I69" i="3"/>
  <c r="I103" i="3" s="1"/>
  <c r="B69" i="3"/>
  <c r="B103" i="3" s="1"/>
  <c r="N69" i="3"/>
  <c r="N103" i="3" s="1"/>
  <c r="C69" i="3"/>
  <c r="C103" i="3" s="1"/>
  <c r="O42" i="2"/>
  <c r="O76" i="2" s="1"/>
  <c r="O52" i="2"/>
  <c r="O86" i="2" s="1"/>
  <c r="B71" i="2"/>
  <c r="B105" i="2" s="1"/>
  <c r="E72" i="2"/>
  <c r="E106" i="2" s="1"/>
  <c r="J47" i="3"/>
  <c r="J81" i="3" s="1"/>
  <c r="H47" i="3"/>
  <c r="H81" i="3" s="1"/>
  <c r="K47" i="3"/>
  <c r="K81" i="3" s="1"/>
  <c r="M82" i="3"/>
  <c r="L51" i="3"/>
  <c r="L85" i="3" s="1"/>
  <c r="J51" i="3"/>
  <c r="J85" i="3" s="1"/>
  <c r="M51" i="3"/>
  <c r="M85" i="3" s="1"/>
  <c r="C51" i="3"/>
  <c r="C85" i="3" s="1"/>
  <c r="N54" i="3"/>
  <c r="N88" i="3" s="1"/>
  <c r="D54" i="3"/>
  <c r="D88" i="3" s="1"/>
  <c r="L54" i="3"/>
  <c r="L88" i="3" s="1"/>
  <c r="J54" i="3"/>
  <c r="J88" i="3" s="1"/>
  <c r="M54" i="3"/>
  <c r="M88" i="3" s="1"/>
  <c r="B54" i="3"/>
  <c r="B88" i="3" s="1"/>
  <c r="G55" i="3"/>
  <c r="G89" i="3" s="1"/>
  <c r="F55" i="3"/>
  <c r="F89" i="3" s="1"/>
  <c r="O55" i="3"/>
  <c r="O89" i="3" s="1"/>
  <c r="H55" i="3"/>
  <c r="H89" i="3" s="1"/>
  <c r="K63" i="3"/>
  <c r="K97" i="3" s="1"/>
  <c r="O63" i="3"/>
  <c r="O97" i="3" s="1"/>
  <c r="M63" i="3"/>
  <c r="M97" i="3" s="1"/>
  <c r="B63" i="3"/>
  <c r="B97" i="3" s="1"/>
  <c r="J66" i="3"/>
  <c r="J100" i="3" s="1"/>
  <c r="H66" i="3"/>
  <c r="H100" i="3" s="1"/>
  <c r="F66" i="3"/>
  <c r="F100" i="3" s="1"/>
  <c r="I66" i="3"/>
  <c r="I100" i="3" s="1"/>
  <c r="K32" i="3"/>
  <c r="T32" i="3" s="1"/>
  <c r="J68" i="3" s="1"/>
  <c r="J102" i="3" s="1"/>
  <c r="K73" i="3"/>
  <c r="K107" i="3" s="1"/>
  <c r="L73" i="3"/>
  <c r="L107" i="3" s="1"/>
  <c r="M73" i="3"/>
  <c r="M107" i="3" s="1"/>
  <c r="B73" i="3"/>
  <c r="B107" i="3" s="1"/>
  <c r="P45" i="3"/>
  <c r="P79" i="3" s="1"/>
  <c r="I47" i="3"/>
  <c r="I81" i="3" s="1"/>
  <c r="N51" i="3"/>
  <c r="N85" i="3" s="1"/>
  <c r="G53" i="3"/>
  <c r="G87" i="3" s="1"/>
  <c r="F54" i="3"/>
  <c r="F88" i="3" s="1"/>
  <c r="C55" i="3"/>
  <c r="C89" i="3" s="1"/>
  <c r="L61" i="3"/>
  <c r="L95" i="3" s="1"/>
  <c r="J63" i="3"/>
  <c r="J97" i="3" s="1"/>
  <c r="K64" i="3"/>
  <c r="K98" i="3" s="1"/>
  <c r="G66" i="3"/>
  <c r="G100" i="3" s="1"/>
  <c r="E69" i="3"/>
  <c r="E103" i="3" s="1"/>
  <c r="C71" i="3"/>
  <c r="C105" i="3" s="1"/>
  <c r="P73" i="3"/>
  <c r="P107" i="3" s="1"/>
  <c r="C80" i="5"/>
  <c r="J52" i="5"/>
  <c r="J86" i="5" s="1"/>
  <c r="O52" i="5"/>
  <c r="O86" i="5" s="1"/>
  <c r="D52" i="5"/>
  <c r="D86" i="5" s="1"/>
  <c r="N52" i="5"/>
  <c r="N86" i="5" s="1"/>
  <c r="C52" i="5"/>
  <c r="C86" i="5" s="1"/>
  <c r="M52" i="5"/>
  <c r="M86" i="5" s="1"/>
  <c r="B52" i="5"/>
  <c r="B86" i="5" s="1"/>
  <c r="P52" i="5"/>
  <c r="P86" i="5" s="1"/>
  <c r="E52" i="5"/>
  <c r="E86" i="5" s="1"/>
  <c r="G52" i="5"/>
  <c r="G86" i="5" s="1"/>
  <c r="H52" i="5"/>
  <c r="H86" i="5" s="1"/>
  <c r="I52" i="5"/>
  <c r="I86" i="5" s="1"/>
  <c r="K52" i="5"/>
  <c r="K86" i="5" s="1"/>
  <c r="H58" i="5"/>
  <c r="H92" i="5" s="1"/>
  <c r="M58" i="5"/>
  <c r="M92" i="5" s="1"/>
  <c r="B58" i="5"/>
  <c r="B92" i="5" s="1"/>
  <c r="L58" i="5"/>
  <c r="L92" i="5" s="1"/>
  <c r="K58" i="5"/>
  <c r="K92" i="5" s="1"/>
  <c r="N58" i="5"/>
  <c r="N92" i="5" s="1"/>
  <c r="C58" i="5"/>
  <c r="C92" i="5" s="1"/>
  <c r="P58" i="5"/>
  <c r="P92" i="5" s="1"/>
  <c r="J58" i="5"/>
  <c r="J92" i="5" s="1"/>
  <c r="G58" i="5"/>
  <c r="G92" i="5" s="1"/>
  <c r="Q58" i="5"/>
  <c r="Q92" i="5" s="1"/>
  <c r="I58" i="5"/>
  <c r="I92" i="5" s="1"/>
  <c r="E58" i="5"/>
  <c r="E92" i="5" s="1"/>
  <c r="O58" i="5"/>
  <c r="O92" i="5" s="1"/>
  <c r="I48" i="5"/>
  <c r="I82" i="5" s="1"/>
  <c r="M96" i="5"/>
  <c r="E62" i="2"/>
  <c r="E96" i="2" s="1"/>
  <c r="O62" i="2"/>
  <c r="O96" i="2" s="1"/>
  <c r="O72" i="2"/>
  <c r="O106" i="2" s="1"/>
  <c r="F42" i="2"/>
  <c r="F76" i="2" s="1"/>
  <c r="D48" i="2"/>
  <c r="D82" i="2" s="1"/>
  <c r="F52" i="2"/>
  <c r="F86" i="2" s="1"/>
  <c r="D58" i="2"/>
  <c r="D92" i="2" s="1"/>
  <c r="F62" i="2"/>
  <c r="F96" i="2" s="1"/>
  <c r="C71" i="2"/>
  <c r="C105" i="2" s="1"/>
  <c r="F72" i="2"/>
  <c r="F106" i="2" s="1"/>
  <c r="I5" i="3"/>
  <c r="O52" i="3"/>
  <c r="O86" i="3" s="1"/>
  <c r="E52" i="3"/>
  <c r="E86" i="3" s="1"/>
  <c r="M52" i="3"/>
  <c r="M86" i="3" s="1"/>
  <c r="C52" i="3"/>
  <c r="C86" i="3" s="1"/>
  <c r="P52" i="3"/>
  <c r="P86" i="3" s="1"/>
  <c r="F52" i="3"/>
  <c r="F86" i="3" s="1"/>
  <c r="H53" i="3"/>
  <c r="H87" i="3" s="1"/>
  <c r="J56" i="3"/>
  <c r="J90" i="3" s="1"/>
  <c r="L56" i="3"/>
  <c r="L90" i="3" s="1"/>
  <c r="I56" i="3"/>
  <c r="I90" i="3" s="1"/>
  <c r="M56" i="3"/>
  <c r="M90" i="3" s="1"/>
  <c r="B56" i="3"/>
  <c r="B90" i="3" s="1"/>
  <c r="I59" i="3"/>
  <c r="I93" i="3" s="1"/>
  <c r="E59" i="3"/>
  <c r="E93" i="3" s="1"/>
  <c r="N59" i="3"/>
  <c r="N93" i="3" s="1"/>
  <c r="C59" i="3"/>
  <c r="C93" i="3" s="1"/>
  <c r="Q59" i="3"/>
  <c r="Q93" i="3" s="1"/>
  <c r="L60" i="3"/>
  <c r="L94" i="3" s="1"/>
  <c r="B60" i="3"/>
  <c r="B94" i="3" s="1"/>
  <c r="J60" i="3"/>
  <c r="J94" i="3" s="1"/>
  <c r="H60" i="3"/>
  <c r="H94" i="3" s="1"/>
  <c r="K60" i="3"/>
  <c r="K94" i="3" s="1"/>
  <c r="S28" i="3"/>
  <c r="I64" i="3" s="1"/>
  <c r="I98" i="3" s="1"/>
  <c r="R31" i="3"/>
  <c r="N67" i="3" s="1"/>
  <c r="N101" i="3" s="1"/>
  <c r="J33" i="3"/>
  <c r="Q33" i="3" s="1"/>
  <c r="M34" i="3"/>
  <c r="Q45" i="3"/>
  <c r="Q79" i="3" s="1"/>
  <c r="L47" i="3"/>
  <c r="L81" i="3" s="1"/>
  <c r="E49" i="3"/>
  <c r="E83" i="3" s="1"/>
  <c r="C50" i="3"/>
  <c r="C84" i="3" s="1"/>
  <c r="P50" i="3"/>
  <c r="P84" i="3" s="1"/>
  <c r="O51" i="3"/>
  <c r="O85" i="3" s="1"/>
  <c r="K52" i="3"/>
  <c r="K86" i="3" s="1"/>
  <c r="G54" i="3"/>
  <c r="G88" i="3" s="1"/>
  <c r="B57" i="3"/>
  <c r="B91" i="3" s="1"/>
  <c r="P60" i="3"/>
  <c r="P94" i="3" s="1"/>
  <c r="N61" i="3"/>
  <c r="N95" i="3" s="1"/>
  <c r="L63" i="3"/>
  <c r="L97" i="3" s="1"/>
  <c r="L64" i="3"/>
  <c r="L98" i="3" s="1"/>
  <c r="K66" i="3"/>
  <c r="K100" i="3" s="1"/>
  <c r="F69" i="3"/>
  <c r="F103" i="3" s="1"/>
  <c r="C73" i="3"/>
  <c r="C107" i="3" s="1"/>
  <c r="Q73" i="3"/>
  <c r="Q107" i="3" s="1"/>
  <c r="M64" i="5"/>
  <c r="M98" i="5" s="1"/>
  <c r="K99" i="5"/>
  <c r="K31" i="5"/>
  <c r="T31" i="5" s="1"/>
  <c r="J69" i="5"/>
  <c r="J103" i="5" s="1"/>
  <c r="J35" i="5"/>
  <c r="R35" i="5" s="1"/>
  <c r="J71" i="5" s="1"/>
  <c r="J105" i="5" s="1"/>
  <c r="L35" i="5"/>
  <c r="H46" i="5"/>
  <c r="H80" i="5" s="1"/>
  <c r="L48" i="5"/>
  <c r="L82" i="5" s="1"/>
  <c r="F52" i="5"/>
  <c r="F86" i="5" s="1"/>
  <c r="K58" i="6"/>
  <c r="K92" i="6" s="1"/>
  <c r="I58" i="6"/>
  <c r="I92" i="6" s="1"/>
  <c r="P58" i="6"/>
  <c r="P92" i="6" s="1"/>
  <c r="D58" i="6"/>
  <c r="D92" i="6" s="1"/>
  <c r="O58" i="6"/>
  <c r="O92" i="6" s="1"/>
  <c r="C58" i="6"/>
  <c r="C92" i="6" s="1"/>
  <c r="Q58" i="6"/>
  <c r="Q92" i="6" s="1"/>
  <c r="E58" i="6"/>
  <c r="E92" i="6" s="1"/>
  <c r="J58" i="6"/>
  <c r="J92" i="6" s="1"/>
  <c r="N58" i="6"/>
  <c r="N92" i="6" s="1"/>
  <c r="H58" i="6"/>
  <c r="H92" i="6" s="1"/>
  <c r="B58" i="6"/>
  <c r="B92" i="6" s="1"/>
  <c r="P58" i="3"/>
  <c r="P92" i="3" s="1"/>
  <c r="O71" i="3"/>
  <c r="O105" i="3" s="1"/>
  <c r="E71" i="3"/>
  <c r="E105" i="3" s="1"/>
  <c r="D48" i="3"/>
  <c r="D82" i="3" s="1"/>
  <c r="I53" i="3"/>
  <c r="I87" i="3" s="1"/>
  <c r="B71" i="3"/>
  <c r="B105" i="3" s="1"/>
  <c r="I63" i="5"/>
  <c r="I97" i="5" s="1"/>
  <c r="K28" i="5"/>
  <c r="T28" i="5" s="1"/>
  <c r="T34" i="5"/>
  <c r="H70" i="5" s="1"/>
  <c r="H104" i="5" s="1"/>
  <c r="F83" i="5"/>
  <c r="M95" i="5"/>
  <c r="H83" i="6"/>
  <c r="K64" i="5"/>
  <c r="K98" i="5" s="1"/>
  <c r="J64" i="5"/>
  <c r="J98" i="5" s="1"/>
  <c r="L64" i="5"/>
  <c r="L98" i="5" s="1"/>
  <c r="N64" i="5"/>
  <c r="N98" i="5" s="1"/>
  <c r="E64" i="5"/>
  <c r="E98" i="5" s="1"/>
  <c r="H68" i="5"/>
  <c r="H102" i="5" s="1"/>
  <c r="G68" i="5"/>
  <c r="G102" i="5" s="1"/>
  <c r="Q68" i="5"/>
  <c r="Q102" i="5" s="1"/>
  <c r="F68" i="5"/>
  <c r="F102" i="5" s="1"/>
  <c r="M68" i="5"/>
  <c r="M102" i="5" s="1"/>
  <c r="I68" i="5"/>
  <c r="I102" i="5" s="1"/>
  <c r="N70" i="5"/>
  <c r="N104" i="5" s="1"/>
  <c r="D70" i="5"/>
  <c r="D104" i="5" s="1"/>
  <c r="G70" i="5"/>
  <c r="G104" i="5" s="1"/>
  <c r="F70" i="5"/>
  <c r="F104" i="5" s="1"/>
  <c r="E70" i="5"/>
  <c r="E104" i="5" s="1"/>
  <c r="C70" i="5"/>
  <c r="C104" i="5" s="1"/>
  <c r="B70" i="5"/>
  <c r="B104" i="5" s="1"/>
  <c r="L85" i="5"/>
  <c r="C64" i="5"/>
  <c r="C98" i="5" s="1"/>
  <c r="K100" i="5"/>
  <c r="C68" i="5"/>
  <c r="C102" i="5" s="1"/>
  <c r="I18" i="6"/>
  <c r="H18" i="6"/>
  <c r="M18" i="6" s="1"/>
  <c r="S56" i="6" s="1"/>
  <c r="S90" i="6" s="1"/>
  <c r="O9" i="7"/>
  <c r="M104" i="5"/>
  <c r="Q42" i="6"/>
  <c r="Q76" i="6" s="1"/>
  <c r="P42" i="6"/>
  <c r="P76" i="6" s="1"/>
  <c r="K42" i="6"/>
  <c r="K76" i="6" s="1"/>
  <c r="J42" i="6"/>
  <c r="J76" i="6" s="1"/>
  <c r="E42" i="6"/>
  <c r="E76" i="6" s="1"/>
  <c r="I5" i="6"/>
  <c r="H5" i="6"/>
  <c r="M5" i="6" s="1"/>
  <c r="S43" i="6" s="1"/>
  <c r="S77" i="6" s="1"/>
  <c r="K8" i="6"/>
  <c r="P46" i="6" s="1"/>
  <c r="P80" i="6" s="1"/>
  <c r="J8" i="6"/>
  <c r="M46" i="6" s="1"/>
  <c r="M80" i="6" s="1"/>
  <c r="N64" i="3"/>
  <c r="N98" i="3" s="1"/>
  <c r="D64" i="3"/>
  <c r="D98" i="3" s="1"/>
  <c r="K48" i="3"/>
  <c r="K82" i="3" s="1"/>
  <c r="F53" i="3"/>
  <c r="F87" i="3" s="1"/>
  <c r="P53" i="3"/>
  <c r="P87" i="3" s="1"/>
  <c r="I58" i="3"/>
  <c r="I92" i="3" s="1"/>
  <c r="D72" i="3"/>
  <c r="D106" i="3" s="1"/>
  <c r="Q51" i="5"/>
  <c r="Q85" i="5" s="1"/>
  <c r="G51" i="5"/>
  <c r="G85" i="5" s="1"/>
  <c r="J51" i="5"/>
  <c r="J85" i="5" s="1"/>
  <c r="I51" i="5"/>
  <c r="I85" i="5" s="1"/>
  <c r="H51" i="5"/>
  <c r="H85" i="5" s="1"/>
  <c r="K51" i="5"/>
  <c r="K85" i="5" s="1"/>
  <c r="O51" i="5"/>
  <c r="O85" i="5" s="1"/>
  <c r="I53" i="5"/>
  <c r="I87" i="5" s="1"/>
  <c r="H53" i="5"/>
  <c r="H87" i="5" s="1"/>
  <c r="G53" i="5"/>
  <c r="G87" i="5" s="1"/>
  <c r="J53" i="5"/>
  <c r="J87" i="5" s="1"/>
  <c r="F53" i="5"/>
  <c r="F87" i="5" s="1"/>
  <c r="D53" i="5"/>
  <c r="D87" i="5" s="1"/>
  <c r="Q53" i="5"/>
  <c r="Q87" i="5" s="1"/>
  <c r="K53" i="5"/>
  <c r="K87" i="5" s="1"/>
  <c r="M36" i="5"/>
  <c r="K36" i="5"/>
  <c r="S36" i="5" s="1"/>
  <c r="Q72" i="5" s="1"/>
  <c r="Q106" i="5" s="1"/>
  <c r="P51" i="5"/>
  <c r="P85" i="5" s="1"/>
  <c r="O53" i="5"/>
  <c r="O87" i="5" s="1"/>
  <c r="D95" i="5"/>
  <c r="L96" i="5"/>
  <c r="O64" i="5"/>
  <c r="O98" i="5" s="1"/>
  <c r="N68" i="5"/>
  <c r="N102" i="5" s="1"/>
  <c r="O70" i="5"/>
  <c r="O104" i="5" s="1"/>
  <c r="L31" i="6"/>
  <c r="J31" i="6"/>
  <c r="R31" i="6" s="1"/>
  <c r="N67" i="6" s="1"/>
  <c r="N101" i="6" s="1"/>
  <c r="D42" i="6"/>
  <c r="D76" i="6" s="1"/>
  <c r="H62" i="3"/>
  <c r="H96" i="3" s="1"/>
  <c r="C48" i="3"/>
  <c r="C82" i="3" s="1"/>
  <c r="K58" i="3"/>
  <c r="K92" i="3" s="1"/>
  <c r="J62" i="3"/>
  <c r="J96" i="3" s="1"/>
  <c r="L71" i="3"/>
  <c r="L105" i="3" s="1"/>
  <c r="F72" i="3"/>
  <c r="F106" i="3" s="1"/>
  <c r="G49" i="4"/>
  <c r="I49" i="4" s="1"/>
  <c r="O47" i="5"/>
  <c r="O81" i="5" s="1"/>
  <c r="E47" i="5"/>
  <c r="E81" i="5" s="1"/>
  <c r="K47" i="5"/>
  <c r="K81" i="5" s="1"/>
  <c r="J47" i="5"/>
  <c r="J81" i="5" s="1"/>
  <c r="I47" i="5"/>
  <c r="I81" i="5" s="1"/>
  <c r="L47" i="5"/>
  <c r="L81" i="5" s="1"/>
  <c r="Q47" i="5"/>
  <c r="Q81" i="5" s="1"/>
  <c r="N47" i="5"/>
  <c r="N81" i="5" s="1"/>
  <c r="H47" i="5"/>
  <c r="H81" i="5" s="1"/>
  <c r="B47" i="5"/>
  <c r="B81" i="5" s="1"/>
  <c r="J18" i="5"/>
  <c r="K18" i="5"/>
  <c r="F56" i="5" s="1"/>
  <c r="F90" i="5" s="1"/>
  <c r="J29" i="5"/>
  <c r="L29" i="5"/>
  <c r="N29" i="5" s="1"/>
  <c r="P29" i="5" s="1"/>
  <c r="S65" i="5" s="1"/>
  <c r="S99" i="5" s="1"/>
  <c r="I66" i="5"/>
  <c r="I100" i="5" s="1"/>
  <c r="J66" i="5"/>
  <c r="J100" i="5" s="1"/>
  <c r="K69" i="5"/>
  <c r="K103" i="5" s="1"/>
  <c r="M69" i="5"/>
  <c r="M103" i="5" s="1"/>
  <c r="B69" i="5"/>
  <c r="B103" i="5" s="1"/>
  <c r="L69" i="5"/>
  <c r="L103" i="5" s="1"/>
  <c r="H69" i="5"/>
  <c r="H103" i="5" s="1"/>
  <c r="G69" i="5"/>
  <c r="G103" i="5" s="1"/>
  <c r="F69" i="5"/>
  <c r="F103" i="5" s="1"/>
  <c r="I69" i="5"/>
  <c r="I103" i="5" s="1"/>
  <c r="C69" i="5"/>
  <c r="C103" i="5" s="1"/>
  <c r="P69" i="5"/>
  <c r="P103" i="5" s="1"/>
  <c r="D69" i="5"/>
  <c r="D103" i="5" s="1"/>
  <c r="S34" i="5"/>
  <c r="I70" i="5" s="1"/>
  <c r="I104" i="5" s="1"/>
  <c r="P47" i="5"/>
  <c r="P81" i="5" s="1"/>
  <c r="L95" i="5"/>
  <c r="E69" i="5"/>
  <c r="E103" i="5" s="1"/>
  <c r="K31" i="6"/>
  <c r="T31" i="6" s="1"/>
  <c r="M31" i="6"/>
  <c r="L36" i="5"/>
  <c r="S81" i="5"/>
  <c r="C95" i="5"/>
  <c r="H96" i="5"/>
  <c r="E73" i="5"/>
  <c r="E107" i="5" s="1"/>
  <c r="P43" i="6"/>
  <c r="P77" i="6" s="1"/>
  <c r="F43" i="6"/>
  <c r="F77" i="6" s="1"/>
  <c r="G43" i="6"/>
  <c r="G77" i="6" s="1"/>
  <c r="E43" i="6"/>
  <c r="E77" i="6" s="1"/>
  <c r="D43" i="6"/>
  <c r="D77" i="6" s="1"/>
  <c r="C43" i="6"/>
  <c r="C77" i="6" s="1"/>
  <c r="J43" i="6"/>
  <c r="J77" i="6" s="1"/>
  <c r="K43" i="6"/>
  <c r="K77" i="6" s="1"/>
  <c r="B43" i="6"/>
  <c r="B77" i="6" s="1"/>
  <c r="I6" i="6"/>
  <c r="H6" i="6"/>
  <c r="M6" i="6" s="1"/>
  <c r="S44" i="6" s="1"/>
  <c r="S78" i="6" s="1"/>
  <c r="I9" i="6"/>
  <c r="H78" i="6"/>
  <c r="J42" i="5"/>
  <c r="J76" i="5" s="1"/>
  <c r="G42" i="5"/>
  <c r="G76" i="5" s="1"/>
  <c r="Q42" i="5"/>
  <c r="Q76" i="5" s="1"/>
  <c r="F42" i="5"/>
  <c r="F76" i="5" s="1"/>
  <c r="P42" i="5"/>
  <c r="P76" i="5" s="1"/>
  <c r="E42" i="5"/>
  <c r="E76" i="5" s="1"/>
  <c r="H42" i="5"/>
  <c r="H76" i="5" s="1"/>
  <c r="B46" i="5"/>
  <c r="B80" i="5" s="1"/>
  <c r="F46" i="5"/>
  <c r="F80" i="5" s="1"/>
  <c r="E46" i="5"/>
  <c r="E80" i="5" s="1"/>
  <c r="O46" i="5"/>
  <c r="O80" i="5" s="1"/>
  <c r="D46" i="5"/>
  <c r="D80" i="5" s="1"/>
  <c r="G46" i="5"/>
  <c r="G80" i="5" s="1"/>
  <c r="H19" i="5"/>
  <c r="M19" i="5" s="1"/>
  <c r="S57" i="5" s="1"/>
  <c r="S91" i="5" s="1"/>
  <c r="I19" i="5"/>
  <c r="N65" i="5"/>
  <c r="N99" i="5" s="1"/>
  <c r="C65" i="5"/>
  <c r="C99" i="5" s="1"/>
  <c r="B65" i="5"/>
  <c r="B99" i="5" s="1"/>
  <c r="G65" i="5"/>
  <c r="G99" i="5" s="1"/>
  <c r="F65" i="5"/>
  <c r="F99" i="5" s="1"/>
  <c r="E65" i="5"/>
  <c r="E99" i="5" s="1"/>
  <c r="B42" i="5"/>
  <c r="B76" i="5" s="1"/>
  <c r="I46" i="5"/>
  <c r="I80" i="5" s="1"/>
  <c r="O65" i="5"/>
  <c r="O99" i="5" s="1"/>
  <c r="K11" i="6"/>
  <c r="J11" i="6"/>
  <c r="M49" i="6" s="1"/>
  <c r="M83" i="6" s="1"/>
  <c r="I17" i="6"/>
  <c r="H17" i="6"/>
  <c r="M17" i="6" s="1"/>
  <c r="S55" i="6" s="1"/>
  <c r="S89" i="6" s="1"/>
  <c r="M27" i="6"/>
  <c r="K27" i="6"/>
  <c r="S27" i="6" s="1"/>
  <c r="G63" i="6" s="1"/>
  <c r="G97" i="6" s="1"/>
  <c r="L34" i="6"/>
  <c r="J34" i="6"/>
  <c r="R34" i="6" s="1"/>
  <c r="J35" i="6"/>
  <c r="R35" i="6" s="1"/>
  <c r="J71" i="6" s="1"/>
  <c r="J105" i="6" s="1"/>
  <c r="L35" i="6"/>
  <c r="H60" i="6"/>
  <c r="H94" i="6" s="1"/>
  <c r="G60" i="6"/>
  <c r="G94" i="6" s="1"/>
  <c r="E60" i="6"/>
  <c r="E94" i="6" s="1"/>
  <c r="I60" i="6"/>
  <c r="I94" i="6" s="1"/>
  <c r="F60" i="6"/>
  <c r="F94" i="6" s="1"/>
  <c r="O60" i="6"/>
  <c r="O94" i="6" s="1"/>
  <c r="N60" i="6"/>
  <c r="N94" i="6" s="1"/>
  <c r="M60" i="6"/>
  <c r="M94" i="6" s="1"/>
  <c r="B60" i="6"/>
  <c r="B94" i="6" s="1"/>
  <c r="C60" i="6"/>
  <c r="C94" i="6" s="1"/>
  <c r="H116" i="4"/>
  <c r="M43" i="5"/>
  <c r="M77" i="5" s="1"/>
  <c r="C43" i="5"/>
  <c r="C77" i="5" s="1"/>
  <c r="L43" i="5"/>
  <c r="L77" i="5" s="1"/>
  <c r="K43" i="5"/>
  <c r="K77" i="5" s="1"/>
  <c r="J43" i="5"/>
  <c r="J77" i="5" s="1"/>
  <c r="N43" i="5"/>
  <c r="N77" i="5" s="1"/>
  <c r="B43" i="5"/>
  <c r="B77" i="5" s="1"/>
  <c r="H83" i="5"/>
  <c r="R26" i="5"/>
  <c r="B62" i="5" s="1"/>
  <c r="B96" i="5" s="1"/>
  <c r="P63" i="5"/>
  <c r="P97" i="5" s="1"/>
  <c r="Q36" i="5"/>
  <c r="D42" i="5"/>
  <c r="D76" i="5" s="1"/>
  <c r="G43" i="5"/>
  <c r="G77" i="5" s="1"/>
  <c r="K46" i="5"/>
  <c r="K80" i="5" s="1"/>
  <c r="P83" i="5"/>
  <c r="H56" i="5"/>
  <c r="H90" i="5" s="1"/>
  <c r="N59" i="6"/>
  <c r="N93" i="6" s="1"/>
  <c r="D59" i="6"/>
  <c r="D93" i="6" s="1"/>
  <c r="L59" i="6"/>
  <c r="L93" i="6" s="1"/>
  <c r="B59" i="6"/>
  <c r="B93" i="6" s="1"/>
  <c r="K59" i="6"/>
  <c r="K93" i="6" s="1"/>
  <c r="J59" i="6"/>
  <c r="J93" i="6" s="1"/>
  <c r="M59" i="6"/>
  <c r="M93" i="6" s="1"/>
  <c r="O59" i="6"/>
  <c r="O93" i="6" s="1"/>
  <c r="I59" i="6"/>
  <c r="I93" i="6" s="1"/>
  <c r="H59" i="6"/>
  <c r="H93" i="6" s="1"/>
  <c r="E59" i="6"/>
  <c r="E93" i="6" s="1"/>
  <c r="C59" i="6"/>
  <c r="C93" i="6" s="1"/>
  <c r="K34" i="6"/>
  <c r="T34" i="6" s="1"/>
  <c r="H70" i="6" s="1"/>
  <c r="H104" i="6" s="1"/>
  <c r="M34" i="6"/>
  <c r="M35" i="6"/>
  <c r="K35" i="6"/>
  <c r="S35" i="6" s="1"/>
  <c r="M71" i="6" s="1"/>
  <c r="M105" i="6" s="1"/>
  <c r="N43" i="6"/>
  <c r="N77" i="6" s="1"/>
  <c r="D60" i="6"/>
  <c r="D94" i="6" s="1"/>
  <c r="O43" i="6"/>
  <c r="O77" i="6" s="1"/>
  <c r="I8" i="5"/>
  <c r="H8" i="5"/>
  <c r="M8" i="5" s="1"/>
  <c r="S46" i="5" s="1"/>
  <c r="S80" i="5" s="1"/>
  <c r="K59" i="5"/>
  <c r="K93" i="5" s="1"/>
  <c r="G59" i="5"/>
  <c r="G93" i="5" s="1"/>
  <c r="Q59" i="5"/>
  <c r="Q93" i="5" s="1"/>
  <c r="F59" i="5"/>
  <c r="F93" i="5" s="1"/>
  <c r="P59" i="5"/>
  <c r="P93" i="5" s="1"/>
  <c r="E59" i="5"/>
  <c r="E93" i="5" s="1"/>
  <c r="H59" i="5"/>
  <c r="H93" i="5" s="1"/>
  <c r="M26" i="5"/>
  <c r="N26" i="5" s="1"/>
  <c r="P26" i="5" s="1"/>
  <c r="S62" i="5" s="1"/>
  <c r="S96" i="5" s="1"/>
  <c r="K26" i="5"/>
  <c r="K42" i="5"/>
  <c r="K76" i="5" s="1"/>
  <c r="I43" i="5"/>
  <c r="I77" i="5" s="1"/>
  <c r="N46" i="5"/>
  <c r="N80" i="5" s="1"/>
  <c r="O59" i="5"/>
  <c r="O93" i="5" s="1"/>
  <c r="B95" i="5"/>
  <c r="G96" i="5"/>
  <c r="R110" i="5" a="1"/>
  <c r="R110" i="5" s="1"/>
  <c r="C69" i="6"/>
  <c r="C103" i="6" s="1"/>
  <c r="H69" i="6"/>
  <c r="H103" i="6" s="1"/>
  <c r="N69" i="6"/>
  <c r="N103" i="6" s="1"/>
  <c r="I69" i="6"/>
  <c r="I103" i="6" s="1"/>
  <c r="G69" i="6"/>
  <c r="G103" i="6" s="1"/>
  <c r="D69" i="6"/>
  <c r="D103" i="6" s="1"/>
  <c r="B69" i="6"/>
  <c r="B103" i="6" s="1"/>
  <c r="E69" i="6"/>
  <c r="E103" i="6" s="1"/>
  <c r="O69" i="6"/>
  <c r="O103" i="6" s="1"/>
  <c r="F69" i="6"/>
  <c r="F103" i="6" s="1"/>
  <c r="Q43" i="6"/>
  <c r="Q77" i="6" s="1"/>
  <c r="L60" i="6"/>
  <c r="L94" i="6" s="1"/>
  <c r="I45" i="5"/>
  <c r="I79" i="5" s="1"/>
  <c r="D50" i="5"/>
  <c r="D84" i="5" s="1"/>
  <c r="L56" i="5"/>
  <c r="L90" i="5" s="1"/>
  <c r="B56" i="5"/>
  <c r="B90" i="5" s="1"/>
  <c r="B66" i="5"/>
  <c r="B100" i="5" s="1"/>
  <c r="H66" i="5"/>
  <c r="H100" i="5" s="1"/>
  <c r="G66" i="5"/>
  <c r="G100" i="5" s="1"/>
  <c r="B45" i="5"/>
  <c r="B79" i="5" s="1"/>
  <c r="F50" i="5"/>
  <c r="F84" i="5" s="1"/>
  <c r="Q50" i="5"/>
  <c r="Q84" i="5" s="1"/>
  <c r="J55" i="5"/>
  <c r="J89" i="5" s="1"/>
  <c r="O56" i="5"/>
  <c r="O90" i="5" s="1"/>
  <c r="B60" i="5"/>
  <c r="B94" i="5" s="1"/>
  <c r="O60" i="5"/>
  <c r="O94" i="5" s="1"/>
  <c r="E66" i="5"/>
  <c r="E100" i="5" s="1"/>
  <c r="N72" i="5"/>
  <c r="N106" i="5" s="1"/>
  <c r="K64" i="6"/>
  <c r="K98" i="6" s="1"/>
  <c r="N64" i="6"/>
  <c r="N98" i="6" s="1"/>
  <c r="M64" i="6"/>
  <c r="M98" i="6" s="1"/>
  <c r="B72" i="6"/>
  <c r="B106" i="6" s="1"/>
  <c r="K72" i="6"/>
  <c r="K106" i="6" s="1"/>
  <c r="F72" i="6"/>
  <c r="F106" i="6" s="1"/>
  <c r="E72" i="6"/>
  <c r="E106" i="6" s="1"/>
  <c r="D72" i="6"/>
  <c r="D106" i="6" s="1"/>
  <c r="G72" i="6"/>
  <c r="G106" i="6" s="1"/>
  <c r="C72" i="6"/>
  <c r="C106" i="6" s="1"/>
  <c r="O72" i="6"/>
  <c r="O106" i="6" s="1"/>
  <c r="C83" i="6"/>
  <c r="I84" i="6"/>
  <c r="S95" i="6"/>
  <c r="F66" i="6"/>
  <c r="F100" i="6" s="1"/>
  <c r="E66" i="6"/>
  <c r="E100" i="6" s="1"/>
  <c r="C66" i="6"/>
  <c r="C100" i="6" s="1"/>
  <c r="B66" i="6"/>
  <c r="B100" i="6" s="1"/>
  <c r="D66" i="6"/>
  <c r="D100" i="6" s="1"/>
  <c r="H66" i="6"/>
  <c r="H100" i="6" s="1"/>
  <c r="G66" i="6"/>
  <c r="G100" i="6" s="1"/>
  <c r="I66" i="6"/>
  <c r="I100" i="6" s="1"/>
  <c r="D84" i="6"/>
  <c r="L95" i="6"/>
  <c r="L64" i="6"/>
  <c r="L98" i="6" s="1"/>
  <c r="J72" i="6"/>
  <c r="J106" i="6" s="1"/>
  <c r="P54" i="5"/>
  <c r="P88" i="5" s="1"/>
  <c r="F54" i="5"/>
  <c r="F88" i="5" s="1"/>
  <c r="Q61" i="5"/>
  <c r="Q95" i="5" s="1"/>
  <c r="G61" i="5"/>
  <c r="G95" i="5" s="1"/>
  <c r="P61" i="5"/>
  <c r="P95" i="5" s="1"/>
  <c r="F61" i="5"/>
  <c r="F95" i="5" s="1"/>
  <c r="M63" i="5"/>
  <c r="M97" i="5" s="1"/>
  <c r="C63" i="5"/>
  <c r="C97" i="5" s="1"/>
  <c r="O63" i="5"/>
  <c r="O97" i="5" s="1"/>
  <c r="D63" i="5"/>
  <c r="D97" i="5" s="1"/>
  <c r="N63" i="5"/>
  <c r="N97" i="5" s="1"/>
  <c r="B63" i="5"/>
  <c r="B97" i="5" s="1"/>
  <c r="S29" i="5"/>
  <c r="M65" i="5" s="1"/>
  <c r="M99" i="5" s="1"/>
  <c r="M73" i="5"/>
  <c r="M107" i="5" s="1"/>
  <c r="C73" i="5"/>
  <c r="C107" i="5" s="1"/>
  <c r="K73" i="5"/>
  <c r="K107" i="5" s="1"/>
  <c r="J73" i="5"/>
  <c r="J107" i="5" s="1"/>
  <c r="D44" i="5"/>
  <c r="D78" i="5" s="1"/>
  <c r="J45" i="5"/>
  <c r="J79" i="5" s="1"/>
  <c r="B50" i="5"/>
  <c r="B84" i="5" s="1"/>
  <c r="M50" i="5"/>
  <c r="M84" i="5" s="1"/>
  <c r="L54" i="5"/>
  <c r="L88" i="5" s="1"/>
  <c r="F55" i="5"/>
  <c r="F89" i="5" s="1"/>
  <c r="K56" i="5"/>
  <c r="K90" i="5" s="1"/>
  <c r="E61" i="5"/>
  <c r="E95" i="5" s="1"/>
  <c r="N62" i="5"/>
  <c r="N96" i="5" s="1"/>
  <c r="J63" i="5"/>
  <c r="J97" i="5" s="1"/>
  <c r="K67" i="5"/>
  <c r="K101" i="5" s="1"/>
  <c r="K72" i="5"/>
  <c r="K106" i="5" s="1"/>
  <c r="O78" i="6"/>
  <c r="R29" i="6"/>
  <c r="H65" i="6" s="1"/>
  <c r="H99" i="6" s="1"/>
  <c r="M32" i="6"/>
  <c r="N32" i="6" s="1"/>
  <c r="P32" i="6" s="1"/>
  <c r="S68" i="6" s="1"/>
  <c r="S102" i="6" s="1"/>
  <c r="K32" i="6"/>
  <c r="T32" i="6" s="1"/>
  <c r="J68" i="6" s="1"/>
  <c r="J102" i="6" s="1"/>
  <c r="L37" i="6"/>
  <c r="J37" i="6"/>
  <c r="R37" i="6" s="1"/>
  <c r="P73" i="6" s="1"/>
  <c r="P107" i="6" s="1"/>
  <c r="I82" i="6"/>
  <c r="E84" i="6"/>
  <c r="Q90" i="6"/>
  <c r="N95" i="6"/>
  <c r="N72" i="6"/>
  <c r="N106" i="6" s="1"/>
  <c r="P44" i="5"/>
  <c r="P78" i="5" s="1"/>
  <c r="F44" i="5"/>
  <c r="F78" i="5" s="1"/>
  <c r="K49" i="5"/>
  <c r="K83" i="5" s="1"/>
  <c r="H14" i="5"/>
  <c r="M14" i="5" s="1"/>
  <c r="S52" i="5" s="1"/>
  <c r="S86" i="5" s="1"/>
  <c r="J28" i="5"/>
  <c r="R28" i="5" s="1"/>
  <c r="F64" i="5" s="1"/>
  <c r="F98" i="5" s="1"/>
  <c r="E44" i="5"/>
  <c r="E78" i="5" s="1"/>
  <c r="Q44" i="5"/>
  <c r="Q78" i="5" s="1"/>
  <c r="K45" i="5"/>
  <c r="K79" i="5" s="1"/>
  <c r="I49" i="5"/>
  <c r="I83" i="5" s="1"/>
  <c r="C50" i="5"/>
  <c r="C84" i="5" s="1"/>
  <c r="B54" i="5"/>
  <c r="B88" i="5" s="1"/>
  <c r="M54" i="5"/>
  <c r="M88" i="5" s="1"/>
  <c r="G55" i="5"/>
  <c r="G89" i="5" s="1"/>
  <c r="M56" i="5"/>
  <c r="M90" i="5" s="1"/>
  <c r="K63" i="5"/>
  <c r="K97" i="5" s="1"/>
  <c r="C66" i="5"/>
  <c r="C100" i="5" s="1"/>
  <c r="P66" i="5"/>
  <c r="P100" i="5" s="1"/>
  <c r="H11" i="6"/>
  <c r="M11" i="6" s="1"/>
  <c r="S49" i="6" s="1"/>
  <c r="S83" i="6" s="1"/>
  <c r="J51" i="6"/>
  <c r="J85" i="6" s="1"/>
  <c r="P51" i="6"/>
  <c r="P85" i="6" s="1"/>
  <c r="O51" i="6"/>
  <c r="O85" i="6" s="1"/>
  <c r="Q51" i="6"/>
  <c r="Q85" i="6" s="1"/>
  <c r="F51" i="6"/>
  <c r="F85" i="6" s="1"/>
  <c r="M51" i="6"/>
  <c r="M85" i="6" s="1"/>
  <c r="L51" i="6"/>
  <c r="L85" i="6" s="1"/>
  <c r="K51" i="6"/>
  <c r="K85" i="6" s="1"/>
  <c r="N51" i="6"/>
  <c r="N85" i="6" s="1"/>
  <c r="G51" i="6"/>
  <c r="G85" i="6" s="1"/>
  <c r="M52" i="6"/>
  <c r="M86" i="6" s="1"/>
  <c r="C52" i="6"/>
  <c r="C86" i="6" s="1"/>
  <c r="J52" i="6"/>
  <c r="J86" i="6" s="1"/>
  <c r="I52" i="6"/>
  <c r="I86" i="6" s="1"/>
  <c r="K52" i="6"/>
  <c r="K86" i="6" s="1"/>
  <c r="N52" i="6"/>
  <c r="N86" i="6" s="1"/>
  <c r="L52" i="6"/>
  <c r="L86" i="6" s="1"/>
  <c r="H52" i="6"/>
  <c r="H86" i="6" s="1"/>
  <c r="O52" i="6"/>
  <c r="O86" i="6" s="1"/>
  <c r="Q52" i="6"/>
  <c r="Q86" i="6" s="1"/>
  <c r="G52" i="6"/>
  <c r="G86" i="6" s="1"/>
  <c r="J16" i="6"/>
  <c r="O54" i="6" s="1"/>
  <c r="O88" i="6" s="1"/>
  <c r="P57" i="6"/>
  <c r="P91" i="6" s="1"/>
  <c r="J57" i="6"/>
  <c r="J91" i="6" s="1"/>
  <c r="M57" i="6"/>
  <c r="M91" i="6" s="1"/>
  <c r="L57" i="6"/>
  <c r="L91" i="6" s="1"/>
  <c r="K57" i="6"/>
  <c r="K91" i="6" s="1"/>
  <c r="N57" i="6"/>
  <c r="N91" i="6" s="1"/>
  <c r="Q57" i="6"/>
  <c r="Q91" i="6" s="1"/>
  <c r="O57" i="6"/>
  <c r="O91" i="6" s="1"/>
  <c r="E57" i="6"/>
  <c r="E91" i="6" s="1"/>
  <c r="S29" i="6"/>
  <c r="Q65" i="6" s="1"/>
  <c r="Q99" i="6" s="1"/>
  <c r="F84" i="6"/>
  <c r="F52" i="6"/>
  <c r="F86" i="6" s="1"/>
  <c r="I55" i="5"/>
  <c r="I89" i="5" s="1"/>
  <c r="J62" i="5"/>
  <c r="J96" i="5" s="1"/>
  <c r="I62" i="5"/>
  <c r="I96" i="5" s="1"/>
  <c r="J72" i="5"/>
  <c r="J106" i="5" s="1"/>
  <c r="F72" i="5"/>
  <c r="F106" i="5" s="1"/>
  <c r="E72" i="5"/>
  <c r="E106" i="5" s="1"/>
  <c r="G44" i="5"/>
  <c r="G78" i="5" s="1"/>
  <c r="J49" i="5"/>
  <c r="J83" i="5" s="1"/>
  <c r="E50" i="5"/>
  <c r="E84" i="5" s="1"/>
  <c r="P50" i="5"/>
  <c r="P84" i="5" s="1"/>
  <c r="C54" i="5"/>
  <c r="C88" i="5" s="1"/>
  <c r="N54" i="5"/>
  <c r="N88" i="5" s="1"/>
  <c r="C56" i="5"/>
  <c r="C90" i="5" s="1"/>
  <c r="N56" i="5"/>
  <c r="N90" i="5" s="1"/>
  <c r="L60" i="5"/>
  <c r="L94" i="5" s="1"/>
  <c r="L63" i="5"/>
  <c r="L97" i="5" s="1"/>
  <c r="D66" i="5"/>
  <c r="D100" i="5" s="1"/>
  <c r="P67" i="5"/>
  <c r="P101" i="5" s="1"/>
  <c r="I10" i="6"/>
  <c r="P53" i="6"/>
  <c r="P87" i="6" s="1"/>
  <c r="F53" i="6"/>
  <c r="F87" i="6" s="1"/>
  <c r="O53" i="6"/>
  <c r="O87" i="6" s="1"/>
  <c r="D53" i="6"/>
  <c r="D87" i="6" s="1"/>
  <c r="N53" i="6"/>
  <c r="N87" i="6" s="1"/>
  <c r="Q53" i="6"/>
  <c r="Q87" i="6" s="1"/>
  <c r="E53" i="6"/>
  <c r="E87" i="6" s="1"/>
  <c r="K53" i="6"/>
  <c r="K87" i="6" s="1"/>
  <c r="J53" i="6"/>
  <c r="J87" i="6" s="1"/>
  <c r="I53" i="6"/>
  <c r="I87" i="6" s="1"/>
  <c r="I20" i="6"/>
  <c r="H20" i="6"/>
  <c r="M20" i="6" s="1"/>
  <c r="S58" i="6" s="1"/>
  <c r="S92" i="6" s="1"/>
  <c r="T29" i="6"/>
  <c r="J30" i="6"/>
  <c r="Q30" i="6" s="1"/>
  <c r="M66" i="6" s="1"/>
  <c r="M100" i="6" s="1"/>
  <c r="L30" i="6"/>
  <c r="M37" i="6"/>
  <c r="K37" i="6"/>
  <c r="S37" i="6" s="1"/>
  <c r="G73" i="6" s="1"/>
  <c r="G107" i="6" s="1"/>
  <c r="B83" i="6"/>
  <c r="B57" i="6"/>
  <c r="B91" i="6" s="1"/>
  <c r="C95" i="6"/>
  <c r="B45" i="6"/>
  <c r="B79" i="6" s="1"/>
  <c r="G45" i="6"/>
  <c r="G79" i="6" s="1"/>
  <c r="Q45" i="6"/>
  <c r="Q79" i="6" s="1"/>
  <c r="F45" i="6"/>
  <c r="F79" i="6" s="1"/>
  <c r="H45" i="6"/>
  <c r="H79" i="6" s="1"/>
  <c r="D45" i="6"/>
  <c r="D79" i="6" s="1"/>
  <c r="C45" i="6"/>
  <c r="C79" i="6" s="1"/>
  <c r="P45" i="6"/>
  <c r="P79" i="6" s="1"/>
  <c r="E45" i="6"/>
  <c r="E79" i="6" s="1"/>
  <c r="Q50" i="6"/>
  <c r="Q84" i="6" s="1"/>
  <c r="G50" i="6"/>
  <c r="G84" i="6" s="1"/>
  <c r="L50" i="6"/>
  <c r="L84" i="6" s="1"/>
  <c r="M50" i="6"/>
  <c r="M84" i="6" s="1"/>
  <c r="P50" i="6"/>
  <c r="P84" i="6" s="1"/>
  <c r="B50" i="6"/>
  <c r="B84" i="6" s="1"/>
  <c r="I54" i="6"/>
  <c r="I88" i="6" s="1"/>
  <c r="Q54" i="6"/>
  <c r="Q88" i="6" s="1"/>
  <c r="J54" i="6"/>
  <c r="J88" i="6" s="1"/>
  <c r="H54" i="6"/>
  <c r="H88" i="6" s="1"/>
  <c r="K54" i="6"/>
  <c r="K88" i="6" s="1"/>
  <c r="L54" i="6"/>
  <c r="L88" i="6" s="1"/>
  <c r="G54" i="6"/>
  <c r="G88" i="6" s="1"/>
  <c r="F54" i="6"/>
  <c r="F88" i="6" s="1"/>
  <c r="M54" i="6"/>
  <c r="M88" i="6" s="1"/>
  <c r="Q28" i="6"/>
  <c r="G64" i="6" s="1"/>
  <c r="G98" i="6" s="1"/>
  <c r="N29" i="6"/>
  <c r="P29" i="6" s="1"/>
  <c r="S65" i="6" s="1"/>
  <c r="S99" i="6" s="1"/>
  <c r="K30" i="6"/>
  <c r="S30" i="6" s="1"/>
  <c r="F70" i="6"/>
  <c r="F104" i="6" s="1"/>
  <c r="M70" i="6"/>
  <c r="M104" i="6" s="1"/>
  <c r="B70" i="6"/>
  <c r="B104" i="6" s="1"/>
  <c r="G70" i="6"/>
  <c r="G104" i="6" s="1"/>
  <c r="E70" i="6"/>
  <c r="E104" i="6" s="1"/>
  <c r="N70" i="6"/>
  <c r="N104" i="6" s="1"/>
  <c r="L70" i="6"/>
  <c r="L104" i="6" s="1"/>
  <c r="D70" i="6"/>
  <c r="D104" i="6" s="1"/>
  <c r="O70" i="6"/>
  <c r="O104" i="6" s="1"/>
  <c r="T35" i="6"/>
  <c r="L71" i="6" s="1"/>
  <c r="L105" i="6" s="1"/>
  <c r="Q36" i="6"/>
  <c r="M72" i="6" s="1"/>
  <c r="M106" i="6" s="1"/>
  <c r="I83" i="6"/>
  <c r="C54" i="6"/>
  <c r="C88" i="6" s="1"/>
  <c r="G95" i="6"/>
  <c r="B68" i="6"/>
  <c r="B102" i="6" s="1"/>
  <c r="C70" i="6"/>
  <c r="C104" i="6" s="1"/>
  <c r="K4" i="6"/>
  <c r="L42" i="6" s="1"/>
  <c r="L76" i="6" s="1"/>
  <c r="J4" i="6"/>
  <c r="M42" i="6" s="1"/>
  <c r="M76" i="6" s="1"/>
  <c r="I44" i="6"/>
  <c r="I78" i="6" s="1"/>
  <c r="B44" i="6"/>
  <c r="B78" i="6" s="1"/>
  <c r="N44" i="6"/>
  <c r="N78" i="6" s="1"/>
  <c r="C44" i="6"/>
  <c r="C78" i="6" s="1"/>
  <c r="F44" i="6"/>
  <c r="F78" i="6" s="1"/>
  <c r="E44" i="6"/>
  <c r="E78" i="6" s="1"/>
  <c r="D44" i="6"/>
  <c r="D78" i="6" s="1"/>
  <c r="G44" i="6"/>
  <c r="G78" i="6" s="1"/>
  <c r="R28" i="6"/>
  <c r="P64" i="6" s="1"/>
  <c r="P98" i="6" s="1"/>
  <c r="C65" i="6"/>
  <c r="C99" i="6" s="1"/>
  <c r="K65" i="6"/>
  <c r="K99" i="6" s="1"/>
  <c r="I65" i="6"/>
  <c r="I99" i="6" s="1"/>
  <c r="F65" i="6"/>
  <c r="F99" i="6" s="1"/>
  <c r="E65" i="6"/>
  <c r="E99" i="6" s="1"/>
  <c r="D65" i="6"/>
  <c r="D99" i="6" s="1"/>
  <c r="G65" i="6"/>
  <c r="G99" i="6" s="1"/>
  <c r="T30" i="6"/>
  <c r="P44" i="6"/>
  <c r="P78" i="6" s="1"/>
  <c r="E82" i="6"/>
  <c r="J83" i="6"/>
  <c r="D54" i="6"/>
  <c r="D88" i="6" s="1"/>
  <c r="N65" i="6"/>
  <c r="N99" i="6" s="1"/>
  <c r="E68" i="6"/>
  <c r="E102" i="6" s="1"/>
  <c r="O67" i="5"/>
  <c r="O101" i="5" s="1"/>
  <c r="E67" i="5"/>
  <c r="E101" i="5" s="1"/>
  <c r="D60" i="5"/>
  <c r="D94" i="5" s="1"/>
  <c r="B67" i="5"/>
  <c r="B101" i="5" s="1"/>
  <c r="M67" i="5"/>
  <c r="M101" i="5" s="1"/>
  <c r="O46" i="6"/>
  <c r="O80" i="6" s="1"/>
  <c r="E46" i="6"/>
  <c r="E80" i="6" s="1"/>
  <c r="K46" i="6"/>
  <c r="K80" i="6" s="1"/>
  <c r="B46" i="6"/>
  <c r="B80" i="6" s="1"/>
  <c r="D46" i="6"/>
  <c r="D80" i="6" s="1"/>
  <c r="C46" i="6"/>
  <c r="C80" i="6" s="1"/>
  <c r="F46" i="6"/>
  <c r="F80" i="6" s="1"/>
  <c r="M13" i="6"/>
  <c r="S51" i="6" s="1"/>
  <c r="S85" i="6" s="1"/>
  <c r="I19" i="6"/>
  <c r="H19" i="6"/>
  <c r="M19" i="6" s="1"/>
  <c r="S57" i="6" s="1"/>
  <c r="S91" i="6" s="1"/>
  <c r="K26" i="6"/>
  <c r="S26" i="6" s="1"/>
  <c r="M26" i="6"/>
  <c r="N26" i="6" s="1"/>
  <c r="P26" i="6" s="1"/>
  <c r="S62" i="6" s="1"/>
  <c r="S96" i="6" s="1"/>
  <c r="M30" i="6"/>
  <c r="T33" i="6"/>
  <c r="Q44" i="6"/>
  <c r="Q78" i="6" s="1"/>
  <c r="J46" i="6"/>
  <c r="J80" i="6" s="1"/>
  <c r="F82" i="6"/>
  <c r="K83" i="6"/>
  <c r="E54" i="6"/>
  <c r="E88" i="6" s="1"/>
  <c r="O65" i="6"/>
  <c r="O99" i="6" s="1"/>
  <c r="N42" i="6"/>
  <c r="N76" i="6" s="1"/>
  <c r="O42" i="6"/>
  <c r="O76" i="6" s="1"/>
  <c r="O56" i="6"/>
  <c r="O90" i="6" s="1"/>
  <c r="M56" i="6"/>
  <c r="M90" i="6" s="1"/>
  <c r="C56" i="6"/>
  <c r="C90" i="6" s="1"/>
  <c r="L56" i="6"/>
  <c r="L90" i="6" s="1"/>
  <c r="K56" i="6"/>
  <c r="K90" i="6" s="1"/>
  <c r="N56" i="6"/>
  <c r="N90" i="6" s="1"/>
  <c r="L27" i="6"/>
  <c r="Q27" i="6"/>
  <c r="M28" i="6"/>
  <c r="N28" i="6" s="1"/>
  <c r="P28" i="6" s="1"/>
  <c r="S64" i="6" s="1"/>
  <c r="S98" i="6" s="1"/>
  <c r="S28" i="6"/>
  <c r="I64" i="6" s="1"/>
  <c r="I98" i="6" s="1"/>
  <c r="I67" i="6"/>
  <c r="I101" i="6" s="1"/>
  <c r="K67" i="6"/>
  <c r="K101" i="6" s="1"/>
  <c r="H67" i="6"/>
  <c r="H101" i="6" s="1"/>
  <c r="M67" i="6"/>
  <c r="M101" i="6" s="1"/>
  <c r="L67" i="6"/>
  <c r="L101" i="6" s="1"/>
  <c r="Q32" i="6"/>
  <c r="O68" i="6" s="1"/>
  <c r="O102" i="6" s="1"/>
  <c r="O73" i="6"/>
  <c r="O107" i="6" s="1"/>
  <c r="E73" i="6"/>
  <c r="E107" i="6" s="1"/>
  <c r="D73" i="6"/>
  <c r="D107" i="6" s="1"/>
  <c r="C73" i="6"/>
  <c r="C107" i="6" s="1"/>
  <c r="B73" i="6"/>
  <c r="B107" i="6" s="1"/>
  <c r="I42" i="6"/>
  <c r="I76" i="6" s="1"/>
  <c r="D48" i="6"/>
  <c r="D82" i="6" s="1"/>
  <c r="M55" i="6"/>
  <c r="M89" i="6" s="1"/>
  <c r="P56" i="6"/>
  <c r="P90" i="6" s="1"/>
  <c r="M73" i="6"/>
  <c r="M107" i="6" s="1"/>
  <c r="H47" i="6"/>
  <c r="H81" i="6" s="1"/>
  <c r="Q47" i="6"/>
  <c r="Q81" i="6" s="1"/>
  <c r="F47" i="6"/>
  <c r="F81" i="6" s="1"/>
  <c r="P47" i="6"/>
  <c r="P81" i="6" s="1"/>
  <c r="E47" i="6"/>
  <c r="E81" i="6" s="1"/>
  <c r="G47" i="6"/>
  <c r="G81" i="6" s="1"/>
  <c r="M61" i="6"/>
  <c r="M95" i="6" s="1"/>
  <c r="B61" i="6"/>
  <c r="B95" i="6" s="1"/>
  <c r="E61" i="6"/>
  <c r="E95" i="6" s="1"/>
  <c r="Q61" i="6"/>
  <c r="Q95" i="6" s="1"/>
  <c r="D61" i="6"/>
  <c r="D95" i="6" s="1"/>
  <c r="P61" i="6"/>
  <c r="P95" i="6" s="1"/>
  <c r="F61" i="6"/>
  <c r="F95" i="6" s="1"/>
  <c r="L63" i="6"/>
  <c r="L97" i="6" s="1"/>
  <c r="J63" i="6"/>
  <c r="J97" i="6" s="1"/>
  <c r="M63" i="6"/>
  <c r="M97" i="6" s="1"/>
  <c r="K63" i="6"/>
  <c r="K97" i="6" s="1"/>
  <c r="I63" i="6"/>
  <c r="I97" i="6" s="1"/>
  <c r="N63" i="6"/>
  <c r="N97" i="6" s="1"/>
  <c r="N68" i="6"/>
  <c r="N102" i="6" s="1"/>
  <c r="C68" i="6"/>
  <c r="C102" i="6" s="1"/>
  <c r="F68" i="6"/>
  <c r="F102" i="6" s="1"/>
  <c r="P68" i="6"/>
  <c r="P102" i="6" s="1"/>
  <c r="D68" i="6"/>
  <c r="D102" i="6" s="1"/>
  <c r="I68" i="6"/>
  <c r="I102" i="6" s="1"/>
  <c r="Q33" i="6"/>
  <c r="K69" i="6" s="1"/>
  <c r="K103" i="6" s="1"/>
  <c r="F42" i="6"/>
  <c r="F76" i="6" s="1"/>
  <c r="L49" i="6"/>
  <c r="L83" i="6" s="1"/>
  <c r="H56" i="6"/>
  <c r="H90" i="6" s="1"/>
  <c r="O61" i="6"/>
  <c r="O95" i="6" s="1"/>
  <c r="E63" i="6"/>
  <c r="E97" i="6" s="1"/>
  <c r="F67" i="6"/>
  <c r="F101" i="6" s="1"/>
  <c r="Q68" i="6"/>
  <c r="Q102" i="6" s="1"/>
  <c r="J73" i="6"/>
  <c r="J107" i="6" s="1"/>
  <c r="K48" i="6"/>
  <c r="K82" i="6" s="1"/>
  <c r="L48" i="6"/>
  <c r="L82" i="6" s="1"/>
  <c r="J48" i="6"/>
  <c r="J82" i="6" s="1"/>
  <c r="M48" i="6"/>
  <c r="M82" i="6" s="1"/>
  <c r="B48" i="6"/>
  <c r="B82" i="6" s="1"/>
  <c r="L55" i="6"/>
  <c r="L89" i="6" s="1"/>
  <c r="B55" i="6"/>
  <c r="B89" i="6" s="1"/>
  <c r="J55" i="6"/>
  <c r="J89" i="6" s="1"/>
  <c r="F55" i="6"/>
  <c r="F89" i="6" s="1"/>
  <c r="R33" i="6"/>
  <c r="L69" i="6" s="1"/>
  <c r="L103" i="6" s="1"/>
  <c r="G71" i="6"/>
  <c r="G105" i="6" s="1"/>
  <c r="P71" i="6"/>
  <c r="P105" i="6" s="1"/>
  <c r="D71" i="6"/>
  <c r="D105" i="6" s="1"/>
  <c r="N71" i="6"/>
  <c r="N105" i="6" s="1"/>
  <c r="B71" i="6"/>
  <c r="B105" i="6" s="1"/>
  <c r="F71" i="6"/>
  <c r="F105" i="6" s="1"/>
  <c r="E71" i="6"/>
  <c r="E105" i="6" s="1"/>
  <c r="R36" i="6"/>
  <c r="L72" i="6" s="1"/>
  <c r="L106" i="6" s="1"/>
  <c r="G42" i="6"/>
  <c r="G76" i="6" s="1"/>
  <c r="I55" i="6"/>
  <c r="I89" i="6" s="1"/>
  <c r="I56" i="6"/>
  <c r="I90" i="6" s="1"/>
  <c r="G67" i="6"/>
  <c r="G101" i="6" s="1"/>
  <c r="Q71" i="6"/>
  <c r="Q105" i="6" s="1"/>
  <c r="K73" i="6"/>
  <c r="K107" i="6" s="1"/>
  <c r="N49" i="6"/>
  <c r="N83" i="6" s="1"/>
  <c r="D49" i="6"/>
  <c r="D83" i="6" s="1"/>
  <c r="Q49" i="6"/>
  <c r="Q83" i="6" s="1"/>
  <c r="F49" i="6"/>
  <c r="F83" i="6" s="1"/>
  <c r="P49" i="6"/>
  <c r="P83" i="6" s="1"/>
  <c r="E49" i="6"/>
  <c r="E83" i="6" s="1"/>
  <c r="G49" i="6"/>
  <c r="G83" i="6" s="1"/>
  <c r="I15" i="6"/>
  <c r="N62" i="6"/>
  <c r="N96" i="6" s="1"/>
  <c r="G62" i="6"/>
  <c r="G96" i="6" s="1"/>
  <c r="O62" i="6"/>
  <c r="O96" i="6" s="1"/>
  <c r="M62" i="6"/>
  <c r="M96" i="6" s="1"/>
  <c r="L62" i="6"/>
  <c r="L96" i="6" s="1"/>
  <c r="H42" i="6"/>
  <c r="H76" i="6" s="1"/>
  <c r="C48" i="6"/>
  <c r="C82" i="6" s="1"/>
  <c r="O49" i="6"/>
  <c r="O83" i="6" s="1"/>
  <c r="K55" i="6"/>
  <c r="K89" i="6" s="1"/>
  <c r="J56" i="6"/>
  <c r="J90" i="6" s="1"/>
  <c r="F62" i="6"/>
  <c r="F96" i="6" s="1"/>
  <c r="H63" i="6"/>
  <c r="H97" i="6" s="1"/>
  <c r="J67" i="6"/>
  <c r="J101" i="6" s="1"/>
  <c r="L73" i="6"/>
  <c r="L107" i="6" s="1"/>
  <c r="J64" i="6"/>
  <c r="J98" i="6" s="1"/>
  <c r="O64" i="6"/>
  <c r="O98" i="6" s="1"/>
  <c r="D64" i="6"/>
  <c r="D98" i="6" s="1"/>
  <c r="H64" i="6"/>
  <c r="H98" i="6" s="1"/>
  <c r="K36" i="6"/>
  <c r="T36" i="6" s="1"/>
  <c r="D56" i="5" l="1"/>
  <c r="D90" i="5" s="1"/>
  <c r="N30" i="5"/>
  <c r="P30" i="5" s="1"/>
  <c r="S66" i="5" s="1"/>
  <c r="S100" i="5" s="1"/>
  <c r="F59" i="3"/>
  <c r="F93" i="3" s="1"/>
  <c r="Q37" i="6"/>
  <c r="N31" i="6"/>
  <c r="P31" i="6" s="1"/>
  <c r="S67" i="6" s="1"/>
  <c r="S101" i="6" s="1"/>
  <c r="Q31" i="6"/>
  <c r="O67" i="6" s="1"/>
  <c r="O101" i="6" s="1"/>
  <c r="S27" i="5"/>
  <c r="G63" i="5" s="1"/>
  <c r="G97" i="5" s="1"/>
  <c r="P52" i="6"/>
  <c r="P86" i="6" s="1"/>
  <c r="S28" i="5"/>
  <c r="I64" i="5" s="1"/>
  <c r="I98" i="5" s="1"/>
  <c r="M65" i="6"/>
  <c r="M99" i="6" s="1"/>
  <c r="N31" i="5"/>
  <c r="P31" i="5" s="1"/>
  <c r="S67" i="5" s="1"/>
  <c r="S101" i="5" s="1"/>
  <c r="L53" i="2"/>
  <c r="L87" i="2" s="1"/>
  <c r="S29" i="3"/>
  <c r="M65" i="3" s="1"/>
  <c r="M99" i="3" s="1"/>
  <c r="J68" i="2"/>
  <c r="J102" i="2" s="1"/>
  <c r="N68" i="2"/>
  <c r="N102" i="2" s="1"/>
  <c r="S34" i="6"/>
  <c r="Q32" i="3"/>
  <c r="O68" i="3" s="1"/>
  <c r="O102" i="3" s="1"/>
  <c r="T27" i="6"/>
  <c r="P63" i="6" s="1"/>
  <c r="P97" i="6" s="1"/>
  <c r="N45" i="3"/>
  <c r="N79" i="3" s="1"/>
  <c r="J68" i="5"/>
  <c r="J102" i="5" s="1"/>
  <c r="B51" i="3"/>
  <c r="B85" i="3" s="1"/>
  <c r="Q27" i="3"/>
  <c r="E63" i="3" s="1"/>
  <c r="E97" i="3" s="1"/>
  <c r="N35" i="2"/>
  <c r="P35" i="2" s="1"/>
  <c r="S71" i="2" s="1"/>
  <c r="S105" i="2" s="1"/>
  <c r="M69" i="6"/>
  <c r="M103" i="6" s="1"/>
  <c r="Q34" i="6"/>
  <c r="Q70" i="6" s="1"/>
  <c r="Q104" i="6" s="1"/>
  <c r="K69" i="3"/>
  <c r="K103" i="3" s="1"/>
  <c r="Q26" i="6"/>
  <c r="C62" i="6" s="1"/>
  <c r="C96" i="6" s="1"/>
  <c r="J70" i="5"/>
  <c r="J104" i="5" s="1"/>
  <c r="F64" i="6"/>
  <c r="F98" i="6" s="1"/>
  <c r="N37" i="6"/>
  <c r="P37" i="6" s="1"/>
  <c r="S73" i="6" s="1"/>
  <c r="S107" i="6" s="1"/>
  <c r="S31" i="6"/>
  <c r="C67" i="6" s="1"/>
  <c r="C101" i="6" s="1"/>
  <c r="Q36" i="3"/>
  <c r="R34" i="5"/>
  <c r="P70" i="5" s="1"/>
  <c r="P104" i="5" s="1"/>
  <c r="R37" i="2"/>
  <c r="P72" i="2"/>
  <c r="P106" i="2" s="1"/>
  <c r="K68" i="5"/>
  <c r="K102" i="5" s="1"/>
  <c r="O68" i="5"/>
  <c r="O102" i="5" s="1"/>
  <c r="P73" i="5"/>
  <c r="P107" i="5" s="1"/>
  <c r="H73" i="5"/>
  <c r="H107" i="5" s="1"/>
  <c r="J70" i="6"/>
  <c r="J104" i="6" s="1"/>
  <c r="P70" i="6"/>
  <c r="P104" i="6" s="1"/>
  <c r="P48" i="2"/>
  <c r="P82" i="2" s="1"/>
  <c r="J7" i="6"/>
  <c r="K7" i="6"/>
  <c r="L68" i="6"/>
  <c r="L102" i="6" s="1"/>
  <c r="N27" i="2"/>
  <c r="P27" i="2" s="1"/>
  <c r="S63" i="2" s="1"/>
  <c r="S97" i="2" s="1"/>
  <c r="AG112" i="3"/>
  <c r="L68" i="3"/>
  <c r="L102" i="3" s="1"/>
  <c r="S36" i="2"/>
  <c r="Q72" i="2" s="1"/>
  <c r="Q106" i="2" s="1"/>
  <c r="Q29" i="3"/>
  <c r="R29" i="3"/>
  <c r="T36" i="5"/>
  <c r="P72" i="5" s="1"/>
  <c r="P106" i="5" s="1"/>
  <c r="R33" i="3"/>
  <c r="L69" i="3" s="1"/>
  <c r="L103" i="3" s="1"/>
  <c r="N27" i="5"/>
  <c r="P27" i="5" s="1"/>
  <c r="S63" i="5" s="1"/>
  <c r="S97" i="5" s="1"/>
  <c r="J15" i="5"/>
  <c r="K15" i="5"/>
  <c r="N37" i="3"/>
  <c r="P37" i="3" s="1"/>
  <c r="S73" i="3" s="1"/>
  <c r="S107" i="3" s="1"/>
  <c r="K10" i="3"/>
  <c r="J10" i="3"/>
  <c r="E62" i="6"/>
  <c r="E96" i="6" s="1"/>
  <c r="Q46" i="6"/>
  <c r="Q80" i="6" s="1"/>
  <c r="Q35" i="6"/>
  <c r="K71" i="6" s="1"/>
  <c r="K105" i="6" s="1"/>
  <c r="Q66" i="3"/>
  <c r="Q100" i="3" s="1"/>
  <c r="M53" i="2"/>
  <c r="M87" i="2" s="1"/>
  <c r="J23" i="6"/>
  <c r="K23" i="6"/>
  <c r="C42" i="5"/>
  <c r="C76" i="5" s="1"/>
  <c r="J69" i="6"/>
  <c r="J103" i="6" s="1"/>
  <c r="I72" i="5"/>
  <c r="I106" i="5" s="1"/>
  <c r="K21" i="6"/>
  <c r="J21" i="6"/>
  <c r="J22" i="6"/>
  <c r="K22" i="6"/>
  <c r="P66" i="2"/>
  <c r="P100" i="2" s="1"/>
  <c r="L42" i="3"/>
  <c r="L76" i="3" s="1"/>
  <c r="C42" i="3"/>
  <c r="C76" i="3" s="1"/>
  <c r="J8" i="2"/>
  <c r="K8" i="2"/>
  <c r="N34" i="5"/>
  <c r="P34" i="5" s="1"/>
  <c r="S70" i="5" s="1"/>
  <c r="S104" i="5" s="1"/>
  <c r="B42" i="6"/>
  <c r="B76" i="6" s="1"/>
  <c r="N30" i="6"/>
  <c r="P30" i="6" s="1"/>
  <c r="S66" i="6" s="1"/>
  <c r="S100" i="6" s="1"/>
  <c r="S32" i="3"/>
  <c r="M68" i="3" s="1"/>
  <c r="M102" i="3" s="1"/>
  <c r="N27" i="3"/>
  <c r="P27" i="3" s="1"/>
  <c r="S63" i="3" s="1"/>
  <c r="S97" i="3" s="1"/>
  <c r="R36" i="2"/>
  <c r="L72" i="2" s="1"/>
  <c r="L106" i="2" s="1"/>
  <c r="J70" i="2"/>
  <c r="J104" i="2" s="1"/>
  <c r="K13" i="6"/>
  <c r="J13" i="6"/>
  <c r="S32" i="6"/>
  <c r="M68" i="6" s="1"/>
  <c r="M102" i="6" s="1"/>
  <c r="I70" i="6"/>
  <c r="I104" i="6" s="1"/>
  <c r="P65" i="6"/>
  <c r="P99" i="6" s="1"/>
  <c r="M69" i="3"/>
  <c r="M103" i="3" s="1"/>
  <c r="D62" i="2"/>
  <c r="D96" i="2" s="1"/>
  <c r="C67" i="3"/>
  <c r="C101" i="3" s="1"/>
  <c r="F64" i="2"/>
  <c r="F98" i="2" s="1"/>
  <c r="P67" i="6"/>
  <c r="P101" i="6" s="1"/>
  <c r="B67" i="6"/>
  <c r="B101" i="6" s="1"/>
  <c r="J69" i="2"/>
  <c r="J103" i="2" s="1"/>
  <c r="P64" i="3"/>
  <c r="P98" i="3" s="1"/>
  <c r="H64" i="3"/>
  <c r="H98" i="3" s="1"/>
  <c r="Q66" i="6"/>
  <c r="Q100" i="6" s="1"/>
  <c r="O66" i="6"/>
  <c r="O100" i="6" s="1"/>
  <c r="O21" i="4"/>
  <c r="O44" i="4"/>
  <c r="I44" i="4"/>
  <c r="I21" i="4"/>
  <c r="I70" i="2"/>
  <c r="I104" i="2" s="1"/>
  <c r="K70" i="2"/>
  <c r="K104" i="2" s="1"/>
  <c r="H72" i="6"/>
  <c r="H106" i="6" s="1"/>
  <c r="P72" i="6"/>
  <c r="P106" i="6" s="1"/>
  <c r="L71" i="5"/>
  <c r="L105" i="5" s="1"/>
  <c r="H71" i="5"/>
  <c r="H105" i="5" s="1"/>
  <c r="P64" i="5"/>
  <c r="P98" i="5" s="1"/>
  <c r="H64" i="5"/>
  <c r="H98" i="5" s="1"/>
  <c r="Q63" i="6"/>
  <c r="Q97" i="6" s="1"/>
  <c r="M72" i="5"/>
  <c r="M106" i="5" s="1"/>
  <c r="P69" i="6"/>
  <c r="P103" i="6" s="1"/>
  <c r="K15" i="6"/>
  <c r="J15" i="6"/>
  <c r="Q67" i="6"/>
  <c r="Q101" i="6" s="1"/>
  <c r="K19" i="6"/>
  <c r="J19" i="6"/>
  <c r="L46" i="6"/>
  <c r="L80" i="6" s="1"/>
  <c r="N35" i="6"/>
  <c r="P35" i="6" s="1"/>
  <c r="S71" i="6" s="1"/>
  <c r="S105" i="6" s="1"/>
  <c r="H49" i="4"/>
  <c r="K5" i="3"/>
  <c r="J5" i="3"/>
  <c r="T26" i="3"/>
  <c r="S26" i="3"/>
  <c r="E62" i="3" s="1"/>
  <c r="E96" i="3" s="1"/>
  <c r="N35" i="3"/>
  <c r="P35" i="3" s="1"/>
  <c r="S71" i="3" s="1"/>
  <c r="S105" i="3" s="1"/>
  <c r="S27" i="2"/>
  <c r="G63" i="2" s="1"/>
  <c r="G97" i="2" s="1"/>
  <c r="T27" i="2"/>
  <c r="J23" i="2"/>
  <c r="K23" i="2"/>
  <c r="N30" i="3"/>
  <c r="P30" i="3" s="1"/>
  <c r="S66" i="3" s="1"/>
  <c r="S100" i="3" s="1"/>
  <c r="K12" i="5"/>
  <c r="J12" i="5"/>
  <c r="S36" i="6"/>
  <c r="Q72" i="6" s="1"/>
  <c r="Q106" i="6" s="1"/>
  <c r="F63" i="6"/>
  <c r="F97" i="6" s="1"/>
  <c r="H71" i="6"/>
  <c r="H105" i="6" s="1"/>
  <c r="T37" i="6"/>
  <c r="N34" i="6"/>
  <c r="P34" i="6" s="1"/>
  <c r="S70" i="6" s="1"/>
  <c r="S104" i="6" s="1"/>
  <c r="L65" i="6"/>
  <c r="L99" i="6" s="1"/>
  <c r="Q63" i="3"/>
  <c r="Q97" i="3" s="1"/>
  <c r="K20" i="3"/>
  <c r="J20" i="3"/>
  <c r="S37" i="5"/>
  <c r="J6" i="2"/>
  <c r="K6" i="2"/>
  <c r="K8" i="3"/>
  <c r="J8" i="3"/>
  <c r="J14" i="2"/>
  <c r="K14" i="2"/>
  <c r="R35" i="3"/>
  <c r="J71" i="3" s="1"/>
  <c r="J105" i="3" s="1"/>
  <c r="N36" i="2"/>
  <c r="P36" i="2" s="1"/>
  <c r="S72" i="2" s="1"/>
  <c r="S106" i="2" s="1"/>
  <c r="L49" i="5"/>
  <c r="L83" i="5" s="1"/>
  <c r="Q27" i="2"/>
  <c r="T26" i="5"/>
  <c r="S26" i="5"/>
  <c r="J8" i="5"/>
  <c r="K8" i="5"/>
  <c r="N34" i="3"/>
  <c r="P34" i="3" s="1"/>
  <c r="S70" i="3" s="1"/>
  <c r="S104" i="3" s="1"/>
  <c r="M53" i="3"/>
  <c r="M87" i="3" s="1"/>
  <c r="C53" i="3"/>
  <c r="C87" i="3" s="1"/>
  <c r="J21" i="2"/>
  <c r="K21" i="2"/>
  <c r="S35" i="2"/>
  <c r="M71" i="2" s="1"/>
  <c r="M105" i="2" s="1"/>
  <c r="N34" i="2"/>
  <c r="P34" i="2" s="1"/>
  <c r="S70" i="2" s="1"/>
  <c r="S104" i="2" s="1"/>
  <c r="N37" i="2"/>
  <c r="P37" i="2" s="1"/>
  <c r="S73" i="2" s="1"/>
  <c r="S107" i="2" s="1"/>
  <c r="N66" i="6"/>
  <c r="N100" i="6" s="1"/>
  <c r="R30" i="6"/>
  <c r="L66" i="6" s="1"/>
  <c r="L100" i="6" s="1"/>
  <c r="N36" i="5"/>
  <c r="P36" i="5" s="1"/>
  <c r="S72" i="5" s="1"/>
  <c r="S106" i="5" s="1"/>
  <c r="K70" i="5"/>
  <c r="K104" i="5" s="1"/>
  <c r="Q63" i="5"/>
  <c r="Q97" i="5" s="1"/>
  <c r="S31" i="5"/>
  <c r="J23" i="5"/>
  <c r="K23" i="5"/>
  <c r="K71" i="3"/>
  <c r="K105" i="3" s="1"/>
  <c r="I71" i="3"/>
  <c r="I105" i="3" s="1"/>
  <c r="N35" i="5"/>
  <c r="P35" i="5" s="1"/>
  <c r="S71" i="5" s="1"/>
  <c r="S105" i="5" s="1"/>
  <c r="R26" i="3"/>
  <c r="B62" i="3" s="1"/>
  <c r="B96" i="3" s="1"/>
  <c r="Q26" i="3"/>
  <c r="L53" i="3"/>
  <c r="L87" i="3" s="1"/>
  <c r="B53" i="3"/>
  <c r="B87" i="3" s="1"/>
  <c r="P69" i="2"/>
  <c r="P103" i="2" s="1"/>
  <c r="D56" i="2"/>
  <c r="D90" i="2" s="1"/>
  <c r="Q33" i="2"/>
  <c r="K9" i="2"/>
  <c r="J9" i="2"/>
  <c r="J11" i="2"/>
  <c r="K11" i="2"/>
  <c r="Q26" i="2"/>
  <c r="K19" i="5"/>
  <c r="J19" i="5"/>
  <c r="K9" i="6"/>
  <c r="J9" i="6"/>
  <c r="O49" i="5"/>
  <c r="O83" i="5" s="1"/>
  <c r="M49" i="5"/>
  <c r="M83" i="5" s="1"/>
  <c r="Q34" i="3"/>
  <c r="R34" i="3"/>
  <c r="J13" i="5"/>
  <c r="K13" i="5"/>
  <c r="K16" i="5"/>
  <c r="J16" i="5"/>
  <c r="J16" i="2"/>
  <c r="K16" i="2"/>
  <c r="M72" i="3"/>
  <c r="M106" i="3" s="1"/>
  <c r="K23" i="3"/>
  <c r="J23" i="3"/>
  <c r="T119" i="3"/>
  <c r="K128" i="3" s="1"/>
  <c r="T125" i="3"/>
  <c r="Q128" i="3" s="1"/>
  <c r="M72" i="2"/>
  <c r="M106" i="2" s="1"/>
  <c r="I72" i="2"/>
  <c r="I106" i="2" s="1"/>
  <c r="K17" i="3"/>
  <c r="J17" i="3"/>
  <c r="J11" i="3"/>
  <c r="K11" i="3"/>
  <c r="J6" i="6"/>
  <c r="K6" i="6"/>
  <c r="J12" i="6"/>
  <c r="K12" i="6"/>
  <c r="T33" i="3"/>
  <c r="P128" i="2"/>
  <c r="T124" i="2" s="1"/>
  <c r="J128" i="2"/>
  <c r="T118" i="2" s="1"/>
  <c r="K18" i="3"/>
  <c r="J18" i="3"/>
  <c r="O47" i="3"/>
  <c r="O81" i="3" s="1"/>
  <c r="C47" i="3"/>
  <c r="C81" i="3" s="1"/>
  <c r="N67" i="2"/>
  <c r="N101" i="2" s="1"/>
  <c r="P67" i="2"/>
  <c r="P101" i="2" s="1"/>
  <c r="K12" i="3"/>
  <c r="J12" i="3"/>
  <c r="K13" i="2"/>
  <c r="J13" i="2"/>
  <c r="K20" i="2"/>
  <c r="J20" i="2"/>
  <c r="G56" i="2"/>
  <c r="G90" i="2" s="1"/>
  <c r="C42" i="6"/>
  <c r="C76" i="6" s="1"/>
  <c r="N27" i="6"/>
  <c r="P27" i="6" s="1"/>
  <c r="S63" i="6" s="1"/>
  <c r="S97" i="6" s="1"/>
  <c r="R29" i="5"/>
  <c r="Q29" i="5"/>
  <c r="K18" i="6"/>
  <c r="J18" i="6"/>
  <c r="Q35" i="5"/>
  <c r="Q64" i="6"/>
  <c r="Q98" i="6" s="1"/>
  <c r="I71" i="6"/>
  <c r="I105" i="6" s="1"/>
  <c r="K10" i="6"/>
  <c r="J10" i="6"/>
  <c r="Q28" i="5"/>
  <c r="K5" i="6"/>
  <c r="J5" i="6"/>
  <c r="K6" i="5"/>
  <c r="J6" i="5"/>
  <c r="S30" i="5"/>
  <c r="O66" i="5" s="1"/>
  <c r="O100" i="5" s="1"/>
  <c r="K10" i="5"/>
  <c r="J10" i="5"/>
  <c r="P67" i="3"/>
  <c r="P101" i="3" s="1"/>
  <c r="Q64" i="3"/>
  <c r="Q98" i="3" s="1"/>
  <c r="R35" i="2"/>
  <c r="J71" i="2" s="1"/>
  <c r="J105" i="2" s="1"/>
  <c r="Q35" i="2"/>
  <c r="I73" i="2"/>
  <c r="I107" i="2" s="1"/>
  <c r="T27" i="3"/>
  <c r="K7" i="5"/>
  <c r="J7" i="5"/>
  <c r="B47" i="3"/>
  <c r="B81" i="3" s="1"/>
  <c r="N47" i="3"/>
  <c r="N81" i="3" s="1"/>
  <c r="Q31" i="2"/>
  <c r="Q48" i="2"/>
  <c r="Q82" i="2" s="1"/>
  <c r="K17" i="6"/>
  <c r="J17" i="6"/>
  <c r="G56" i="5"/>
  <c r="G90" i="5" s="1"/>
  <c r="E56" i="5"/>
  <c r="E90" i="5" s="1"/>
  <c r="T36" i="3"/>
  <c r="S36" i="3"/>
  <c r="Q72" i="3" s="1"/>
  <c r="Q106" i="3" s="1"/>
  <c r="T37" i="3"/>
  <c r="S37" i="3"/>
  <c r="K19" i="3"/>
  <c r="J19" i="3"/>
  <c r="K68" i="2"/>
  <c r="K102" i="2" s="1"/>
  <c r="AG112" i="2"/>
  <c r="K4" i="2"/>
  <c r="J4" i="2"/>
  <c r="T30" i="3"/>
  <c r="J60" i="5"/>
  <c r="J94" i="5" s="1"/>
  <c r="P60" i="5"/>
  <c r="P94" i="5" s="1"/>
  <c r="K17" i="5"/>
  <c r="J17" i="5"/>
  <c r="J20" i="6"/>
  <c r="K20" i="6"/>
  <c r="T26" i="6"/>
  <c r="N36" i="3"/>
  <c r="P36" i="3" s="1"/>
  <c r="S72" i="3" s="1"/>
  <c r="S106" i="3" s="1"/>
  <c r="T118" i="3"/>
  <c r="J128" i="3" s="1"/>
  <c r="T124" i="3"/>
  <c r="P128" i="3" s="1"/>
  <c r="K19" i="2"/>
  <c r="J19" i="2"/>
  <c r="K5" i="2"/>
  <c r="J5" i="2"/>
  <c r="K60" i="5"/>
  <c r="K94" i="5" s="1"/>
  <c r="Q60" i="5"/>
  <c r="Q94" i="5" s="1"/>
  <c r="K70" i="6" l="1"/>
  <c r="K104" i="6" s="1"/>
  <c r="I73" i="6"/>
  <c r="I107" i="6" s="1"/>
  <c r="Q73" i="6"/>
  <c r="Q107" i="6" s="1"/>
  <c r="K68" i="3"/>
  <c r="K102" i="3" s="1"/>
  <c r="Q62" i="6"/>
  <c r="Q96" i="6" s="1"/>
  <c r="H71" i="3"/>
  <c r="H105" i="3" s="1"/>
  <c r="H73" i="2"/>
  <c r="H107" i="2" s="1"/>
  <c r="P73" i="2"/>
  <c r="P107" i="2" s="1"/>
  <c r="I72" i="6"/>
  <c r="I106" i="6" s="1"/>
  <c r="F59" i="6"/>
  <c r="F93" i="6" s="1"/>
  <c r="P59" i="6"/>
  <c r="P93" i="6" s="1"/>
  <c r="H65" i="3"/>
  <c r="H99" i="3" s="1"/>
  <c r="P65" i="3"/>
  <c r="P99" i="3" s="1"/>
  <c r="L46" i="2"/>
  <c r="L80" i="2" s="1"/>
  <c r="P46" i="2"/>
  <c r="P80" i="2" s="1"/>
  <c r="K68" i="6"/>
  <c r="K102" i="6" s="1"/>
  <c r="Q65" i="3"/>
  <c r="Q99" i="3" s="1"/>
  <c r="I65" i="3"/>
  <c r="I99" i="3" s="1"/>
  <c r="E51" i="6"/>
  <c r="E85" i="6" s="1"/>
  <c r="C51" i="6"/>
  <c r="C85" i="6" s="1"/>
  <c r="M46" i="2"/>
  <c r="M80" i="2" s="1"/>
  <c r="Q46" i="2"/>
  <c r="Q80" i="2" s="1"/>
  <c r="O48" i="3"/>
  <c r="O82" i="3" s="1"/>
  <c r="Q48" i="3"/>
  <c r="Q82" i="3" s="1"/>
  <c r="D51" i="6"/>
  <c r="D85" i="6" s="1"/>
  <c r="B51" i="6"/>
  <c r="B85" i="6" s="1"/>
  <c r="H61" i="6"/>
  <c r="H95" i="6" s="1"/>
  <c r="J61" i="6"/>
  <c r="J95" i="6" s="1"/>
  <c r="P48" i="3"/>
  <c r="P82" i="3" s="1"/>
  <c r="N48" i="3"/>
  <c r="N82" i="3" s="1"/>
  <c r="I61" i="6"/>
  <c r="I95" i="6" s="1"/>
  <c r="K61" i="6"/>
  <c r="K95" i="6" s="1"/>
  <c r="L53" i="5"/>
  <c r="L87" i="5" s="1"/>
  <c r="B53" i="5"/>
  <c r="B87" i="5" s="1"/>
  <c r="H72" i="5"/>
  <c r="H106" i="5" s="1"/>
  <c r="J60" i="6"/>
  <c r="J94" i="6" s="1"/>
  <c r="P60" i="6"/>
  <c r="P94" i="6" s="1"/>
  <c r="M53" i="5"/>
  <c r="M87" i="5" s="1"/>
  <c r="C53" i="5"/>
  <c r="C87" i="5" s="1"/>
  <c r="K60" i="6"/>
  <c r="K94" i="6" s="1"/>
  <c r="Q60" i="6"/>
  <c r="Q94" i="6" s="1"/>
  <c r="N45" i="6"/>
  <c r="N79" i="6" s="1"/>
  <c r="L45" i="6"/>
  <c r="L79" i="6" s="1"/>
  <c r="G59" i="6"/>
  <c r="G93" i="6" s="1"/>
  <c r="Q59" i="6"/>
  <c r="Q93" i="6" s="1"/>
  <c r="M45" i="6"/>
  <c r="M79" i="6" s="1"/>
  <c r="O45" i="6"/>
  <c r="O79" i="6" s="1"/>
  <c r="H72" i="2"/>
  <c r="H106" i="2" s="1"/>
  <c r="L43" i="2"/>
  <c r="L77" i="2" s="1"/>
  <c r="H43" i="2"/>
  <c r="H77" i="2" s="1"/>
  <c r="Q128" i="2"/>
  <c r="T125" i="2" s="1"/>
  <c r="K128" i="2"/>
  <c r="T119" i="2" s="1"/>
  <c r="Q55" i="6"/>
  <c r="Q89" i="6" s="1"/>
  <c r="E55" i="6"/>
  <c r="E89" i="6" s="1"/>
  <c r="I71" i="2"/>
  <c r="I105" i="2" s="1"/>
  <c r="K71" i="2"/>
  <c r="K105" i="2" s="1"/>
  <c r="H43" i="6"/>
  <c r="H77" i="6" s="1"/>
  <c r="L43" i="6"/>
  <c r="L77" i="6" s="1"/>
  <c r="P65" i="5"/>
  <c r="P99" i="5" s="1"/>
  <c r="H65" i="5"/>
  <c r="H99" i="5" s="1"/>
  <c r="O50" i="6"/>
  <c r="O84" i="6" s="1"/>
  <c r="K50" i="6"/>
  <c r="K84" i="6" s="1"/>
  <c r="C51" i="5"/>
  <c r="C85" i="5" s="1"/>
  <c r="E51" i="5"/>
  <c r="E85" i="5" s="1"/>
  <c r="E63" i="2"/>
  <c r="E97" i="2" s="1"/>
  <c r="Q63" i="2"/>
  <c r="Q97" i="2" s="1"/>
  <c r="I73" i="5"/>
  <c r="I107" i="5" s="1"/>
  <c r="G73" i="5"/>
  <c r="G107" i="5" s="1"/>
  <c r="H57" i="6"/>
  <c r="H91" i="6" s="1"/>
  <c r="F57" i="6"/>
  <c r="F91" i="6" s="1"/>
  <c r="G57" i="2"/>
  <c r="G91" i="2" s="1"/>
  <c r="I57" i="2"/>
  <c r="I91" i="2" s="1"/>
  <c r="P55" i="6"/>
  <c r="P89" i="6" s="1"/>
  <c r="D55" i="6"/>
  <c r="D89" i="6" s="1"/>
  <c r="G64" i="5"/>
  <c r="G98" i="5" s="1"/>
  <c r="Q64" i="5"/>
  <c r="Q98" i="5" s="1"/>
  <c r="J44" i="6"/>
  <c r="J78" i="6" s="1"/>
  <c r="L44" i="6"/>
  <c r="L78" i="6" s="1"/>
  <c r="I61" i="3"/>
  <c r="I95" i="3" s="1"/>
  <c r="K61" i="3"/>
  <c r="K95" i="3" s="1"/>
  <c r="J70" i="3"/>
  <c r="J104" i="3" s="1"/>
  <c r="P70" i="3"/>
  <c r="P104" i="3" s="1"/>
  <c r="P59" i="2"/>
  <c r="P93" i="2" s="1"/>
  <c r="F59" i="2"/>
  <c r="F93" i="2" s="1"/>
  <c r="G58" i="3"/>
  <c r="G92" i="3" s="1"/>
  <c r="M58" i="3"/>
  <c r="M92" i="3" s="1"/>
  <c r="H71" i="2"/>
  <c r="H105" i="2" s="1"/>
  <c r="H57" i="2"/>
  <c r="H91" i="2" s="1"/>
  <c r="F57" i="2"/>
  <c r="F91" i="2" s="1"/>
  <c r="I57" i="3"/>
  <c r="I91" i="3" s="1"/>
  <c r="G57" i="3"/>
  <c r="G91" i="3" s="1"/>
  <c r="Q48" i="6"/>
  <c r="Q82" i="6" s="1"/>
  <c r="O48" i="6"/>
  <c r="O82" i="6" s="1"/>
  <c r="K44" i="6"/>
  <c r="K78" i="6" s="1"/>
  <c r="M44" i="6"/>
  <c r="M78" i="6" s="1"/>
  <c r="J61" i="3"/>
  <c r="J95" i="3" s="1"/>
  <c r="H61" i="3"/>
  <c r="H95" i="3" s="1"/>
  <c r="Q70" i="3"/>
  <c r="Q104" i="3" s="1"/>
  <c r="K70" i="3"/>
  <c r="K104" i="3" s="1"/>
  <c r="Q62" i="2"/>
  <c r="Q96" i="2" s="1"/>
  <c r="C62" i="2"/>
  <c r="C96" i="2" s="1"/>
  <c r="C62" i="3"/>
  <c r="C96" i="3" s="1"/>
  <c r="Q62" i="3"/>
  <c r="Q96" i="3" s="1"/>
  <c r="Q59" i="2"/>
  <c r="Q93" i="2" s="1"/>
  <c r="G59" i="2"/>
  <c r="G93" i="2" s="1"/>
  <c r="L58" i="3"/>
  <c r="L92" i="3" s="1"/>
  <c r="F58" i="3"/>
  <c r="F92" i="3" s="1"/>
  <c r="M53" i="6"/>
  <c r="M87" i="6" s="1"/>
  <c r="C53" i="6"/>
  <c r="C87" i="6" s="1"/>
  <c r="E55" i="5"/>
  <c r="E89" i="5" s="1"/>
  <c r="Q55" i="5"/>
  <c r="Q89" i="5" s="1"/>
  <c r="H57" i="3"/>
  <c r="H91" i="3" s="1"/>
  <c r="F57" i="3"/>
  <c r="F91" i="3" s="1"/>
  <c r="O67" i="2"/>
  <c r="O101" i="2" s="1"/>
  <c r="Q67" i="2"/>
  <c r="Q101" i="2" s="1"/>
  <c r="N48" i="6"/>
  <c r="N82" i="6" s="1"/>
  <c r="P48" i="6"/>
  <c r="P82" i="6" s="1"/>
  <c r="L49" i="3"/>
  <c r="L83" i="3" s="1"/>
  <c r="N49" i="3"/>
  <c r="N83" i="3" s="1"/>
  <c r="I72" i="3"/>
  <c r="I106" i="3" s="1"/>
  <c r="L49" i="2"/>
  <c r="L83" i="2" s="1"/>
  <c r="N49" i="2"/>
  <c r="N83" i="2" s="1"/>
  <c r="K50" i="5"/>
  <c r="K84" i="5" s="1"/>
  <c r="O50" i="5"/>
  <c r="O84" i="5" s="1"/>
  <c r="D62" i="3"/>
  <c r="D96" i="3" s="1"/>
  <c r="P62" i="3"/>
  <c r="P96" i="3" s="1"/>
  <c r="B53" i="6"/>
  <c r="B87" i="6" s="1"/>
  <c r="L53" i="6"/>
  <c r="L87" i="6" s="1"/>
  <c r="P66" i="6"/>
  <c r="P100" i="6" s="1"/>
  <c r="P55" i="5"/>
  <c r="P89" i="5" s="1"/>
  <c r="D55" i="5"/>
  <c r="D89" i="5" s="1"/>
  <c r="G73" i="3"/>
  <c r="G107" i="3" s="1"/>
  <c r="I73" i="3"/>
  <c r="I107" i="3" s="1"/>
  <c r="O48" i="5"/>
  <c r="O82" i="5" s="1"/>
  <c r="Q48" i="5"/>
  <c r="Q82" i="5" s="1"/>
  <c r="G58" i="2"/>
  <c r="G92" i="2" s="1"/>
  <c r="M58" i="2"/>
  <c r="M92" i="2" s="1"/>
  <c r="G56" i="3"/>
  <c r="G90" i="3" s="1"/>
  <c r="E56" i="3"/>
  <c r="E90" i="3" s="1"/>
  <c r="O49" i="3"/>
  <c r="O83" i="3" s="1"/>
  <c r="M49" i="3"/>
  <c r="M83" i="3" s="1"/>
  <c r="O49" i="2"/>
  <c r="O83" i="2" s="1"/>
  <c r="M49" i="2"/>
  <c r="M83" i="2" s="1"/>
  <c r="B52" i="2"/>
  <c r="B86" i="2" s="1"/>
  <c r="P52" i="2"/>
  <c r="P86" i="2" s="1"/>
  <c r="J50" i="5"/>
  <c r="J84" i="5" s="1"/>
  <c r="N50" i="5"/>
  <c r="N84" i="5" s="1"/>
  <c r="M43" i="3"/>
  <c r="M77" i="3" s="1"/>
  <c r="I43" i="3"/>
  <c r="I77" i="3" s="1"/>
  <c r="F73" i="3"/>
  <c r="F107" i="3" s="1"/>
  <c r="H73" i="3"/>
  <c r="H107" i="3" s="1"/>
  <c r="N48" i="5"/>
  <c r="N82" i="5" s="1"/>
  <c r="P48" i="5"/>
  <c r="P82" i="5" s="1"/>
  <c r="F58" i="2"/>
  <c r="F92" i="2" s="1"/>
  <c r="L58" i="2"/>
  <c r="L92" i="2" s="1"/>
  <c r="D56" i="3"/>
  <c r="D90" i="3" s="1"/>
  <c r="F56" i="3"/>
  <c r="F90" i="3" s="1"/>
  <c r="Q55" i="3"/>
  <c r="Q89" i="3" s="1"/>
  <c r="E55" i="3"/>
  <c r="E89" i="3" s="1"/>
  <c r="H54" i="2"/>
  <c r="H88" i="2" s="1"/>
  <c r="D54" i="2"/>
  <c r="D88" i="2" s="1"/>
  <c r="C47" i="6"/>
  <c r="C81" i="6" s="1"/>
  <c r="O47" i="6"/>
  <c r="O81" i="6" s="1"/>
  <c r="C47" i="2"/>
  <c r="C81" i="2" s="1"/>
  <c r="O47" i="2"/>
  <c r="O81" i="2" s="1"/>
  <c r="Q52" i="2"/>
  <c r="Q86" i="2" s="1"/>
  <c r="C52" i="2"/>
  <c r="C86" i="2" s="1"/>
  <c r="H43" i="3"/>
  <c r="H77" i="3" s="1"/>
  <c r="L43" i="3"/>
  <c r="L77" i="3" s="1"/>
  <c r="M45" i="5"/>
  <c r="M79" i="5" s="1"/>
  <c r="O45" i="5"/>
  <c r="O79" i="5" s="1"/>
  <c r="I71" i="5"/>
  <c r="I105" i="5" s="1"/>
  <c r="K71" i="5"/>
  <c r="K105" i="5" s="1"/>
  <c r="E51" i="2"/>
  <c r="E85" i="2" s="1"/>
  <c r="C51" i="2"/>
  <c r="C85" i="2" s="1"/>
  <c r="P55" i="3"/>
  <c r="P89" i="3" s="1"/>
  <c r="D55" i="3"/>
  <c r="D89" i="3" s="1"/>
  <c r="E54" i="2"/>
  <c r="E88" i="2" s="1"/>
  <c r="I54" i="2"/>
  <c r="I88" i="2" s="1"/>
  <c r="B47" i="6"/>
  <c r="B81" i="6" s="1"/>
  <c r="N47" i="6"/>
  <c r="N81" i="6" s="1"/>
  <c r="B47" i="2"/>
  <c r="B81" i="2" s="1"/>
  <c r="N47" i="2"/>
  <c r="N81" i="2" s="1"/>
  <c r="L46" i="5"/>
  <c r="L80" i="5" s="1"/>
  <c r="P46" i="5"/>
  <c r="P80" i="5" s="1"/>
  <c r="Q46" i="3"/>
  <c r="Q80" i="3" s="1"/>
  <c r="M46" i="3"/>
  <c r="M80" i="3" s="1"/>
  <c r="H61" i="2"/>
  <c r="H95" i="2" s="1"/>
  <c r="J61" i="2"/>
  <c r="J95" i="2" s="1"/>
  <c r="N44" i="4"/>
  <c r="H21" i="4"/>
  <c r="N21" i="4"/>
  <c r="H44" i="4"/>
  <c r="P62" i="6"/>
  <c r="P96" i="6" s="1"/>
  <c r="D62" i="6"/>
  <c r="D96" i="6" s="1"/>
  <c r="P66" i="3"/>
  <c r="P100" i="3" s="1"/>
  <c r="N66" i="3"/>
  <c r="N100" i="3" s="1"/>
  <c r="P72" i="3"/>
  <c r="P106" i="3" s="1"/>
  <c r="H72" i="3"/>
  <c r="H106" i="3" s="1"/>
  <c r="L45" i="5"/>
  <c r="L79" i="5" s="1"/>
  <c r="N45" i="5"/>
  <c r="N79" i="5" s="1"/>
  <c r="M44" i="5"/>
  <c r="M78" i="5" s="1"/>
  <c r="K44" i="5"/>
  <c r="K78" i="5" s="1"/>
  <c r="G56" i="6"/>
  <c r="G90" i="6" s="1"/>
  <c r="E56" i="6"/>
  <c r="E90" i="6" s="1"/>
  <c r="D51" i="2"/>
  <c r="D85" i="2" s="1"/>
  <c r="B51" i="2"/>
  <c r="B85" i="2" s="1"/>
  <c r="I54" i="5"/>
  <c r="I88" i="5" s="1"/>
  <c r="E54" i="5"/>
  <c r="E88" i="5" s="1"/>
  <c r="G57" i="5"/>
  <c r="G91" i="5" s="1"/>
  <c r="I57" i="5"/>
  <c r="I91" i="5" s="1"/>
  <c r="K69" i="2"/>
  <c r="K103" i="2" s="1"/>
  <c r="M69" i="2"/>
  <c r="M103" i="2" s="1"/>
  <c r="H61" i="5"/>
  <c r="H95" i="5" s="1"/>
  <c r="J61" i="5"/>
  <c r="J95" i="5" s="1"/>
  <c r="M46" i="5"/>
  <c r="M80" i="5" s="1"/>
  <c r="Q46" i="5"/>
  <c r="Q80" i="5" s="1"/>
  <c r="L46" i="3"/>
  <c r="L80" i="3" s="1"/>
  <c r="P46" i="3"/>
  <c r="P80" i="3" s="1"/>
  <c r="K61" i="2"/>
  <c r="K95" i="2" s="1"/>
  <c r="I61" i="2"/>
  <c r="I95" i="2" s="1"/>
  <c r="F58" i="6"/>
  <c r="F92" i="6" s="1"/>
  <c r="L58" i="6"/>
  <c r="L92" i="6" s="1"/>
  <c r="C42" i="2"/>
  <c r="C76" i="2" s="1"/>
  <c r="M42" i="2"/>
  <c r="M76" i="2" s="1"/>
  <c r="F63" i="3"/>
  <c r="F97" i="3" s="1"/>
  <c r="P63" i="3"/>
  <c r="P97" i="3" s="1"/>
  <c r="L44" i="5"/>
  <c r="L78" i="5" s="1"/>
  <c r="J44" i="5"/>
  <c r="J78" i="5" s="1"/>
  <c r="D56" i="6"/>
  <c r="D90" i="6" s="1"/>
  <c r="F56" i="6"/>
  <c r="F90" i="6" s="1"/>
  <c r="O50" i="3"/>
  <c r="O84" i="3" s="1"/>
  <c r="K50" i="3"/>
  <c r="K84" i="3" s="1"/>
  <c r="P69" i="3"/>
  <c r="P103" i="3" s="1"/>
  <c r="J69" i="3"/>
  <c r="J103" i="3" s="1"/>
  <c r="H54" i="5"/>
  <c r="H88" i="5" s="1"/>
  <c r="D54" i="5"/>
  <c r="D88" i="5" s="1"/>
  <c r="H57" i="5"/>
  <c r="H91" i="5" s="1"/>
  <c r="F57" i="5"/>
  <c r="F91" i="5" s="1"/>
  <c r="K61" i="5"/>
  <c r="K95" i="5" s="1"/>
  <c r="I61" i="5"/>
  <c r="I95" i="5" s="1"/>
  <c r="E62" i="5"/>
  <c r="E96" i="5" s="1"/>
  <c r="Q62" i="5"/>
  <c r="Q96" i="5" s="1"/>
  <c r="L44" i="2"/>
  <c r="L78" i="2" s="1"/>
  <c r="J44" i="2"/>
  <c r="J78" i="2" s="1"/>
  <c r="H73" i="6"/>
  <c r="H107" i="6" s="1"/>
  <c r="F73" i="6"/>
  <c r="F107" i="6" s="1"/>
  <c r="F63" i="2"/>
  <c r="F97" i="2" s="1"/>
  <c r="P63" i="2"/>
  <c r="P97" i="2" s="1"/>
  <c r="M43" i="2"/>
  <c r="M77" i="2" s="1"/>
  <c r="I43" i="2"/>
  <c r="I77" i="2" s="1"/>
  <c r="G58" i="6"/>
  <c r="G92" i="6" s="1"/>
  <c r="M58" i="6"/>
  <c r="M92" i="6" s="1"/>
  <c r="B42" i="2"/>
  <c r="B76" i="2" s="1"/>
  <c r="L42" i="2"/>
  <c r="L76" i="2" s="1"/>
  <c r="M43" i="6"/>
  <c r="M77" i="6" s="1"/>
  <c r="I43" i="6"/>
  <c r="I77" i="6" s="1"/>
  <c r="I65" i="5"/>
  <c r="I99" i="5" s="1"/>
  <c r="Q65" i="5"/>
  <c r="Q99" i="5" s="1"/>
  <c r="N50" i="3"/>
  <c r="N84" i="3" s="1"/>
  <c r="J50" i="3"/>
  <c r="J84" i="3" s="1"/>
  <c r="N50" i="6"/>
  <c r="N84" i="6" s="1"/>
  <c r="J50" i="6"/>
  <c r="J84" i="6" s="1"/>
  <c r="D51" i="5"/>
  <c r="D85" i="5" s="1"/>
  <c r="B51" i="5"/>
  <c r="B85" i="5" s="1"/>
  <c r="C67" i="5"/>
  <c r="C101" i="5" s="1"/>
  <c r="Q67" i="5"/>
  <c r="Q101" i="5" s="1"/>
  <c r="D62" i="5"/>
  <c r="D96" i="5" s="1"/>
  <c r="P62" i="5"/>
  <c r="P96" i="5" s="1"/>
  <c r="K44" i="2"/>
  <c r="K78" i="2" s="1"/>
  <c r="M44" i="2"/>
  <c r="M78" i="2" s="1"/>
  <c r="Q66" i="5"/>
  <c r="Q100" i="5" s="1"/>
  <c r="G57" i="6"/>
  <c r="G91" i="6" s="1"/>
  <c r="I57" i="6"/>
  <c r="I91" i="6" s="1"/>
  <c r="U92" i="3" l="1" a="1"/>
  <c r="U92" i="3" s="1"/>
  <c r="V110" i="3" s="1" a="1"/>
  <c r="V110" i="3" s="1"/>
  <c r="R3" i="4" a="1"/>
  <c r="R3" i="4" s="1"/>
  <c r="U92" i="2" a="1"/>
  <c r="U92" i="2" s="1"/>
  <c r="R26" i="4" a="1"/>
  <c r="R26" i="4" s="1"/>
  <c r="U92" i="6" a="1"/>
  <c r="U92" i="5" a="1"/>
  <c r="B110" i="2" l="1" a="1"/>
  <c r="V110" i="2" a="1"/>
  <c r="V110" i="2" s="1"/>
  <c r="U92" i="5"/>
  <c r="V110" i="5" s="1" a="1"/>
  <c r="V110" i="5" s="1"/>
  <c r="U92" i="6"/>
  <c r="V110" i="6" s="1" a="1"/>
  <c r="V110" i="6" s="1"/>
  <c r="B110" i="3" a="1"/>
  <c r="B110" i="6" l="1" a="1"/>
  <c r="B110" i="6" s="1"/>
  <c r="B131" i="6" s="1" a="1"/>
  <c r="B131" i="6" s="1"/>
  <c r="V131" i="6" s="1" a="1"/>
  <c r="B110" i="2"/>
  <c r="B131" i="2" s="1" a="1"/>
  <c r="B131" i="2" s="1"/>
  <c r="V131" i="2" s="1" a="1"/>
  <c r="B110" i="3"/>
  <c r="B131" i="3" s="1" a="1"/>
  <c r="B131" i="3" s="1"/>
  <c r="B26" i="4" a="1"/>
  <c r="B26" i="4" s="1"/>
  <c r="W26" i="4" s="1" a="1"/>
  <c r="B110" i="5" a="1"/>
  <c r="B110" i="5" s="1"/>
  <c r="B131" i="5" s="1" a="1"/>
  <c r="B131" i="5" s="1"/>
  <c r="AJ155" i="6" l="1" a="1"/>
  <c r="AJ155" i="6" s="1"/>
  <c r="AJ155" i="2" a="1"/>
  <c r="B3" i="4" a="1"/>
  <c r="B3" i="4" s="1"/>
  <c r="W3" i="4" s="1" a="1"/>
  <c r="W3" i="4" s="1"/>
  <c r="AQ3" i="4" s="1" a="1"/>
  <c r="V131" i="2"/>
  <c r="Y119" i="2" s="1" a="1"/>
  <c r="V131" i="5" a="1"/>
  <c r="AJ155" i="5" a="1"/>
  <c r="V131" i="6"/>
  <c r="Y119" i="6" s="1" a="1"/>
  <c r="W26" i="4"/>
  <c r="V131" i="3" a="1"/>
  <c r="AJ155" i="3" a="1"/>
  <c r="B190" i="6" l="1" a="1"/>
  <c r="AI206" i="6" s="1" a="1"/>
  <c r="AI206" i="6" s="1"/>
  <c r="B190" i="2" a="1"/>
  <c r="AI220" i="2" s="1" a="1"/>
  <c r="AI220" i="2" s="1"/>
  <c r="AJ155" i="2"/>
  <c r="Y119" i="6"/>
  <c r="AB130" i="6" s="1" a="1"/>
  <c r="AB130" i="6" s="1"/>
  <c r="AB131" i="6" s="1"/>
  <c r="AA134" i="6" a="1"/>
  <c r="AA134" i="6" s="1"/>
  <c r="AI210" i="6" a="1"/>
  <c r="AI210" i="6" s="1"/>
  <c r="AI208" i="6" a="1"/>
  <c r="AI208" i="6" s="1"/>
  <c r="AI213" i="6" a="1"/>
  <c r="AI213" i="6" s="1"/>
  <c r="AI193" i="6" a="1"/>
  <c r="AI193" i="6" s="1"/>
  <c r="AI217" i="6" a="1"/>
  <c r="AI217" i="6" s="1"/>
  <c r="AJ155" i="5"/>
  <c r="B190" i="5" s="1" a="1"/>
  <c r="V131" i="5"/>
  <c r="Y119" i="5" s="1" a="1"/>
  <c r="V131" i="3"/>
  <c r="Y119" i="3" a="1"/>
  <c r="Y119" i="2"/>
  <c r="AB129" i="2" s="1" a="1"/>
  <c r="AB129" i="2" s="1"/>
  <c r="AB130" i="2" a="1"/>
  <c r="AB130" i="2" s="1"/>
  <c r="AB131" i="2" s="1"/>
  <c r="AA134" i="2" a="1"/>
  <c r="AA134" i="2" s="1"/>
  <c r="B63" i="4"/>
  <c r="B58" i="4"/>
  <c r="B61" i="4"/>
  <c r="B56" i="4"/>
  <c r="AQ3" i="4"/>
  <c r="B57" i="4"/>
  <c r="B62" i="4"/>
  <c r="B55" i="4"/>
  <c r="B60" i="4"/>
  <c r="B54" i="4"/>
  <c r="B59" i="4"/>
  <c r="AJ155" i="3"/>
  <c r="B190" i="3" s="1" a="1"/>
  <c r="AQ26" i="4" a="1"/>
  <c r="AI210" i="2" a="1"/>
  <c r="AI210" i="2" s="1"/>
  <c r="AI191" i="2" a="1"/>
  <c r="AI191" i="2" s="1"/>
  <c r="AI219" i="2" a="1"/>
  <c r="AI219" i="2" s="1"/>
  <c r="AI221" i="2" a="1"/>
  <c r="AI221" i="2" s="1"/>
  <c r="AI209" i="6" l="1" a="1"/>
  <c r="AI209" i="6" s="1"/>
  <c r="AI207" i="2" a="1"/>
  <c r="AI207" i="2" s="1"/>
  <c r="AI197" i="2" a="1"/>
  <c r="AI197" i="2" s="1"/>
  <c r="AI208" i="2" a="1"/>
  <c r="AI208" i="2" s="1"/>
  <c r="AI195" i="2" a="1"/>
  <c r="AI195" i="2" s="1"/>
  <c r="AI212" i="2" a="1"/>
  <c r="AI212" i="2" s="1"/>
  <c r="AI203" i="6" a="1"/>
  <c r="AI203" i="6" s="1"/>
  <c r="AI192" i="6" a="1"/>
  <c r="AI192" i="6" s="1"/>
  <c r="AI212" i="6" a="1"/>
  <c r="AI212" i="6" s="1"/>
  <c r="AI215" i="2" a="1"/>
  <c r="AI215" i="2" s="1"/>
  <c r="AI214" i="2" a="1"/>
  <c r="AI214" i="2" s="1"/>
  <c r="B190" i="6"/>
  <c r="AI190" i="6" s="1" a="1"/>
  <c r="AI190" i="6" s="1"/>
  <c r="AI194" i="6" a="1"/>
  <c r="AI194" i="6" s="1"/>
  <c r="AI214" i="6" a="1"/>
  <c r="AI214" i="6" s="1"/>
  <c r="AI207" i="6" a="1"/>
  <c r="AI207" i="6" s="1"/>
  <c r="AI196" i="6" a="1"/>
  <c r="AI196" i="6" s="1"/>
  <c r="AI216" i="6" a="1"/>
  <c r="AI216" i="6" s="1"/>
  <c r="AI195" i="6" a="1"/>
  <c r="AI195" i="6" s="1"/>
  <c r="AI197" i="6" a="1"/>
  <c r="AI197" i="6" s="1"/>
  <c r="AI198" i="6" a="1"/>
  <c r="AI198" i="6" s="1"/>
  <c r="AI218" i="6" a="1"/>
  <c r="AI218" i="6" s="1"/>
  <c r="B190" i="2"/>
  <c r="AI190" i="2" s="1" a="1"/>
  <c r="AI190" i="2" s="1"/>
  <c r="AI217" i="2" a="1"/>
  <c r="AI217" i="2" s="1"/>
  <c r="AI205" i="6" a="1"/>
  <c r="AI205" i="6" s="1"/>
  <c r="AI215" i="6" a="1"/>
  <c r="AI215" i="6" s="1"/>
  <c r="AI200" i="6" a="1"/>
  <c r="AI200" i="6" s="1"/>
  <c r="AI220" i="6" a="1"/>
  <c r="AI220" i="6" s="1"/>
  <c r="AI211" i="6" a="1"/>
  <c r="AI211" i="6" s="1"/>
  <c r="AI202" i="6" a="1"/>
  <c r="AI202" i="6" s="1"/>
  <c r="AI194" i="2" a="1"/>
  <c r="AI194" i="2" s="1"/>
  <c r="AI221" i="6" a="1"/>
  <c r="AI221" i="6" s="1"/>
  <c r="AI199" i="2" a="1"/>
  <c r="AI199" i="2" s="1"/>
  <c r="AI202" i="2" a="1"/>
  <c r="AI202" i="2" s="1"/>
  <c r="AI191" i="6" a="1"/>
  <c r="AI191" i="6" s="1"/>
  <c r="AI219" i="6" a="1"/>
  <c r="AI219" i="6" s="1"/>
  <c r="AI204" i="6" a="1"/>
  <c r="AI204" i="6" s="1"/>
  <c r="AI209" i="2" a="1"/>
  <c r="AI209" i="2" s="1"/>
  <c r="AI206" i="2" a="1"/>
  <c r="AI206" i="2" s="1"/>
  <c r="AI199" i="6" a="1"/>
  <c r="AI199" i="6" s="1"/>
  <c r="AI201" i="6" a="1"/>
  <c r="AI201" i="6" s="1"/>
  <c r="AI211" i="2" a="1"/>
  <c r="AI211" i="2" s="1"/>
  <c r="AI205" i="2" a="1"/>
  <c r="AI205" i="2" s="1"/>
  <c r="AI204" i="2" a="1"/>
  <c r="AI204" i="2" s="1"/>
  <c r="AI193" i="2" a="1"/>
  <c r="AI193" i="2" s="1"/>
  <c r="AI196" i="2" a="1"/>
  <c r="AI196" i="2" s="1"/>
  <c r="AI216" i="2" a="1"/>
  <c r="AI216" i="2" s="1"/>
  <c r="AB129" i="6" a="1"/>
  <c r="AB129" i="6" s="1"/>
  <c r="AI192" i="2" a="1"/>
  <c r="AI192" i="2" s="1"/>
  <c r="AI203" i="2" a="1"/>
  <c r="AI203" i="2" s="1"/>
  <c r="AI198" i="2" a="1"/>
  <c r="AI198" i="2" s="1"/>
  <c r="AI218" i="2" a="1"/>
  <c r="AI218" i="2" s="1"/>
  <c r="AI201" i="2" a="1"/>
  <c r="AI201" i="2" s="1"/>
  <c r="AI213" i="2" a="1"/>
  <c r="AI213" i="2" s="1"/>
  <c r="AI200" i="2" a="1"/>
  <c r="AI200" i="2" s="1"/>
  <c r="AI217" i="5" a="1"/>
  <c r="AI217" i="5" s="1"/>
  <c r="AI206" i="5" a="1"/>
  <c r="AI206" i="5" s="1"/>
  <c r="AI197" i="5" a="1"/>
  <c r="AI197" i="5" s="1"/>
  <c r="AI219" i="5" a="1"/>
  <c r="AI219" i="5" s="1"/>
  <c r="AI208" i="5" a="1"/>
  <c r="AI208" i="5" s="1"/>
  <c r="AI199" i="5" a="1"/>
  <c r="AI199" i="5" s="1"/>
  <c r="AI221" i="5" a="1"/>
  <c r="AI221" i="5" s="1"/>
  <c r="AI210" i="5" a="1"/>
  <c r="AI210" i="5" s="1"/>
  <c r="AI201" i="5" a="1"/>
  <c r="AI201" i="5" s="1"/>
  <c r="AI215" i="5" a="1"/>
  <c r="AI215" i="5" s="1"/>
  <c r="AI204" i="5" a="1"/>
  <c r="AI204" i="5" s="1"/>
  <c r="AI195" i="5" a="1"/>
  <c r="AI195" i="5" s="1"/>
  <c r="AI191" i="5" a="1"/>
  <c r="AI191" i="5" s="1"/>
  <c r="AI220" i="5" a="1"/>
  <c r="AI220" i="5" s="1"/>
  <c r="AI216" i="5" a="1"/>
  <c r="AI216" i="5" s="1"/>
  <c r="AI212" i="5" a="1"/>
  <c r="AI212" i="5" s="1"/>
  <c r="AI209" i="5" a="1"/>
  <c r="AI209" i="5" s="1"/>
  <c r="AI198" i="5" a="1"/>
  <c r="AI198" i="5" s="1"/>
  <c r="AI192" i="5" a="1"/>
  <c r="AI192" i="5" s="1"/>
  <c r="AI218" i="5" a="1"/>
  <c r="AI218" i="5" s="1"/>
  <c r="AI207" i="5" a="1"/>
  <c r="AI207" i="5" s="1"/>
  <c r="AI213" i="5" a="1"/>
  <c r="AI213" i="5" s="1"/>
  <c r="AI196" i="5" a="1"/>
  <c r="AI196" i="5" s="1"/>
  <c r="AI214" i="5" a="1"/>
  <c r="AI214" i="5" s="1"/>
  <c r="AI203" i="5" a="1"/>
  <c r="AI203" i="5" s="1"/>
  <c r="AI193" i="5" a="1"/>
  <c r="AI193" i="5" s="1"/>
  <c r="B190" i="5"/>
  <c r="AI190" i="5" s="1" a="1"/>
  <c r="AI190" i="5" s="1"/>
  <c r="AI205" i="5" a="1"/>
  <c r="AI205" i="5" s="1"/>
  <c r="AI194" i="5" a="1"/>
  <c r="AI194" i="5" s="1"/>
  <c r="AI202" i="5" a="1"/>
  <c r="AI202" i="5" s="1"/>
  <c r="AI211" i="5" a="1"/>
  <c r="AI211" i="5" s="1"/>
  <c r="AI200" i="5" a="1"/>
  <c r="AI200" i="5" s="1"/>
  <c r="W137" i="6"/>
  <c r="W146" i="6"/>
  <c r="W136" i="6"/>
  <c r="W145" i="6"/>
  <c r="W135" i="6"/>
  <c r="W143" i="6"/>
  <c r="W132" i="6"/>
  <c r="W134" i="6"/>
  <c r="W144" i="6"/>
  <c r="W133" i="6"/>
  <c r="W131" i="6"/>
  <c r="W139" i="6"/>
  <c r="W138" i="6"/>
  <c r="AP191" i="6"/>
  <c r="W140" i="6"/>
  <c r="W141" i="6"/>
  <c r="W142" i="6"/>
  <c r="AR3" i="4"/>
  <c r="W137" i="2"/>
  <c r="W145" i="2"/>
  <c r="W135" i="2"/>
  <c r="W146" i="2"/>
  <c r="W142" i="2"/>
  <c r="W144" i="2"/>
  <c r="W134" i="2"/>
  <c r="W143" i="2"/>
  <c r="W133" i="2"/>
  <c r="W132" i="2"/>
  <c r="W139" i="2"/>
  <c r="W138" i="2"/>
  <c r="W136" i="2"/>
  <c r="W141" i="2"/>
  <c r="W131" i="2"/>
  <c r="W140" i="2"/>
  <c r="AP191" i="2"/>
  <c r="C63" i="4"/>
  <c r="C58" i="4"/>
  <c r="C60" i="4"/>
  <c r="C55" i="4"/>
  <c r="C57" i="4"/>
  <c r="C61" i="4"/>
  <c r="AQ26" i="4"/>
  <c r="C56" i="4"/>
  <c r="C54" i="4"/>
  <c r="C62" i="4"/>
  <c r="C59" i="4"/>
  <c r="Y119" i="3"/>
  <c r="AB129" i="3" s="1" a="1"/>
  <c r="AB129" i="3" s="1"/>
  <c r="AI220" i="3" a="1"/>
  <c r="AI220" i="3" s="1"/>
  <c r="AI218" i="3" a="1"/>
  <c r="AI218" i="3" s="1"/>
  <c r="AI216" i="3" a="1"/>
  <c r="AI216" i="3" s="1"/>
  <c r="AI214" i="3" a="1"/>
  <c r="AI214" i="3" s="1"/>
  <c r="AI212" i="3" a="1"/>
  <c r="AI212" i="3" s="1"/>
  <c r="AI210" i="3" a="1"/>
  <c r="AI210" i="3" s="1"/>
  <c r="AI208" i="3" a="1"/>
  <c r="AI208" i="3" s="1"/>
  <c r="AI206" i="3" a="1"/>
  <c r="AI206" i="3" s="1"/>
  <c r="AI204" i="3" a="1"/>
  <c r="AI204" i="3" s="1"/>
  <c r="AI202" i="3" a="1"/>
  <c r="AI202" i="3" s="1"/>
  <c r="AI200" i="3" a="1"/>
  <c r="AI200" i="3" s="1"/>
  <c r="AI198" i="3" a="1"/>
  <c r="AI198" i="3" s="1"/>
  <c r="AI196" i="3" a="1"/>
  <c r="AI196" i="3" s="1"/>
  <c r="AI194" i="3" a="1"/>
  <c r="AI194" i="3" s="1"/>
  <c r="AI192" i="3" a="1"/>
  <c r="AI192" i="3" s="1"/>
  <c r="AI221" i="3" a="1"/>
  <c r="AI221" i="3" s="1"/>
  <c r="AI201" i="3" a="1"/>
  <c r="AI201" i="3" s="1"/>
  <c r="AI209" i="3" a="1"/>
  <c r="AI209" i="3" s="1"/>
  <c r="AI217" i="3" a="1"/>
  <c r="AI217" i="3" s="1"/>
  <c r="AI197" i="3" a="1"/>
  <c r="AI197" i="3" s="1"/>
  <c r="AI219" i="3" a="1"/>
  <c r="AI219" i="3" s="1"/>
  <c r="AI215" i="3" a="1"/>
  <c r="AI215" i="3" s="1"/>
  <c r="AI207" i="3" a="1"/>
  <c r="AI207" i="3" s="1"/>
  <c r="AI203" i="3" a="1"/>
  <c r="AI203" i="3" s="1"/>
  <c r="AI195" i="3" a="1"/>
  <c r="AI195" i="3" s="1"/>
  <c r="B190" i="3"/>
  <c r="AI190" i="3" s="1" a="1"/>
  <c r="AI190" i="3" s="1"/>
  <c r="AI211" i="3" a="1"/>
  <c r="AI211" i="3" s="1"/>
  <c r="AI193" i="3" a="1"/>
  <c r="AI193" i="3" s="1"/>
  <c r="AI199" i="3" a="1"/>
  <c r="AI199" i="3" s="1"/>
  <c r="AI205" i="3" a="1"/>
  <c r="AI205" i="3" s="1"/>
  <c r="AI213" i="3" a="1"/>
  <c r="AI213" i="3" s="1"/>
  <c r="AI191" i="3" a="1"/>
  <c r="AI191" i="3" s="1"/>
  <c r="Y119" i="5"/>
  <c r="AB129" i="5" s="1" a="1"/>
  <c r="AB129" i="5" s="1"/>
  <c r="AB130" i="5" l="1" a="1"/>
  <c r="AB130" i="5" s="1"/>
  <c r="AB131" i="5" s="1"/>
  <c r="W145" i="5" s="1"/>
  <c r="W146" i="5"/>
  <c r="W138" i="5"/>
  <c r="W142" i="5"/>
  <c r="W131" i="5"/>
  <c r="W141" i="5"/>
  <c r="W140" i="5"/>
  <c r="AP191" i="5"/>
  <c r="W143" i="5"/>
  <c r="W134" i="5"/>
  <c r="W139" i="5"/>
  <c r="W133" i="5"/>
  <c r="AK192" i="2"/>
  <c r="AL192" i="2" s="1"/>
  <c r="AM192" i="2" s="1"/>
  <c r="AK190" i="2"/>
  <c r="AL190" i="2" s="1"/>
  <c r="AM190" i="2" s="1"/>
  <c r="AK215" i="2"/>
  <c r="AL215" i="2" s="1"/>
  <c r="AM215" i="2" s="1"/>
  <c r="AK205" i="2"/>
  <c r="AL205" i="2" s="1"/>
  <c r="AM205" i="2" s="1"/>
  <c r="AK195" i="2"/>
  <c r="AL195" i="2" s="1"/>
  <c r="AM195" i="2" s="1"/>
  <c r="AK220" i="2"/>
  <c r="AL220" i="2" s="1"/>
  <c r="AM220" i="2" s="1"/>
  <c r="AK210" i="2"/>
  <c r="AL210" i="2" s="1"/>
  <c r="AM210" i="2" s="1"/>
  <c r="AK200" i="2"/>
  <c r="AL200" i="2" s="1"/>
  <c r="AM200" i="2" s="1"/>
  <c r="AK212" i="2"/>
  <c r="AL212" i="2" s="1"/>
  <c r="AM212" i="2" s="1"/>
  <c r="AK217" i="2"/>
  <c r="AL217" i="2" s="1"/>
  <c r="AM217" i="2" s="1"/>
  <c r="AK207" i="2"/>
  <c r="AL207" i="2" s="1"/>
  <c r="AM207" i="2" s="1"/>
  <c r="AK197" i="2"/>
  <c r="AL197" i="2" s="1"/>
  <c r="AM197" i="2" s="1"/>
  <c r="AK202" i="2"/>
  <c r="AL202" i="2" s="1"/>
  <c r="AM202" i="2" s="1"/>
  <c r="AK218" i="2"/>
  <c r="AL218" i="2" s="1"/>
  <c r="AM218" i="2" s="1"/>
  <c r="AK208" i="2"/>
  <c r="AL208" i="2" s="1"/>
  <c r="AM208" i="2" s="1"/>
  <c r="AK198" i="2"/>
  <c r="AL198" i="2" s="1"/>
  <c r="AM198" i="2" s="1"/>
  <c r="AK191" i="2"/>
  <c r="AL191" i="2" s="1"/>
  <c r="AM191" i="2" s="1"/>
  <c r="AK219" i="2"/>
  <c r="AL219" i="2" s="1"/>
  <c r="AM219" i="2" s="1"/>
  <c r="AK209" i="2"/>
  <c r="AL209" i="2" s="1"/>
  <c r="AM209" i="2" s="1"/>
  <c r="AK199" i="2"/>
  <c r="AL199" i="2" s="1"/>
  <c r="AM199" i="2" s="1"/>
  <c r="AK214" i="2"/>
  <c r="AL214" i="2" s="1"/>
  <c r="AM214" i="2" s="1"/>
  <c r="AK204" i="2"/>
  <c r="AL204" i="2" s="1"/>
  <c r="AM204" i="2" s="1"/>
  <c r="AK194" i="2"/>
  <c r="AL194" i="2" s="1"/>
  <c r="AM194" i="2" s="1"/>
  <c r="AK221" i="2"/>
  <c r="AL221" i="2" s="1"/>
  <c r="AM221" i="2" s="1"/>
  <c r="AK211" i="2"/>
  <c r="AL211" i="2" s="1"/>
  <c r="AM211" i="2" s="1"/>
  <c r="AK201" i="2"/>
  <c r="AL201" i="2" s="1"/>
  <c r="AM201" i="2" s="1"/>
  <c r="AK206" i="2"/>
  <c r="AL206" i="2" s="1"/>
  <c r="AM206" i="2" s="1"/>
  <c r="AK196" i="2"/>
  <c r="AL196" i="2" s="1"/>
  <c r="AM196" i="2" s="1"/>
  <c r="AK203" i="2"/>
  <c r="AL203" i="2" s="1"/>
  <c r="AM203" i="2" s="1"/>
  <c r="AK213" i="2"/>
  <c r="AL213" i="2" s="1"/>
  <c r="AM213" i="2" s="1"/>
  <c r="AK193" i="2"/>
  <c r="AL193" i="2" s="1"/>
  <c r="AM193" i="2" s="1"/>
  <c r="AK216" i="2"/>
  <c r="AL216" i="2" s="1"/>
  <c r="AM216" i="2" s="1"/>
  <c r="AO192" i="2"/>
  <c r="AK192" i="6"/>
  <c r="AL192" i="6" s="1"/>
  <c r="AM192" i="6" s="1"/>
  <c r="AK190" i="6"/>
  <c r="AL190" i="6" s="1"/>
  <c r="AM190" i="6" s="1"/>
  <c r="AK220" i="6"/>
  <c r="AL220" i="6" s="1"/>
  <c r="AM220" i="6" s="1"/>
  <c r="AK216" i="6"/>
  <c r="AL216" i="6" s="1"/>
  <c r="AM216" i="6" s="1"/>
  <c r="AK207" i="6"/>
  <c r="AL207" i="6" s="1"/>
  <c r="AM207" i="6" s="1"/>
  <c r="AK196" i="6"/>
  <c r="AL196" i="6" s="1"/>
  <c r="AM196" i="6" s="1"/>
  <c r="AK210" i="6"/>
  <c r="AL210" i="6" s="1"/>
  <c r="AM210" i="6" s="1"/>
  <c r="AK221" i="6"/>
  <c r="AL221" i="6" s="1"/>
  <c r="AM221" i="6" s="1"/>
  <c r="AK215" i="6"/>
  <c r="AL215" i="6" s="1"/>
  <c r="AM215" i="6" s="1"/>
  <c r="AK204" i="6"/>
  <c r="AL204" i="6" s="1"/>
  <c r="AM204" i="6" s="1"/>
  <c r="AK212" i="6"/>
  <c r="AL212" i="6" s="1"/>
  <c r="AM212" i="6" s="1"/>
  <c r="AK208" i="6"/>
  <c r="AL208" i="6" s="1"/>
  <c r="AM208" i="6" s="1"/>
  <c r="AK197" i="6"/>
  <c r="AL197" i="6" s="1"/>
  <c r="AM197" i="6" s="1"/>
  <c r="AK211" i="6"/>
  <c r="AL211" i="6" s="1"/>
  <c r="AM211" i="6" s="1"/>
  <c r="AK194" i="6"/>
  <c r="AL194" i="6" s="1"/>
  <c r="AM194" i="6" s="1"/>
  <c r="AK191" i="6"/>
  <c r="AL191" i="6" s="1"/>
  <c r="AM191" i="6" s="1"/>
  <c r="AK214" i="6"/>
  <c r="AL214" i="6" s="1"/>
  <c r="AM214" i="6" s="1"/>
  <c r="AK193" i="6"/>
  <c r="AL193" i="6" s="1"/>
  <c r="AM193" i="6" s="1"/>
  <c r="AK198" i="6"/>
  <c r="AL198" i="6" s="1"/>
  <c r="AM198" i="6" s="1"/>
  <c r="AK219" i="6"/>
  <c r="AL219" i="6" s="1"/>
  <c r="AM219" i="6" s="1"/>
  <c r="AK213" i="6"/>
  <c r="AL213" i="6" s="1"/>
  <c r="AM213" i="6" s="1"/>
  <c r="AK218" i="6"/>
  <c r="AL218" i="6" s="1"/>
  <c r="AM218" i="6" s="1"/>
  <c r="AK209" i="6"/>
  <c r="AL209" i="6" s="1"/>
  <c r="AM209" i="6" s="1"/>
  <c r="AK200" i="6"/>
  <c r="AL200" i="6" s="1"/>
  <c r="AM200" i="6" s="1"/>
  <c r="AK217" i="6"/>
  <c r="AL217" i="6" s="1"/>
  <c r="AM217" i="6" s="1"/>
  <c r="AK199" i="6"/>
  <c r="AL199" i="6" s="1"/>
  <c r="AM199" i="6" s="1"/>
  <c r="AK206" i="6"/>
  <c r="AL206" i="6" s="1"/>
  <c r="AM206" i="6" s="1"/>
  <c r="AK201" i="6"/>
  <c r="AL201" i="6" s="1"/>
  <c r="AM201" i="6" s="1"/>
  <c r="AK195" i="6"/>
  <c r="AL195" i="6" s="1"/>
  <c r="AM195" i="6" s="1"/>
  <c r="AK202" i="6"/>
  <c r="AL202" i="6" s="1"/>
  <c r="AM202" i="6" s="1"/>
  <c r="AK205" i="6"/>
  <c r="AL205" i="6" s="1"/>
  <c r="AM205" i="6" s="1"/>
  <c r="AK203" i="6"/>
  <c r="AL203" i="6" s="1"/>
  <c r="AM203" i="6" s="1"/>
  <c r="AO192" i="6"/>
  <c r="AA134" i="3" a="1"/>
  <c r="AA134" i="3" s="1"/>
  <c r="AA134" i="5" a="1"/>
  <c r="AA134" i="5" s="1"/>
  <c r="AB130" i="3" a="1"/>
  <c r="AB130" i="3" s="1"/>
  <c r="AB131" i="3" s="1"/>
  <c r="AS4" i="4"/>
  <c r="AS10" i="4"/>
  <c r="E55" i="4" s="1"/>
  <c r="AS17" i="4"/>
  <c r="E62" i="4" s="1"/>
  <c r="AS8" i="4"/>
  <c r="AS18" i="4"/>
  <c r="E63" i="4" s="1"/>
  <c r="AS16" i="4"/>
  <c r="E61" i="4" s="1"/>
  <c r="AS6" i="4"/>
  <c r="AS13" i="4"/>
  <c r="E58" i="4" s="1"/>
  <c r="AS15" i="4"/>
  <c r="E60" i="4" s="1"/>
  <c r="AS12" i="4"/>
  <c r="E57" i="4" s="1"/>
  <c r="AS5" i="4"/>
  <c r="AS11" i="4"/>
  <c r="E56" i="4" s="1"/>
  <c r="AS14" i="4"/>
  <c r="E59" i="4" s="1"/>
  <c r="AS9" i="4"/>
  <c r="E54" i="4" s="1"/>
  <c r="AS7" i="4"/>
  <c r="AS3" i="4"/>
  <c r="W137" i="5" l="1"/>
  <c r="W136" i="5"/>
  <c r="W132" i="5"/>
  <c r="W135" i="5"/>
  <c r="W144" i="5"/>
  <c r="AK190" i="5"/>
  <c r="AL190" i="5" s="1"/>
  <c r="AM190" i="5" s="1"/>
  <c r="AK219" i="5"/>
  <c r="AL219" i="5" s="1"/>
  <c r="AM219" i="5" s="1"/>
  <c r="AK208" i="5"/>
  <c r="AL208" i="5" s="1"/>
  <c r="AM208" i="5" s="1"/>
  <c r="AK199" i="5"/>
  <c r="AL199" i="5" s="1"/>
  <c r="AM199" i="5" s="1"/>
  <c r="AK221" i="5"/>
  <c r="AL221" i="5" s="1"/>
  <c r="AM221" i="5" s="1"/>
  <c r="AK210" i="5"/>
  <c r="AL210" i="5" s="1"/>
  <c r="AM210" i="5" s="1"/>
  <c r="AK201" i="5"/>
  <c r="AL201" i="5" s="1"/>
  <c r="AM201" i="5" s="1"/>
  <c r="AK212" i="5"/>
  <c r="AL212" i="5" s="1"/>
  <c r="AM212" i="5" s="1"/>
  <c r="AK203" i="5"/>
  <c r="AL203" i="5" s="1"/>
  <c r="AM203" i="5" s="1"/>
  <c r="AK217" i="5"/>
  <c r="AL217" i="5" s="1"/>
  <c r="AM217" i="5" s="1"/>
  <c r="AK206" i="5"/>
  <c r="AL206" i="5" s="1"/>
  <c r="AM206" i="5" s="1"/>
  <c r="AK197" i="5"/>
  <c r="AL197" i="5" s="1"/>
  <c r="AM197" i="5" s="1"/>
  <c r="AK193" i="5"/>
  <c r="AL193" i="5" s="1"/>
  <c r="AM193" i="5" s="1"/>
  <c r="AK198" i="5"/>
  <c r="AL198" i="5" s="1"/>
  <c r="AM198" i="5" s="1"/>
  <c r="AK192" i="5"/>
  <c r="AL192" i="5" s="1"/>
  <c r="AM192" i="5" s="1"/>
  <c r="AK218" i="5"/>
  <c r="AL218" i="5" s="1"/>
  <c r="AM218" i="5" s="1"/>
  <c r="AK207" i="5"/>
  <c r="AL207" i="5" s="1"/>
  <c r="AM207" i="5" s="1"/>
  <c r="AK213" i="5"/>
  <c r="AL213" i="5" s="1"/>
  <c r="AM213" i="5" s="1"/>
  <c r="AK196" i="5"/>
  <c r="AL196" i="5" s="1"/>
  <c r="AM196" i="5" s="1"/>
  <c r="AK202" i="5"/>
  <c r="AL202" i="5" s="1"/>
  <c r="AM202" i="5" s="1"/>
  <c r="AK220" i="5"/>
  <c r="AL220" i="5" s="1"/>
  <c r="AM220" i="5" s="1"/>
  <c r="AK209" i="5"/>
  <c r="AL209" i="5" s="1"/>
  <c r="AM209" i="5" s="1"/>
  <c r="AK216" i="5"/>
  <c r="AL216" i="5" s="1"/>
  <c r="AM216" i="5" s="1"/>
  <c r="AK205" i="5"/>
  <c r="AL205" i="5" s="1"/>
  <c r="AM205" i="5" s="1"/>
  <c r="AK195" i="5"/>
  <c r="AL195" i="5" s="1"/>
  <c r="AM195" i="5" s="1"/>
  <c r="AK215" i="5"/>
  <c r="AL215" i="5" s="1"/>
  <c r="AM215" i="5" s="1"/>
  <c r="AK194" i="5"/>
  <c r="AL194" i="5" s="1"/>
  <c r="AM194" i="5" s="1"/>
  <c r="AK214" i="5"/>
  <c r="AL214" i="5" s="1"/>
  <c r="AM214" i="5" s="1"/>
  <c r="AK204" i="5"/>
  <c r="AL204" i="5" s="1"/>
  <c r="AM204" i="5" s="1"/>
  <c r="AK200" i="5"/>
  <c r="AL200" i="5" s="1"/>
  <c r="AM200" i="5" s="1"/>
  <c r="AK191" i="5"/>
  <c r="AL191" i="5" s="1"/>
  <c r="AM191" i="5" s="1"/>
  <c r="AK211" i="5"/>
  <c r="AL211" i="5" s="1"/>
  <c r="AM211" i="5" s="1"/>
  <c r="AO192" i="5"/>
  <c r="AR26" i="4"/>
  <c r="W137" i="3"/>
  <c r="W146" i="3"/>
  <c r="W136" i="3"/>
  <c r="W143" i="3"/>
  <c r="W133" i="3"/>
  <c r="W140" i="3"/>
  <c r="AP191" i="3"/>
  <c r="W138" i="3"/>
  <c r="W141" i="3"/>
  <c r="W131" i="3"/>
  <c r="W134" i="3"/>
  <c r="W132" i="3"/>
  <c r="W145" i="3"/>
  <c r="W144" i="3"/>
  <c r="W142" i="3"/>
  <c r="W139" i="3"/>
  <c r="W135" i="3"/>
  <c r="AS39" i="4" l="1"/>
  <c r="F61" i="4" s="1"/>
  <c r="AS33" i="4"/>
  <c r="F55" i="4" s="1"/>
  <c r="AS36" i="4"/>
  <c r="F58" i="4" s="1"/>
  <c r="AS31" i="4"/>
  <c r="AS35" i="4"/>
  <c r="F57" i="4" s="1"/>
  <c r="AS38" i="4"/>
  <c r="F60" i="4" s="1"/>
  <c r="AS34" i="4"/>
  <c r="F56" i="4" s="1"/>
  <c r="AS40" i="4"/>
  <c r="F62" i="4" s="1"/>
  <c r="AS37" i="4"/>
  <c r="F59" i="4" s="1"/>
  <c r="AS32" i="4"/>
  <c r="F54" i="4" s="1"/>
  <c r="AS29" i="4"/>
  <c r="AS28" i="4"/>
  <c r="AS41" i="4"/>
  <c r="F63" i="4" s="1"/>
  <c r="AS27" i="4"/>
  <c r="AS30" i="4"/>
  <c r="AS26" i="4"/>
  <c r="AK220" i="3"/>
  <c r="AL220" i="3" s="1"/>
  <c r="AM220" i="3" s="1"/>
  <c r="AK218" i="3"/>
  <c r="AL218" i="3" s="1"/>
  <c r="AM218" i="3" s="1"/>
  <c r="AK216" i="3"/>
  <c r="AL216" i="3" s="1"/>
  <c r="AM216" i="3" s="1"/>
  <c r="AK214" i="3"/>
  <c r="AL214" i="3" s="1"/>
  <c r="AM214" i="3" s="1"/>
  <c r="AK212" i="3"/>
  <c r="AL212" i="3" s="1"/>
  <c r="AM212" i="3" s="1"/>
  <c r="AK210" i="3"/>
  <c r="AL210" i="3" s="1"/>
  <c r="AM210" i="3" s="1"/>
  <c r="AK208" i="3"/>
  <c r="AL208" i="3" s="1"/>
  <c r="AM208" i="3" s="1"/>
  <c r="AK206" i="3"/>
  <c r="AL206" i="3" s="1"/>
  <c r="AM206" i="3" s="1"/>
  <c r="AK204" i="3"/>
  <c r="AL204" i="3" s="1"/>
  <c r="AM204" i="3" s="1"/>
  <c r="AK202" i="3"/>
  <c r="AL202" i="3" s="1"/>
  <c r="AM202" i="3" s="1"/>
  <c r="AK200" i="3"/>
  <c r="AL200" i="3" s="1"/>
  <c r="AM200" i="3" s="1"/>
  <c r="AK198" i="3"/>
  <c r="AL198" i="3" s="1"/>
  <c r="AM198" i="3" s="1"/>
  <c r="AK196" i="3"/>
  <c r="AL196" i="3" s="1"/>
  <c r="AM196" i="3" s="1"/>
  <c r="AK194" i="3"/>
  <c r="AL194" i="3" s="1"/>
  <c r="AM194" i="3" s="1"/>
  <c r="AK192" i="3"/>
  <c r="AL192" i="3" s="1"/>
  <c r="AM192" i="3" s="1"/>
  <c r="AK215" i="3"/>
  <c r="AL215" i="3" s="1"/>
  <c r="AM215" i="3" s="1"/>
  <c r="AK195" i="3"/>
  <c r="AL195" i="3" s="1"/>
  <c r="AM195" i="3" s="1"/>
  <c r="AO192" i="3"/>
  <c r="AK190" i="3"/>
  <c r="AL190" i="3" s="1"/>
  <c r="AM190" i="3" s="1"/>
  <c r="AK211" i="3"/>
  <c r="AL211" i="3" s="1"/>
  <c r="AM211" i="3" s="1"/>
  <c r="AK199" i="3"/>
  <c r="AL199" i="3" s="1"/>
  <c r="AM199" i="3" s="1"/>
  <c r="AK219" i="3"/>
  <c r="AL219" i="3" s="1"/>
  <c r="AM219" i="3" s="1"/>
  <c r="AK207" i="3"/>
  <c r="AL207" i="3" s="1"/>
  <c r="AM207" i="3" s="1"/>
  <c r="AK203" i="3"/>
  <c r="AL203" i="3" s="1"/>
  <c r="AM203" i="3" s="1"/>
  <c r="AK221" i="3"/>
  <c r="AL221" i="3" s="1"/>
  <c r="AM221" i="3" s="1"/>
  <c r="AK209" i="3"/>
  <c r="AL209" i="3" s="1"/>
  <c r="AM209" i="3" s="1"/>
  <c r="AK193" i="3"/>
  <c r="AL193" i="3" s="1"/>
  <c r="AM193" i="3" s="1"/>
  <c r="AK213" i="3"/>
  <c r="AL213" i="3" s="1"/>
  <c r="AM213" i="3" s="1"/>
  <c r="AK197" i="3"/>
  <c r="AL197" i="3" s="1"/>
  <c r="AM197" i="3" s="1"/>
  <c r="AK217" i="3"/>
  <c r="AL217" i="3" s="1"/>
  <c r="AM217" i="3" s="1"/>
  <c r="AK205" i="3"/>
  <c r="AL205" i="3" s="1"/>
  <c r="AM205" i="3" s="1"/>
  <c r="AK201" i="3"/>
  <c r="AL201" i="3" s="1"/>
  <c r="AM201" i="3" s="1"/>
  <c r="AK191" i="3"/>
  <c r="AL191" i="3" s="1"/>
  <c r="AM191" i="3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<sst xmlns="http://schemas.openxmlformats.org/spreadsheetml/2006/main" count="603" uniqueCount="115">
  <si>
    <t>ID</t>
  </si>
  <si>
    <t>Wyniki pomiaru wyjściowego</t>
  </si>
  <si>
    <t>Wyniki pomiaru aktualnego</t>
  </si>
  <si>
    <t>Współrzedne przybliżone</t>
  </si>
  <si>
    <t>c</t>
  </si>
  <si>
    <t>l</t>
  </si>
  <si>
    <t>p</t>
  </si>
  <si>
    <r>
      <t>L</t>
    </r>
    <r>
      <rPr>
        <sz val="6"/>
        <color rgb="FF000000"/>
        <rFont val="Arial"/>
        <family val="2"/>
      </rPr>
      <t>obs.</t>
    </r>
    <r>
      <rPr>
        <sz val="6"/>
        <color rgb="FF000000"/>
        <rFont val="Arial"/>
        <family val="2"/>
      </rPr>
      <t xml:space="preserve"> [m]</t>
    </r>
  </si>
  <si>
    <t>NR</t>
  </si>
  <si>
    <t>Xo</t>
  </si>
  <si>
    <t>Yo</t>
  </si>
  <si>
    <t>σβ</t>
  </si>
  <si>
    <t>cc</t>
  </si>
  <si>
    <t>σd</t>
  </si>
  <si>
    <t>0,001+10-6d</t>
  </si>
  <si>
    <t>m</t>
  </si>
  <si>
    <t>L obs [m]</t>
  </si>
  <si>
    <t>∆x</t>
  </si>
  <si>
    <t>∆y</t>
  </si>
  <si>
    <t>L przyb [m]</t>
  </si>
  <si>
    <t>Az [g]</t>
  </si>
  <si>
    <t>Sin Az</t>
  </si>
  <si>
    <t>Cos Az</t>
  </si>
  <si>
    <t>Błąd [m]</t>
  </si>
  <si>
    <t>l [m]</t>
  </si>
  <si>
    <r>
      <rPr>
        <b/>
        <sz val="11"/>
        <color theme="1"/>
        <rFont val="Symbol"/>
        <family val="1"/>
      </rPr>
      <t>b</t>
    </r>
    <r>
      <rPr>
        <b/>
        <sz val="11"/>
        <color theme="1"/>
        <rFont val="Calibri"/>
        <family val="2"/>
        <scheme val="minor"/>
      </rPr>
      <t xml:space="preserve"> obs [g]</t>
    </r>
  </si>
  <si>
    <t>∆xcl</t>
  </si>
  <si>
    <t>∆ycl</t>
  </si>
  <si>
    <t>∆xcp</t>
  </si>
  <si>
    <t>∆ycp</t>
  </si>
  <si>
    <r>
      <t>d</t>
    </r>
    <r>
      <rPr>
        <b/>
        <sz val="11"/>
        <color theme="1"/>
        <rFont val="Aptos Narrow"/>
        <family val="2"/>
      </rPr>
      <t>²</t>
    </r>
    <r>
      <rPr>
        <b/>
        <sz val="11"/>
        <color theme="1"/>
        <rFont val="Aptos Narrow"/>
        <family val="2"/>
      </rPr>
      <t>cl</t>
    </r>
  </si>
  <si>
    <t>d²cp</t>
  </si>
  <si>
    <t>Az cl [g]</t>
  </si>
  <si>
    <t>Az cp [g]</t>
  </si>
  <si>
    <r>
      <rPr>
        <b/>
        <sz val="11"/>
        <color theme="1"/>
        <rFont val="Symbol"/>
        <family val="1"/>
      </rPr>
      <t>b</t>
    </r>
    <r>
      <rPr>
        <b/>
        <sz val="11"/>
        <color theme="1"/>
        <rFont val="Calibri"/>
        <family val="2"/>
        <scheme val="minor"/>
      </rPr>
      <t xml:space="preserve"> przyb [g]</t>
    </r>
  </si>
  <si>
    <t>Błąd [cc]</t>
  </si>
  <si>
    <t>l [g]</t>
  </si>
  <si>
    <t>Al.</t>
  </si>
  <si>
    <t>Bl</t>
  </si>
  <si>
    <t>Ap</t>
  </si>
  <si>
    <t>Bp</t>
  </si>
  <si>
    <t>a</t>
  </si>
  <si>
    <t>l [m/cc]</t>
  </si>
  <si>
    <t>dx</t>
  </si>
  <si>
    <t>dy</t>
  </si>
  <si>
    <t>A</t>
  </si>
  <si>
    <t>L</t>
  </si>
  <si>
    <r>
      <t>A</t>
    </r>
    <r>
      <rPr>
        <sz val="11"/>
        <color theme="1"/>
        <rFont val="Calibri"/>
        <family val="2"/>
        <scheme val="minor"/>
      </rPr>
      <t>T</t>
    </r>
  </si>
  <si>
    <r>
      <t>A</t>
    </r>
    <r>
      <rPr>
        <sz val="11"/>
        <color theme="1"/>
        <rFont val="Calibri"/>
        <family val="2"/>
        <scheme val="minor"/>
      </rPr>
      <t>T</t>
    </r>
    <r>
      <rPr>
        <sz val="11"/>
        <color theme="1"/>
        <rFont val="Calibri"/>
        <family val="2"/>
        <scheme val="minor"/>
      </rPr>
      <t>A</t>
    </r>
  </si>
  <si>
    <r>
      <t>S</t>
    </r>
    <r>
      <rPr>
        <sz val="11"/>
        <color theme="1"/>
        <rFont val="Calibri"/>
        <family val="2"/>
        <scheme val="minor"/>
      </rPr>
      <t>T</t>
    </r>
  </si>
  <si>
    <r>
      <t>A</t>
    </r>
    <r>
      <rPr>
        <sz val="11"/>
        <color theme="1"/>
        <rFont val="Calibri"/>
        <family val="2"/>
        <scheme val="minor"/>
      </rPr>
      <t>T</t>
    </r>
    <r>
      <rPr>
        <sz val="11"/>
        <color theme="1"/>
        <rFont val="Calibri"/>
        <family val="2"/>
        <scheme val="minor"/>
      </rPr>
      <t>L</t>
    </r>
  </si>
  <si>
    <t>Nr</t>
  </si>
  <si>
    <t>X</t>
  </si>
  <si>
    <t>Y</t>
  </si>
  <si>
    <t>∆X</t>
  </si>
  <si>
    <t>∆Y</t>
  </si>
  <si>
    <t>d^2</t>
  </si>
  <si>
    <t>B</t>
  </si>
  <si>
    <t>Początek</t>
  </si>
  <si>
    <t>Koniec</t>
  </si>
  <si>
    <t>V</t>
  </si>
  <si>
    <t>S</t>
  </si>
  <si>
    <r>
      <t>V</t>
    </r>
    <r>
      <rPr>
        <sz val="11"/>
        <color theme="1"/>
        <rFont val="Calibri"/>
        <family val="2"/>
        <scheme val="minor"/>
      </rPr>
      <t>T</t>
    </r>
    <r>
      <rPr>
        <sz val="11"/>
        <color theme="1"/>
        <rFont val="Calibri"/>
        <family val="2"/>
        <scheme val="minor"/>
      </rPr>
      <t>L</t>
    </r>
  </si>
  <si>
    <r>
      <t>(A</t>
    </r>
    <r>
      <rPr>
        <sz val="11"/>
        <color theme="1"/>
        <rFont val="Calibri"/>
        <family val="2"/>
        <scheme val="minor"/>
      </rPr>
      <t>T</t>
    </r>
    <r>
      <rPr>
        <sz val="11"/>
        <color theme="1"/>
        <rFont val="Calibri"/>
        <family val="2"/>
        <scheme val="minor"/>
      </rPr>
      <t>A)</t>
    </r>
    <r>
      <rPr>
        <sz val="11"/>
        <color theme="1"/>
        <rFont val="Calibri"/>
        <family val="2"/>
        <scheme val="minor"/>
      </rPr>
      <t>-1</t>
    </r>
  </si>
  <si>
    <r>
      <t>S</t>
    </r>
    <r>
      <rPr>
        <sz val="11"/>
        <color theme="1"/>
        <rFont val="Calibri"/>
        <family val="2"/>
        <scheme val="minor"/>
      </rPr>
      <t>T(-1)</t>
    </r>
  </si>
  <si>
    <t>mx</t>
  </si>
  <si>
    <r>
      <t>V</t>
    </r>
    <r>
      <rPr>
        <sz val="11"/>
        <color theme="1"/>
        <rFont val="Calibri"/>
        <family val="2"/>
        <scheme val="minor"/>
      </rPr>
      <t>T</t>
    </r>
    <r>
      <rPr>
        <sz val="11"/>
        <color theme="1"/>
        <rFont val="Calibri"/>
        <family val="2"/>
        <scheme val="minor"/>
      </rPr>
      <t>V</t>
    </r>
  </si>
  <si>
    <t>m0'</t>
  </si>
  <si>
    <r>
      <t>A</t>
    </r>
    <r>
      <rPr>
        <sz val="11"/>
        <color theme="1"/>
        <rFont val="Calibri"/>
        <family val="2"/>
        <scheme val="minor"/>
      </rPr>
      <t>T</t>
    </r>
    <r>
      <rPr>
        <sz val="11"/>
        <color theme="1"/>
        <rFont val="Calibri"/>
        <family val="2"/>
        <scheme val="minor"/>
      </rPr>
      <t>V</t>
    </r>
  </si>
  <si>
    <r>
      <t>S</t>
    </r>
    <r>
      <rPr>
        <sz val="11"/>
        <color theme="1"/>
        <rFont val="Calibri"/>
        <family val="2"/>
        <scheme val="minor"/>
      </rPr>
      <t>(-1)</t>
    </r>
  </si>
  <si>
    <t>I</t>
  </si>
  <si>
    <r>
      <t>(A</t>
    </r>
    <r>
      <rPr>
        <sz val="11"/>
        <color theme="1"/>
        <rFont val="Calibri"/>
        <family val="2"/>
        <scheme val="minor"/>
      </rPr>
      <t>T</t>
    </r>
    <r>
      <rPr>
        <sz val="11"/>
        <color theme="1"/>
        <rFont val="Calibri"/>
        <family val="2"/>
        <scheme val="minor"/>
      </rPr>
      <t>A)</t>
    </r>
    <r>
      <rPr>
        <sz val="11"/>
        <color theme="1"/>
        <rFont val="Calibri"/>
        <family val="2"/>
        <scheme val="minor"/>
      </rPr>
      <t>-1</t>
    </r>
    <r>
      <rPr>
        <sz val="11"/>
        <color theme="1"/>
        <rFont val="Calibri"/>
        <family val="2"/>
        <scheme val="minor"/>
      </rPr>
      <t>AT</t>
    </r>
  </si>
  <si>
    <t>Test lokalny</t>
  </si>
  <si>
    <t>Cv</t>
  </si>
  <si>
    <t>s</t>
  </si>
  <si>
    <t>Qvi</t>
  </si>
  <si>
    <t>ui</t>
  </si>
  <si>
    <t>Warunek</t>
  </si>
  <si>
    <t>Test globalny</t>
  </si>
  <si>
    <r>
      <t>m</t>
    </r>
    <r>
      <rPr>
        <sz val="11"/>
        <color indexed="8"/>
        <rFont val="Czcionka tekstu podstawowego"/>
      </rPr>
      <t>0krytyczne</t>
    </r>
  </si>
  <si>
    <t>Acl.</t>
  </si>
  <si>
    <t>Bcl</t>
  </si>
  <si>
    <t>Acp</t>
  </si>
  <si>
    <t>Bcp</t>
  </si>
  <si>
    <r>
      <t>A</t>
    </r>
    <r>
      <rPr>
        <sz val="11"/>
        <color theme="1"/>
        <rFont val="Calibri"/>
        <family val="2"/>
        <scheme val="minor"/>
      </rPr>
      <t>T</t>
    </r>
    <r>
      <rPr>
        <sz val="11"/>
        <color theme="1"/>
        <rFont val="Calibri"/>
        <family val="2"/>
        <scheme val="minor"/>
      </rPr>
      <t>A Wyjściowy</t>
    </r>
  </si>
  <si>
    <t>m0</t>
  </si>
  <si>
    <r>
      <t>A</t>
    </r>
    <r>
      <rPr>
        <sz val="11"/>
        <color theme="1"/>
        <rFont val="Calibri"/>
        <family val="2"/>
        <scheme val="minor"/>
      </rPr>
      <t>T</t>
    </r>
    <r>
      <rPr>
        <sz val="11"/>
        <color theme="1"/>
        <rFont val="Calibri"/>
        <family val="2"/>
        <scheme val="minor"/>
      </rPr>
      <t>A Aktualny</t>
    </r>
  </si>
  <si>
    <r>
      <t>x</t>
    </r>
    <r>
      <rPr>
        <sz val="11"/>
        <color theme="1"/>
        <rFont val="Czcionka tekstu podstawowego"/>
      </rPr>
      <t>wyjść</t>
    </r>
  </si>
  <si>
    <r>
      <t>x</t>
    </r>
    <r>
      <rPr>
        <sz val="11"/>
        <color theme="1"/>
        <rFont val="Czcionka tekstu podstawowego"/>
      </rPr>
      <t>akt</t>
    </r>
  </si>
  <si>
    <r>
      <t>m</t>
    </r>
    <r>
      <rPr>
        <sz val="11"/>
        <color theme="1"/>
        <rFont val="Czcionka tekstu podstawowego"/>
      </rPr>
      <t>x</t>
    </r>
    <r>
      <rPr>
        <sz val="11"/>
        <color theme="1"/>
        <rFont val="Czcionka tekstu podstawowego"/>
      </rPr>
      <t>wyjść</t>
    </r>
  </si>
  <si>
    <r>
      <t>m</t>
    </r>
    <r>
      <rPr>
        <sz val="11"/>
        <color theme="1"/>
        <rFont val="Czcionka tekstu podstawowego"/>
      </rPr>
      <t>x</t>
    </r>
    <r>
      <rPr>
        <sz val="11"/>
        <color theme="1"/>
        <rFont val="Czcionka tekstu podstawowego"/>
      </rPr>
      <t>akt</t>
    </r>
  </si>
  <si>
    <t>k</t>
  </si>
  <si>
    <t>kierunek</t>
  </si>
  <si>
    <t>σdx</t>
  </si>
  <si>
    <t>Warunek |ΔX|</t>
  </si>
  <si>
    <t>σdy</t>
  </si>
  <si>
    <t>Warunek |ΔY|</t>
  </si>
  <si>
    <t>warunek</t>
  </si>
  <si>
    <t>SPEŁNIA</t>
  </si>
  <si>
    <t>SPEŁNIONY</t>
  </si>
  <si>
    <t>NIESPEŁNIA</t>
  </si>
  <si>
    <t>NIESPEŁNIONY</t>
  </si>
  <si>
    <t>Baza</t>
  </si>
  <si>
    <t>Baza zidentyfikowana</t>
  </si>
  <si>
    <t>5, 6, 9</t>
  </si>
  <si>
    <t>Wyjściowy</t>
  </si>
  <si>
    <t>Aktualny</t>
  </si>
  <si>
    <t>x [m]</t>
  </si>
  <si>
    <r>
      <t>m</t>
    </r>
    <r>
      <rPr>
        <sz val="11"/>
        <color theme="1"/>
        <rFont val="Czcionka tekstu podstawowego"/>
      </rPr>
      <t xml:space="preserve">x </t>
    </r>
    <r>
      <rPr>
        <sz val="11"/>
        <color theme="1"/>
        <rFont val="Czcionka tekstu podstawowego"/>
      </rPr>
      <t>[m]</t>
    </r>
  </si>
  <si>
    <t>ISTOTNE</t>
  </si>
  <si>
    <t>-</t>
  </si>
  <si>
    <t>Współrzędne przybliżone</t>
  </si>
  <si>
    <t>Współrzędne przemieszczone</t>
  </si>
  <si>
    <t>X [m]</t>
  </si>
  <si>
    <t>Y [m]</t>
  </si>
</sst>
</file>

<file path=xl/styles.xml><?xml version="1.0" encoding="utf-8"?>
<styleSheet xmlns="http://schemas.openxmlformats.org/spreadsheetml/2006/main" xmlns:mc="http://schemas.openxmlformats.org/markup-compatibility/2006" xmlns:ns3="http://schemas.microsoft.com/office/spreadsheetml/2009/9/main" xmlns:ns4="http://schemas.microsoft.com/office/spreadsheetml/2010/11/main" xmlns:xr="http://schemas.microsoft.com/office/spreadsheetml/2014/revision" mc:Ignorable="x14ac x16r2 xr">
  <numFmts count="4">
    <numFmt numFmtId="164" formatCode="0.00000"/>
    <numFmt numFmtId="165" formatCode="0.0000"/>
    <numFmt numFmtId="166" formatCode="0.000"/>
    <numFmt numFmtId="167" formatCode="0.000000"/>
  </numFmts>
  <fonts count="33">
    <font>
      <sz val="11"/>
      <color theme="1"/>
      <name val="Aptos Narrow"/>
    </font>
    <font>
      <sz val="11"/>
      <color theme="1"/>
      <name val="Aptos Narrow"/>
    </font>
    <font>
      <sz val="10"/>
      <color rgb="FF000000"/>
      <name val="Arial"/>
      <family val="2"/>
    </font>
    <font>
      <sz val="6"/>
      <color rgb="FF000000"/>
      <name val="Arial"/>
      <family val="2"/>
    </font>
    <font>
      <sz val="9"/>
      <color theme="1"/>
      <name val="Czcionka tekstu podstawowego"/>
    </font>
    <font>
      <sz val="11"/>
      <color rgb="FF006100"/>
      <name val="Aptos Narrow"/>
    </font>
    <font>
      <b/>
      <sz val="11"/>
      <color theme="1"/>
      <name val="Aptos Narrow"/>
    </font>
    <font>
      <sz val="11"/>
      <color theme="1"/>
      <name val="Symbol"/>
      <charset val="2"/>
    </font>
    <font>
      <b/>
      <sz val="11"/>
      <color theme="1"/>
      <name val="Aptos Narrow"/>
    </font>
    <font>
      <b/>
      <sz val="11"/>
      <color theme="1"/>
      <name val="Aptos Narrow"/>
    </font>
    <font>
      <b/>
      <sz val="11"/>
      <color theme="1"/>
      <name val="Aptos Narrow"/>
    </font>
    <font>
      <sz val="11"/>
      <color indexed="8"/>
      <name val="Czcionka tekstu podstawowego"/>
    </font>
    <font>
      <sz val="11"/>
      <color theme="1"/>
      <name val="Czcionka tekstu podstawowego"/>
    </font>
    <font>
      <b/>
      <sz val="11"/>
      <color theme="1"/>
      <name val="Czcionka tekstu podstawowego"/>
    </font>
    <font>
      <i/>
      <sz val="11"/>
      <color theme="0" tint="-0.34998626667073579"/>
      <name val="Czcionka tekstu podstawowego"/>
    </font>
    <font>
      <sz val="11"/>
      <color theme="1"/>
      <name val="Czcionka tekstu podstawowego"/>
    </font>
    <font>
      <i/>
      <sz val="11"/>
      <color theme="1"/>
      <name val="Czcionka tekstu podstawowego"/>
    </font>
    <font>
      <b/>
      <sz val="8"/>
      <color theme="1"/>
      <name val="Aptos Narrow"/>
    </font>
    <font>
      <sz val="8"/>
      <color theme="1"/>
      <name val="Czcionka tekstu podstawowego"/>
    </font>
    <font>
      <b/>
      <sz val="11"/>
      <color rgb="FF9C0006"/>
      <name val="Aptos Narrow"/>
    </font>
    <font>
      <b/>
      <sz val="11"/>
      <color rgb="FF006100"/>
      <name val="Aptos Narrow"/>
    </font>
    <font>
      <b/>
      <sz val="11"/>
      <color theme="1"/>
      <name val="Symbol"/>
      <family val="1"/>
    </font>
    <font>
      <b/>
      <sz val="11"/>
      <color theme="1"/>
      <name val="Calibri"/>
      <family val="2"/>
      <scheme val="minor"/>
    </font>
    <font>
      <b/>
      <sz val="11"/>
      <color theme="1"/>
      <name val="Aptos Narrow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b/>
      <sz val="11"/>
      <color rgb="FFFFFFFF"/>
      <name val="Calibri"/>
      <family val="2"/>
    </font>
    <font>
      <sz val="11"/>
      <color theme="1"/>
      <name val="Calibri"/>
      <family val="2"/>
    </font>
    <font>
      <sz val="11"/>
      <color rgb="FFFFFFFF"/>
      <name val="Calibri"/>
      <family val="2"/>
    </font>
    <font>
      <b/>
      <sz val="11"/>
      <color theme="1"/>
      <name val="Calibri"/>
      <family val="2"/>
    </font>
    <font>
      <b/>
      <sz val="11"/>
      <color rgb="FFFFFFFF"/>
      <name val="Calibri"/>
      <family val="2"/>
    </font>
    <font>
      <sz val="11"/>
      <color theme="1"/>
      <name val="Calibri"/>
      <family val="2"/>
    </font>
    <font>
      <sz val="11"/>
      <color rgb="FFFFFFFF"/>
      <name val="Calibri"/>
      <family val="2"/>
    </font>
  </fonts>
  <fills count="19">
    <fill>
      <patternFill patternType="none"/>
    </fill>
    <fill>
      <patternFill patternType="gray125"/>
    </fill>
    <fill>
      <patternFill patternType="solid">
        <fgColor theme="8" tint="0.79992065187536243"/>
        <bgColor indexed="65"/>
      </patternFill>
    </fill>
    <fill>
      <patternFill patternType="solid">
        <fgColor theme="8" tint="0.59993285927915285"/>
        <bgColor indexed="65"/>
      </patternFill>
    </fill>
    <fill>
      <patternFill patternType="solid">
        <fgColor rgb="FFC6EFCE"/>
      </patternFill>
    </fill>
    <fill>
      <patternFill patternType="solid">
        <fgColor theme="0"/>
      </patternFill>
    </fill>
    <fill>
      <patternFill patternType="solid">
        <fgColor theme="3" tint="0.89992980742820516"/>
        <bgColor indexed="65"/>
      </patternFill>
    </fill>
    <fill>
      <patternFill patternType="solid">
        <fgColor rgb="FFD9EAD3"/>
      </patternFill>
    </fill>
    <fill>
      <patternFill patternType="solid">
        <fgColor rgb="FFFFC7CE"/>
      </patternFill>
    </fill>
    <fill>
      <patternFill patternType="solid">
        <fgColor rgb="FFC6EFCE"/>
      </patternFill>
    </fill>
    <fill>
      <patternFill patternType="solid">
        <fgColor rgb="FFFFF2CC"/>
      </patternFill>
    </fill>
    <fill>
      <patternFill patternType="solid">
        <fgColor theme="0"/>
      </patternFill>
    </fill>
    <fill>
      <patternFill patternType="solid">
        <fgColor theme="8"/>
      </patternFill>
    </fill>
    <fill>
      <patternFill patternType="solid">
        <fgColor rgb="FFD9EAF7"/>
        <bgColor indexed="64"/>
      </patternFill>
    </fill>
    <fill>
      <patternFill patternType="solid">
        <fgColor rgb="FF3B0E0E"/>
        <bgColor indexed="64"/>
      </patternFill>
    </fill>
    <fill>
      <patternFill patternType="solid">
        <fgColor rgb="FFD99A99"/>
        <bgColor indexed="64"/>
      </patternFill>
    </fill>
    <fill>
      <patternFill patternType="solid">
        <fgColor rgb="FF3F3F3F"/>
        <bgColor indexed="64"/>
      </patternFill>
    </fill>
    <fill>
      <patternFill patternType="solid">
        <fgColor rgb="FF1F4E78"/>
        <bgColor indexed="64"/>
      </patternFill>
    </fill>
    <fill>
      <patternFill patternType="solid">
        <fgColor rgb="FFFFFFFF"/>
        <bgColor indexed="64"/>
      </patternFill>
    </fill>
  </fills>
  <borders count="6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</borders>
  <cellStyleXfs count="4">
    <xf numFmtId="0" fontId="0" fillId="0" borderId="0"/>
    <xf numFmtId="0" fontId="1" fillId="0" borderId="0"/>
    <xf numFmtId="0" fontId="5" fillId="4" borderId="0" applyNumberFormat="0" applyBorder="0" applyAlignment="0" applyProtection="0"/>
    <xf numFmtId="0" fontId="1" fillId="0" borderId="0"/>
  </cellStyleXfs>
  <cellXfs count="476">
    <xf numFmtId="0" fontId="0" fillId="0" borderId="0" xfId="0"/>
    <xf numFmtId="0" fontId="0" fillId="0" borderId="1" xfId="3" applyFont="1" applyBorder="1" applyAlignment="1">
      <alignment horizontal="center" vertical="center"/>
    </xf>
    <xf numFmtId="0" fontId="0" fillId="0" borderId="10" xfId="3" applyFont="1" applyBorder="1" applyAlignment="1">
      <alignment horizontal="center" vertical="center"/>
    </xf>
    <xf numFmtId="0" fontId="0" fillId="0" borderId="11" xfId="3" applyFont="1" applyBorder="1" applyAlignment="1">
      <alignment horizontal="center" vertical="center"/>
    </xf>
    <xf numFmtId="0" fontId="0" fillId="0" borderId="12" xfId="3" applyFont="1" applyBorder="1" applyAlignment="1">
      <alignment horizontal="center" vertical="center"/>
    </xf>
    <xf numFmtId="0" fontId="0" fillId="2" borderId="15" xfId="3" applyFont="1" applyFill="1" applyBorder="1" applyAlignment="1">
      <alignment horizontal="center" vertical="center"/>
    </xf>
    <xf numFmtId="0" fontId="0" fillId="2" borderId="16" xfId="3" applyFont="1" applyFill="1" applyBorder="1" applyAlignment="1">
      <alignment horizontal="center" vertical="center"/>
    </xf>
    <xf numFmtId="0" fontId="0" fillId="2" borderId="17" xfId="3" applyFont="1" applyFill="1" applyBorder="1" applyAlignment="1">
      <alignment horizontal="center" vertical="center"/>
    </xf>
    <xf numFmtId="0" fontId="0" fillId="0" borderId="2" xfId="3" applyFont="1" applyBorder="1" applyAlignment="1">
      <alignment horizontal="center" vertical="center"/>
    </xf>
    <xf numFmtId="0" fontId="0" fillId="0" borderId="3" xfId="3" applyFont="1" applyBorder="1" applyAlignment="1">
      <alignment horizontal="center" vertical="center"/>
    </xf>
    <xf numFmtId="0" fontId="0" fillId="0" borderId="4" xfId="3" applyFont="1" applyBorder="1" applyAlignment="1">
      <alignment horizontal="center" vertical="center"/>
    </xf>
    <xf numFmtId="0" fontId="0" fillId="0" borderId="5" xfId="3" applyFont="1" applyBorder="1" applyAlignment="1">
      <alignment horizontal="center" vertical="center"/>
    </xf>
    <xf numFmtId="0" fontId="0" fillId="0" borderId="6" xfId="3" applyFont="1" applyBorder="1" applyAlignment="1">
      <alignment horizontal="center" vertical="center"/>
    </xf>
    <xf numFmtId="0" fontId="0" fillId="0" borderId="7" xfId="3" applyFont="1" applyBorder="1" applyAlignment="1">
      <alignment horizontal="center" vertical="center"/>
    </xf>
    <xf numFmtId="0" fontId="0" fillId="0" borderId="8" xfId="3" applyFont="1" applyBorder="1" applyAlignment="1">
      <alignment horizontal="center" vertical="center"/>
    </xf>
    <xf numFmtId="0" fontId="0" fillId="0" borderId="9" xfId="3" applyFont="1" applyBorder="1" applyAlignment="1">
      <alignment horizontal="center" vertical="center"/>
    </xf>
    <xf numFmtId="0" fontId="0" fillId="2" borderId="10" xfId="3" applyFont="1" applyFill="1" applyBorder="1" applyAlignment="1">
      <alignment horizontal="center" vertical="center"/>
    </xf>
    <xf numFmtId="0" fontId="0" fillId="2" borderId="12" xfId="3" applyFont="1" applyFill="1" applyBorder="1" applyAlignment="1">
      <alignment horizontal="center" vertical="center"/>
    </xf>
    <xf numFmtId="0" fontId="4" fillId="0" borderId="7" xfId="3" applyFont="1" applyBorder="1" applyAlignment="1">
      <alignment horizontal="center" vertical="center"/>
    </xf>
    <xf numFmtId="0" fontId="0" fillId="0" borderId="14" xfId="3" applyFont="1" applyBorder="1"/>
    <xf numFmtId="0" fontId="0" fillId="2" borderId="18" xfId="3" applyFont="1" applyFill="1" applyBorder="1"/>
    <xf numFmtId="0" fontId="0" fillId="2" borderId="18" xfId="3" applyFont="1" applyFill="1" applyBorder="1" applyAlignment="1">
      <alignment horizontal="center" vertical="center"/>
    </xf>
    <xf numFmtId="0" fontId="2" fillId="2" borderId="18" xfId="1" applyFont="1" applyFill="1" applyBorder="1" applyAlignment="1">
      <alignment horizontal="center" vertical="center" wrapText="1"/>
    </xf>
    <xf numFmtId="0" fontId="0" fillId="0" borderId="0" xfId="3" applyFont="1" applyAlignment="1">
      <alignment horizontal="center" vertical="center"/>
    </xf>
    <xf numFmtId="166" fontId="0" fillId="0" borderId="1" xfId="3" applyNumberFormat="1" applyFont="1" applyBorder="1" applyAlignment="1">
      <alignment horizontal="center" vertical="center"/>
    </xf>
    <xf numFmtId="0" fontId="0" fillId="0" borderId="1" xfId="3" applyFont="1" applyBorder="1"/>
    <xf numFmtId="165" fontId="0" fillId="0" borderId="1" xfId="3" applyNumberFormat="1" applyFont="1" applyBorder="1" applyAlignment="1">
      <alignment horizontal="center" vertical="center"/>
    </xf>
    <xf numFmtId="0" fontId="0" fillId="2" borderId="2" xfId="3" applyFont="1" applyFill="1" applyBorder="1" applyAlignment="1">
      <alignment horizontal="center" vertical="center"/>
    </xf>
    <xf numFmtId="0" fontId="0" fillId="2" borderId="3" xfId="3" applyFont="1" applyFill="1" applyBorder="1" applyAlignment="1">
      <alignment horizontal="center" vertical="center"/>
    </xf>
    <xf numFmtId="0" fontId="0" fillId="2" borderId="4" xfId="3" applyFont="1" applyFill="1" applyBorder="1" applyAlignment="1">
      <alignment horizontal="center" vertical="center"/>
    </xf>
    <xf numFmtId="165" fontId="0" fillId="0" borderId="6" xfId="3" applyNumberFormat="1" applyFont="1" applyBorder="1" applyAlignment="1">
      <alignment horizontal="center" vertical="center"/>
    </xf>
    <xf numFmtId="166" fontId="0" fillId="0" borderId="8" xfId="3" applyNumberFormat="1" applyFont="1" applyBorder="1" applyAlignment="1">
      <alignment horizontal="center" vertical="center"/>
    </xf>
    <xf numFmtId="0" fontId="0" fillId="0" borderId="8" xfId="3" applyFont="1" applyBorder="1"/>
    <xf numFmtId="165" fontId="0" fillId="0" borderId="9" xfId="3" applyNumberFormat="1" applyFont="1" applyBorder="1" applyAlignment="1">
      <alignment horizontal="center" vertical="center"/>
    </xf>
    <xf numFmtId="0" fontId="0" fillId="0" borderId="24" xfId="3" applyFont="1" applyBorder="1" applyAlignment="1">
      <alignment horizontal="center" vertical="center"/>
    </xf>
    <xf numFmtId="0" fontId="0" fillId="0" borderId="25" xfId="3" applyFont="1" applyBorder="1" applyAlignment="1">
      <alignment horizontal="center" vertical="center"/>
    </xf>
    <xf numFmtId="166" fontId="0" fillId="0" borderId="25" xfId="3" applyNumberFormat="1" applyFont="1" applyBorder="1" applyAlignment="1">
      <alignment horizontal="center" vertical="center"/>
    </xf>
    <xf numFmtId="0" fontId="0" fillId="0" borderId="25" xfId="3" applyFont="1" applyBorder="1"/>
    <xf numFmtId="165" fontId="0" fillId="0" borderId="26" xfId="3" applyNumberFormat="1" applyFont="1" applyBorder="1" applyAlignment="1">
      <alignment horizontal="center" vertical="center"/>
    </xf>
    <xf numFmtId="0" fontId="8" fillId="2" borderId="21" xfId="3" applyFont="1" applyFill="1" applyBorder="1" applyAlignment="1">
      <alignment horizontal="center" vertical="center"/>
    </xf>
    <xf numFmtId="0" fontId="8" fillId="2" borderId="22" xfId="3" applyFont="1" applyFill="1" applyBorder="1" applyAlignment="1">
      <alignment horizontal="center" vertical="center"/>
    </xf>
    <xf numFmtId="0" fontId="8" fillId="2" borderId="23" xfId="3" applyFont="1" applyFill="1" applyBorder="1" applyAlignment="1">
      <alignment horizontal="center" vertical="center"/>
    </xf>
    <xf numFmtId="0" fontId="0" fillId="5" borderId="1" xfId="3" applyFont="1" applyFill="1" applyBorder="1" applyAlignment="1">
      <alignment horizontal="center" vertical="center"/>
    </xf>
    <xf numFmtId="164" fontId="0" fillId="0" borderId="1" xfId="3" applyNumberFormat="1" applyFont="1" applyBorder="1"/>
    <xf numFmtId="0" fontId="0" fillId="5" borderId="5" xfId="3" applyFont="1" applyFill="1" applyBorder="1" applyAlignment="1">
      <alignment horizontal="center" vertical="center"/>
    </xf>
    <xf numFmtId="0" fontId="0" fillId="0" borderId="6" xfId="3" applyFont="1" applyBorder="1"/>
    <xf numFmtId="0" fontId="0" fillId="5" borderId="7" xfId="3" applyFont="1" applyFill="1" applyBorder="1" applyAlignment="1">
      <alignment horizontal="center" vertical="center"/>
    </xf>
    <xf numFmtId="0" fontId="0" fillId="5" borderId="8" xfId="3" applyFont="1" applyFill="1" applyBorder="1" applyAlignment="1">
      <alignment horizontal="center" vertical="center"/>
    </xf>
    <xf numFmtId="164" fontId="0" fillId="0" borderId="8" xfId="3" applyNumberFormat="1" applyFont="1" applyBorder="1"/>
    <xf numFmtId="0" fontId="0" fillId="0" borderId="9" xfId="3" applyFont="1" applyBorder="1"/>
    <xf numFmtId="0" fontId="0" fillId="5" borderId="24" xfId="3" applyFont="1" applyFill="1" applyBorder="1" applyAlignment="1">
      <alignment horizontal="center" vertical="center"/>
    </xf>
    <xf numFmtId="0" fontId="0" fillId="5" borderId="25" xfId="3" applyFont="1" applyFill="1" applyBorder="1" applyAlignment="1">
      <alignment horizontal="center" vertical="center"/>
    </xf>
    <xf numFmtId="164" fontId="0" fillId="0" borderId="25" xfId="3" applyNumberFormat="1" applyFont="1" applyBorder="1"/>
    <xf numFmtId="0" fontId="0" fillId="0" borderId="26" xfId="3" applyFont="1" applyBorder="1"/>
    <xf numFmtId="0" fontId="6" fillId="2" borderId="21" xfId="3" applyFont="1" applyFill="1" applyBorder="1" applyAlignment="1">
      <alignment horizontal="center" vertical="center"/>
    </xf>
    <xf numFmtId="0" fontId="6" fillId="2" borderId="22" xfId="3" applyFont="1" applyFill="1" applyBorder="1" applyAlignment="1">
      <alignment horizontal="center" vertical="center"/>
    </xf>
    <xf numFmtId="0" fontId="9" fillId="2" borderId="22" xfId="3" applyFont="1" applyFill="1" applyBorder="1" applyAlignment="1">
      <alignment horizontal="center" vertical="center"/>
    </xf>
    <xf numFmtId="0" fontId="10" fillId="2" borderId="22" xfId="3" applyFont="1" applyFill="1" applyBorder="1" applyAlignment="1">
      <alignment horizontal="center" vertical="center"/>
    </xf>
    <xf numFmtId="49" fontId="6" fillId="2" borderId="22" xfId="3" applyNumberFormat="1" applyFont="1" applyFill="1" applyBorder="1" applyAlignment="1">
      <alignment horizontal="center" vertical="center"/>
    </xf>
    <xf numFmtId="0" fontId="6" fillId="2" borderId="23" xfId="3" applyFont="1" applyFill="1" applyBorder="1" applyAlignment="1">
      <alignment horizontal="center" vertical="center"/>
    </xf>
    <xf numFmtId="164" fontId="0" fillId="0" borderId="25" xfId="3" applyNumberFormat="1" applyFont="1" applyBorder="1" applyAlignment="1">
      <alignment horizontal="center" vertical="center"/>
    </xf>
    <xf numFmtId="0" fontId="0" fillId="0" borderId="26" xfId="3" applyFont="1" applyBorder="1" applyAlignment="1">
      <alignment horizontal="center" vertical="center"/>
    </xf>
    <xf numFmtId="164" fontId="0" fillId="0" borderId="1" xfId="3" applyNumberFormat="1" applyFont="1" applyBorder="1" applyAlignment="1">
      <alignment horizontal="center" vertical="center"/>
    </xf>
    <xf numFmtId="164" fontId="0" fillId="0" borderId="8" xfId="3" applyNumberFormat="1" applyFont="1" applyBorder="1" applyAlignment="1">
      <alignment horizontal="center" vertical="center"/>
    </xf>
    <xf numFmtId="0" fontId="0" fillId="0" borderId="2" xfId="3" applyFont="1" applyBorder="1"/>
    <xf numFmtId="0" fontId="0" fillId="0" borderId="3" xfId="3" applyFont="1" applyBorder="1"/>
    <xf numFmtId="0" fontId="0" fillId="0" borderId="4" xfId="3" applyFont="1" applyBorder="1"/>
    <xf numFmtId="0" fontId="0" fillId="0" borderId="5" xfId="3" applyFont="1" applyBorder="1"/>
    <xf numFmtId="0" fontId="0" fillId="0" borderId="7" xfId="3" applyFont="1" applyBorder="1"/>
    <xf numFmtId="0" fontId="0" fillId="2" borderId="29" xfId="3" applyFont="1" applyFill="1" applyBorder="1" applyAlignment="1">
      <alignment horizontal="center" vertical="center"/>
    </xf>
    <xf numFmtId="0" fontId="0" fillId="2" borderId="7" xfId="3" applyFont="1" applyFill="1" applyBorder="1" applyAlignment="1">
      <alignment horizontal="center" vertical="center"/>
    </xf>
    <xf numFmtId="0" fontId="0" fillId="2" borderId="8" xfId="3" applyFont="1" applyFill="1" applyBorder="1" applyAlignment="1">
      <alignment horizontal="center" vertical="center"/>
    </xf>
    <xf numFmtId="165" fontId="0" fillId="0" borderId="30" xfId="3" applyNumberFormat="1" applyFont="1" applyBorder="1" applyAlignment="1">
      <alignment horizontal="center" vertical="center"/>
    </xf>
    <xf numFmtId="2" fontId="0" fillId="0" borderId="2" xfId="3" applyNumberFormat="1" applyFont="1" applyBorder="1" applyAlignment="1">
      <alignment horizontal="center" vertical="center"/>
    </xf>
    <xf numFmtId="2" fontId="0" fillId="0" borderId="3" xfId="3" applyNumberFormat="1" applyFont="1" applyBorder="1" applyAlignment="1">
      <alignment horizontal="center" vertical="center"/>
    </xf>
    <xf numFmtId="2" fontId="0" fillId="0" borderId="10" xfId="3" applyNumberFormat="1" applyFont="1" applyBorder="1" applyAlignment="1">
      <alignment horizontal="center" vertical="center"/>
    </xf>
    <xf numFmtId="2" fontId="0" fillId="0" borderId="5" xfId="3" applyNumberFormat="1" applyFont="1" applyBorder="1" applyAlignment="1">
      <alignment horizontal="center" vertical="center"/>
    </xf>
    <xf numFmtId="2" fontId="0" fillId="0" borderId="1" xfId="3" applyNumberFormat="1" applyFont="1" applyBorder="1" applyAlignment="1">
      <alignment horizontal="center" vertical="center"/>
    </xf>
    <xf numFmtId="2" fontId="0" fillId="0" borderId="11" xfId="3" applyNumberFormat="1" applyFont="1" applyBorder="1" applyAlignment="1">
      <alignment horizontal="center" vertical="center"/>
    </xf>
    <xf numFmtId="2" fontId="0" fillId="0" borderId="7" xfId="3" applyNumberFormat="1" applyFont="1" applyBorder="1" applyAlignment="1">
      <alignment horizontal="center" vertical="center"/>
    </xf>
    <xf numFmtId="2" fontId="0" fillId="0" borderId="8" xfId="3" applyNumberFormat="1" applyFont="1" applyBorder="1" applyAlignment="1">
      <alignment horizontal="center" vertical="center"/>
    </xf>
    <xf numFmtId="2" fontId="0" fillId="0" borderId="12" xfId="3" applyNumberFormat="1" applyFont="1" applyBorder="1" applyAlignment="1">
      <alignment horizontal="center" vertical="center"/>
    </xf>
    <xf numFmtId="2" fontId="0" fillId="0" borderId="24" xfId="3" applyNumberFormat="1" applyFont="1" applyBorder="1" applyAlignment="1">
      <alignment horizontal="center" vertical="center"/>
    </xf>
    <xf numFmtId="2" fontId="0" fillId="0" borderId="25" xfId="3" applyNumberFormat="1" applyFont="1" applyBorder="1" applyAlignment="1">
      <alignment horizontal="center" vertical="center"/>
    </xf>
    <xf numFmtId="2" fontId="0" fillId="0" borderId="32" xfId="3" applyNumberFormat="1" applyFont="1" applyBorder="1" applyAlignment="1">
      <alignment horizontal="center" vertical="center"/>
    </xf>
    <xf numFmtId="2" fontId="0" fillId="0" borderId="31" xfId="3" applyNumberFormat="1" applyFont="1" applyBorder="1" applyAlignment="1">
      <alignment horizontal="center" vertical="center"/>
    </xf>
    <xf numFmtId="0" fontId="0" fillId="2" borderId="13" xfId="3" applyFont="1" applyFill="1" applyBorder="1" applyAlignment="1">
      <alignment horizontal="center" vertical="center"/>
    </xf>
    <xf numFmtId="0" fontId="0" fillId="0" borderId="18" xfId="3" applyFont="1" applyBorder="1" applyAlignment="1">
      <alignment horizontal="center" vertical="center"/>
    </xf>
    <xf numFmtId="0" fontId="0" fillId="0" borderId="14" xfId="3" applyFont="1" applyBorder="1" applyAlignment="1">
      <alignment horizontal="center" vertical="center"/>
    </xf>
    <xf numFmtId="165" fontId="0" fillId="0" borderId="10" xfId="3" applyNumberFormat="1" applyFont="1" applyBorder="1" applyAlignment="1">
      <alignment horizontal="center" vertical="center"/>
    </xf>
    <xf numFmtId="165" fontId="0" fillId="0" borderId="11" xfId="3" applyNumberFormat="1" applyFont="1" applyBorder="1" applyAlignment="1">
      <alignment horizontal="center" vertical="center"/>
    </xf>
    <xf numFmtId="165" fontId="0" fillId="0" borderId="12" xfId="3" applyNumberFormat="1" applyFont="1" applyBorder="1" applyAlignment="1">
      <alignment horizontal="center" vertical="center"/>
    </xf>
    <xf numFmtId="165" fontId="0" fillId="0" borderId="33" xfId="3" applyNumberFormat="1" applyFont="1" applyBorder="1" applyAlignment="1">
      <alignment horizontal="center" vertical="center"/>
    </xf>
    <xf numFmtId="165" fontId="0" fillId="0" borderId="34" xfId="3" applyNumberFormat="1" applyFont="1" applyBorder="1" applyAlignment="1">
      <alignment horizontal="center" vertical="center"/>
    </xf>
    <xf numFmtId="165" fontId="0" fillId="0" borderId="35" xfId="3" applyNumberFormat="1" applyFont="1" applyBorder="1" applyAlignment="1">
      <alignment horizontal="center" vertical="center"/>
    </xf>
    <xf numFmtId="2" fontId="0" fillId="0" borderId="4" xfId="3" applyNumberFormat="1" applyFont="1" applyBorder="1" applyAlignment="1">
      <alignment horizontal="center" vertical="center"/>
    </xf>
    <xf numFmtId="2" fontId="0" fillId="0" borderId="6" xfId="3" applyNumberFormat="1" applyFont="1" applyBorder="1" applyAlignment="1">
      <alignment horizontal="center" vertical="center"/>
    </xf>
    <xf numFmtId="2" fontId="0" fillId="0" borderId="9" xfId="3" applyNumberFormat="1" applyFont="1" applyBorder="1" applyAlignment="1">
      <alignment horizontal="center" vertical="center"/>
    </xf>
    <xf numFmtId="164" fontId="0" fillId="0" borderId="24" xfId="3" applyNumberFormat="1" applyFont="1" applyBorder="1"/>
    <xf numFmtId="164" fontId="0" fillId="0" borderId="5" xfId="3" applyNumberFormat="1" applyFont="1" applyBorder="1"/>
    <xf numFmtId="164" fontId="0" fillId="0" borderId="7" xfId="3" applyNumberFormat="1" applyFont="1" applyBorder="1"/>
    <xf numFmtId="0" fontId="0" fillId="0" borderId="31" xfId="3" applyFont="1" applyBorder="1" applyAlignment="1">
      <alignment horizontal="center" vertical="center"/>
    </xf>
    <xf numFmtId="2" fontId="0" fillId="0" borderId="18" xfId="3" applyNumberFormat="1" applyFont="1" applyBorder="1" applyAlignment="1">
      <alignment horizontal="center" vertical="center"/>
    </xf>
    <xf numFmtId="0" fontId="7" fillId="2" borderId="29" xfId="3" applyFont="1" applyFill="1" applyBorder="1" applyAlignment="1">
      <alignment horizontal="center" vertical="center"/>
    </xf>
    <xf numFmtId="0" fontId="0" fillId="0" borderId="36" xfId="3" applyFont="1" applyBorder="1" applyAlignment="1">
      <alignment horizontal="center" vertical="center"/>
    </xf>
    <xf numFmtId="0" fontId="0" fillId="0" borderId="37" xfId="3" applyFont="1" applyBorder="1" applyAlignment="1">
      <alignment horizontal="center" vertical="center"/>
    </xf>
    <xf numFmtId="0" fontId="0" fillId="0" borderId="38" xfId="3" applyFont="1" applyBorder="1" applyAlignment="1">
      <alignment horizontal="center" vertical="center"/>
    </xf>
    <xf numFmtId="0" fontId="0" fillId="3" borderId="10" xfId="3" applyFont="1" applyFill="1" applyBorder="1" applyAlignment="1">
      <alignment horizontal="center" vertical="center"/>
    </xf>
    <xf numFmtId="0" fontId="0" fillId="3" borderId="11" xfId="3" applyFont="1" applyFill="1" applyBorder="1" applyAlignment="1">
      <alignment horizontal="center" vertical="center"/>
    </xf>
    <xf numFmtId="0" fontId="0" fillId="3" borderId="12" xfId="3" applyFont="1" applyFill="1" applyBorder="1" applyAlignment="1">
      <alignment horizontal="center" vertical="center"/>
    </xf>
    <xf numFmtId="0" fontId="0" fillId="6" borderId="11" xfId="3" applyFont="1" applyFill="1" applyBorder="1" applyAlignment="1">
      <alignment horizontal="center" vertical="center"/>
    </xf>
    <xf numFmtId="165" fontId="0" fillId="0" borderId="25" xfId="3" applyNumberFormat="1" applyFont="1" applyBorder="1" applyAlignment="1">
      <alignment horizontal="center" vertical="center"/>
    </xf>
    <xf numFmtId="0" fontId="0" fillId="0" borderId="39" xfId="3" applyFont="1" applyBorder="1" applyAlignment="1">
      <alignment horizontal="center" vertical="center"/>
    </xf>
    <xf numFmtId="0" fontId="0" fillId="6" borderId="10" xfId="3" applyFont="1" applyFill="1" applyBorder="1" applyAlignment="1">
      <alignment horizontal="center" vertical="center"/>
    </xf>
    <xf numFmtId="0" fontId="0" fillId="5" borderId="40" xfId="3" applyFont="1" applyFill="1" applyBorder="1" applyAlignment="1">
      <alignment horizontal="center" vertical="center"/>
    </xf>
    <xf numFmtId="0" fontId="0" fillId="5" borderId="41" xfId="3" applyFont="1" applyFill="1" applyBorder="1" applyAlignment="1">
      <alignment horizontal="center" vertical="center"/>
    </xf>
    <xf numFmtId="0" fontId="0" fillId="0" borderId="41" xfId="3" applyFont="1" applyBorder="1" applyAlignment="1">
      <alignment horizontal="center" vertical="center"/>
    </xf>
    <xf numFmtId="0" fontId="0" fillId="0" borderId="40" xfId="3" applyFont="1" applyBorder="1" applyAlignment="1">
      <alignment horizontal="center" vertical="center"/>
    </xf>
    <xf numFmtId="165" fontId="0" fillId="0" borderId="8" xfId="3" applyNumberFormat="1" applyFont="1" applyBorder="1" applyAlignment="1">
      <alignment horizontal="center" vertical="center"/>
    </xf>
    <xf numFmtId="0" fontId="0" fillId="2" borderId="9" xfId="3" applyFont="1" applyFill="1" applyBorder="1" applyAlignment="1">
      <alignment horizontal="center" vertical="center"/>
    </xf>
    <xf numFmtId="2" fontId="0" fillId="0" borderId="26" xfId="3" applyNumberFormat="1" applyFont="1" applyBorder="1" applyAlignment="1">
      <alignment horizontal="center" vertical="center"/>
    </xf>
    <xf numFmtId="2" fontId="0" fillId="0" borderId="19" xfId="3" applyNumberFormat="1" applyFont="1" applyBorder="1" applyAlignment="1">
      <alignment horizontal="center" vertical="center"/>
    </xf>
    <xf numFmtId="0" fontId="0" fillId="0" borderId="20" xfId="3" applyFont="1" applyBorder="1" applyAlignment="1">
      <alignment horizontal="center" vertical="center"/>
    </xf>
    <xf numFmtId="0" fontId="0" fillId="0" borderId="13" xfId="3" applyFont="1" applyBorder="1" applyAlignment="1">
      <alignment horizontal="center" vertical="center"/>
    </xf>
    <xf numFmtId="0" fontId="0" fillId="0" borderId="19" xfId="3" applyFont="1" applyBorder="1" applyAlignment="1">
      <alignment horizontal="center" vertical="center"/>
    </xf>
    <xf numFmtId="0" fontId="0" fillId="0" borderId="42" xfId="3" applyFont="1" applyBorder="1" applyAlignment="1">
      <alignment horizontal="center" vertical="center"/>
    </xf>
    <xf numFmtId="0" fontId="0" fillId="0" borderId="43" xfId="3" applyFont="1" applyBorder="1" applyAlignment="1">
      <alignment horizontal="center" vertical="center"/>
    </xf>
    <xf numFmtId="0" fontId="0" fillId="0" borderId="44" xfId="3" applyFont="1" applyBorder="1" applyAlignment="1">
      <alignment horizontal="center" vertical="center"/>
    </xf>
    <xf numFmtId="0" fontId="0" fillId="0" borderId="45" xfId="3" applyFont="1" applyBorder="1" applyAlignment="1">
      <alignment horizontal="center" vertical="center"/>
    </xf>
    <xf numFmtId="0" fontId="0" fillId="0" borderId="46" xfId="3" applyFont="1" applyBorder="1" applyAlignment="1">
      <alignment horizontal="center" vertical="center"/>
    </xf>
    <xf numFmtId="0" fontId="0" fillId="2" borderId="19" xfId="3" applyFont="1" applyFill="1" applyBorder="1" applyAlignment="1">
      <alignment horizontal="center" vertical="center"/>
    </xf>
    <xf numFmtId="165" fontId="0" fillId="0" borderId="13" xfId="3" applyNumberFormat="1" applyFont="1" applyBorder="1" applyAlignment="1">
      <alignment horizontal="center" vertical="center"/>
    </xf>
    <xf numFmtId="165" fontId="0" fillId="0" borderId="43" xfId="3" applyNumberFormat="1" applyFont="1" applyBorder="1" applyAlignment="1">
      <alignment horizontal="center" vertical="center"/>
    </xf>
    <xf numFmtId="165" fontId="0" fillId="0" borderId="46" xfId="3" applyNumberFormat="1" applyFont="1" applyBorder="1" applyAlignment="1">
      <alignment horizontal="center" vertical="center"/>
    </xf>
    <xf numFmtId="2" fontId="0" fillId="0" borderId="20" xfId="3" applyNumberFormat="1" applyFont="1" applyBorder="1" applyAlignment="1">
      <alignment horizontal="center" vertical="center"/>
    </xf>
    <xf numFmtId="2" fontId="0" fillId="0" borderId="13" xfId="3" applyNumberFormat="1" applyFont="1" applyBorder="1" applyAlignment="1">
      <alignment horizontal="center" vertical="center"/>
    </xf>
    <xf numFmtId="2" fontId="0" fillId="0" borderId="42" xfId="3" applyNumberFormat="1" applyFont="1" applyBorder="1" applyAlignment="1">
      <alignment horizontal="center" vertical="center"/>
    </xf>
    <xf numFmtId="2" fontId="0" fillId="0" borderId="0" xfId="3" applyNumberFormat="1" applyFont="1" applyAlignment="1">
      <alignment horizontal="center" vertical="center"/>
    </xf>
    <xf numFmtId="2" fontId="0" fillId="0" borderId="43" xfId="3" applyNumberFormat="1" applyFont="1" applyBorder="1" applyAlignment="1">
      <alignment horizontal="center" vertical="center"/>
    </xf>
    <xf numFmtId="2" fontId="0" fillId="0" borderId="44" xfId="3" applyNumberFormat="1" applyFont="1" applyBorder="1" applyAlignment="1">
      <alignment horizontal="center" vertical="center"/>
    </xf>
    <xf numFmtId="2" fontId="0" fillId="0" borderId="45" xfId="3" applyNumberFormat="1" applyFont="1" applyBorder="1" applyAlignment="1">
      <alignment horizontal="center" vertical="center"/>
    </xf>
    <xf numFmtId="2" fontId="0" fillId="0" borderId="46" xfId="3" applyNumberFormat="1" applyFont="1" applyBorder="1" applyAlignment="1">
      <alignment horizontal="center" vertical="center"/>
    </xf>
    <xf numFmtId="165" fontId="0" fillId="0" borderId="19" xfId="3" applyNumberFormat="1" applyFont="1" applyBorder="1" applyAlignment="1">
      <alignment horizontal="center" vertical="center"/>
    </xf>
    <xf numFmtId="165" fontId="0" fillId="0" borderId="20" xfId="3" applyNumberFormat="1" applyFont="1" applyBorder="1" applyAlignment="1">
      <alignment horizontal="center" vertical="center"/>
    </xf>
    <xf numFmtId="165" fontId="0" fillId="0" borderId="42" xfId="3" applyNumberFormat="1" applyFont="1" applyBorder="1" applyAlignment="1">
      <alignment horizontal="center" vertical="center"/>
    </xf>
    <xf numFmtId="165" fontId="0" fillId="0" borderId="0" xfId="3" applyNumberFormat="1" applyFont="1" applyAlignment="1">
      <alignment horizontal="center" vertical="center"/>
    </xf>
    <xf numFmtId="165" fontId="0" fillId="0" borderId="44" xfId="3" applyNumberFormat="1" applyFont="1" applyBorder="1" applyAlignment="1">
      <alignment horizontal="center" vertical="center"/>
    </xf>
    <xf numFmtId="165" fontId="0" fillId="0" borderId="45" xfId="3" applyNumberFormat="1" applyFont="1" applyBorder="1" applyAlignment="1">
      <alignment horizontal="center" vertical="center"/>
    </xf>
    <xf numFmtId="0" fontId="12" fillId="0" borderId="49" xfId="3" applyFont="1" applyBorder="1" applyAlignment="1">
      <alignment horizontal="center" vertical="center"/>
    </xf>
    <xf numFmtId="0" fontId="0" fillId="2" borderId="10" xfId="2" applyFont="1" applyFill="1" applyBorder="1" applyAlignment="1">
      <alignment horizontal="center" vertical="center"/>
    </xf>
    <xf numFmtId="0" fontId="12" fillId="2" borderId="31" xfId="2" applyFont="1" applyFill="1" applyBorder="1" applyAlignment="1">
      <alignment horizontal="center" vertical="center"/>
    </xf>
    <xf numFmtId="0" fontId="0" fillId="0" borderId="49" xfId="3" applyFont="1" applyBorder="1" applyAlignment="1">
      <alignment horizontal="center" vertical="center"/>
    </xf>
    <xf numFmtId="0" fontId="0" fillId="2" borderId="21" xfId="2" applyFont="1" applyFill="1" applyBorder="1" applyAlignment="1">
      <alignment horizontal="center"/>
    </xf>
    <xf numFmtId="0" fontId="0" fillId="2" borderId="22" xfId="2" applyFont="1" applyFill="1" applyBorder="1" applyAlignment="1">
      <alignment horizontal="center"/>
    </xf>
    <xf numFmtId="0" fontId="12" fillId="2" borderId="22" xfId="2" applyFont="1" applyFill="1" applyBorder="1" applyAlignment="1">
      <alignment horizontal="center" vertical="center"/>
    </xf>
    <xf numFmtId="0" fontId="0" fillId="2" borderId="23" xfId="2" applyFont="1" applyFill="1" applyBorder="1" applyAlignment="1">
      <alignment horizontal="center"/>
    </xf>
    <xf numFmtId="0" fontId="14" fillId="0" borderId="0" xfId="3" applyFont="1" applyAlignment="1">
      <alignment horizontal="center"/>
    </xf>
    <xf numFmtId="0" fontId="0" fillId="0" borderId="50" xfId="3" applyFont="1" applyBorder="1"/>
    <xf numFmtId="0" fontId="0" fillId="0" borderId="51" xfId="3" applyFont="1" applyBorder="1"/>
    <xf numFmtId="0" fontId="0" fillId="0" borderId="52" xfId="3" applyFont="1" applyBorder="1"/>
    <xf numFmtId="0" fontId="0" fillId="0" borderId="53" xfId="3" applyFont="1" applyBorder="1"/>
    <xf numFmtId="0" fontId="0" fillId="0" borderId="54" xfId="3" applyFont="1" applyBorder="1"/>
    <xf numFmtId="0" fontId="0" fillId="0" borderId="47" xfId="3" applyFont="1" applyBorder="1"/>
    <xf numFmtId="0" fontId="0" fillId="0" borderId="55" xfId="3" applyFont="1" applyBorder="1"/>
    <xf numFmtId="0" fontId="0" fillId="0" borderId="49" xfId="3" applyFont="1" applyBorder="1"/>
    <xf numFmtId="165" fontId="0" fillId="0" borderId="50" xfId="3" applyNumberFormat="1" applyFont="1" applyBorder="1" applyAlignment="1">
      <alignment horizontal="center" vertical="center"/>
    </xf>
    <xf numFmtId="165" fontId="0" fillId="0" borderId="56" xfId="3" applyNumberFormat="1" applyFont="1" applyBorder="1" applyAlignment="1">
      <alignment horizontal="center" vertical="center"/>
    </xf>
    <xf numFmtId="165" fontId="0" fillId="0" borderId="47" xfId="3" applyNumberFormat="1" applyFont="1" applyBorder="1" applyAlignment="1">
      <alignment horizontal="center" vertical="center"/>
    </xf>
    <xf numFmtId="165" fontId="0" fillId="0" borderId="53" xfId="3" applyNumberFormat="1" applyFont="1" applyBorder="1" applyAlignment="1">
      <alignment horizontal="center" vertical="center"/>
    </xf>
    <xf numFmtId="165" fontId="0" fillId="0" borderId="57" xfId="3" applyNumberFormat="1" applyFont="1" applyBorder="1" applyAlignment="1">
      <alignment horizontal="center" vertical="center"/>
    </xf>
    <xf numFmtId="0" fontId="16" fillId="0" borderId="0" xfId="3" applyFont="1" applyAlignment="1">
      <alignment vertical="center"/>
    </xf>
    <xf numFmtId="0" fontId="13" fillId="0" borderId="1" xfId="3" applyFont="1" applyBorder="1" applyAlignment="1">
      <alignment horizontal="center" vertical="center"/>
    </xf>
    <xf numFmtId="0" fontId="16" fillId="0" borderId="0" xfId="3" applyFont="1" applyAlignment="1">
      <alignment horizontal="center" vertical="center"/>
    </xf>
    <xf numFmtId="0" fontId="0" fillId="0" borderId="1" xfId="3" applyFont="1" applyBorder="1" applyAlignment="1">
      <alignment horizontal="center"/>
    </xf>
    <xf numFmtId="0" fontId="0" fillId="0" borderId="25" xfId="3" applyFont="1" applyBorder="1" applyAlignment="1">
      <alignment horizontal="center"/>
    </xf>
    <xf numFmtId="0" fontId="0" fillId="2" borderId="21" xfId="2" applyFont="1" applyFill="1" applyBorder="1" applyAlignment="1">
      <alignment horizontal="center" vertical="center"/>
    </xf>
    <xf numFmtId="0" fontId="15" fillId="2" borderId="22" xfId="2" applyFont="1" applyFill="1" applyBorder="1" applyAlignment="1">
      <alignment horizontal="center" vertical="center"/>
    </xf>
    <xf numFmtId="0" fontId="17" fillId="2" borderId="22" xfId="3" applyFont="1" applyFill="1" applyBorder="1" applyAlignment="1">
      <alignment horizontal="center" vertical="center" wrapText="1"/>
    </xf>
    <xf numFmtId="0" fontId="0" fillId="2" borderId="23" xfId="2" applyFont="1" applyFill="1" applyBorder="1" applyAlignment="1">
      <alignment horizontal="center" vertical="center"/>
    </xf>
    <xf numFmtId="165" fontId="0" fillId="0" borderId="49" xfId="3" applyNumberFormat="1" applyFont="1" applyBorder="1" applyAlignment="1">
      <alignment horizontal="center" vertical="center"/>
    </xf>
    <xf numFmtId="165" fontId="0" fillId="0" borderId="48" xfId="3" applyNumberFormat="1" applyFont="1" applyBorder="1" applyAlignment="1">
      <alignment horizontal="center" vertical="center"/>
    </xf>
    <xf numFmtId="0" fontId="0" fillId="2" borderId="11" xfId="2" applyFont="1" applyFill="1" applyBorder="1" applyAlignment="1">
      <alignment horizontal="center" vertical="center"/>
    </xf>
    <xf numFmtId="0" fontId="0" fillId="2" borderId="12" xfId="2" applyFont="1" applyFill="1" applyBorder="1" applyAlignment="1">
      <alignment horizontal="center" vertical="center"/>
    </xf>
    <xf numFmtId="165" fontId="0" fillId="0" borderId="51" xfId="3" applyNumberFormat="1" applyFont="1" applyBorder="1" applyAlignment="1">
      <alignment horizontal="center" vertical="center"/>
    </xf>
    <xf numFmtId="165" fontId="0" fillId="0" borderId="55" xfId="3" applyNumberFormat="1" applyFont="1" applyBorder="1" applyAlignment="1">
      <alignment horizontal="center" vertical="center"/>
    </xf>
    <xf numFmtId="0" fontId="13" fillId="0" borderId="48" xfId="3" applyFont="1" applyBorder="1" applyAlignment="1">
      <alignment horizontal="center" vertical="center"/>
    </xf>
    <xf numFmtId="0" fontId="0" fillId="2" borderId="22" xfId="2" applyFont="1" applyFill="1" applyBorder="1" applyAlignment="1">
      <alignment horizontal="center" vertical="center"/>
    </xf>
    <xf numFmtId="0" fontId="0" fillId="2" borderId="27" xfId="2" applyFont="1" applyFill="1" applyBorder="1" applyAlignment="1">
      <alignment horizontal="center" vertical="center"/>
    </xf>
    <xf numFmtId="0" fontId="0" fillId="2" borderId="18" xfId="2" applyFont="1" applyFill="1" applyBorder="1" applyAlignment="1">
      <alignment horizontal="center" vertical="center"/>
    </xf>
    <xf numFmtId="2" fontId="0" fillId="0" borderId="28" xfId="3" applyNumberFormat="1" applyFont="1" applyBorder="1" applyAlignment="1">
      <alignment horizontal="center" vertical="center"/>
    </xf>
    <xf numFmtId="164" fontId="0" fillId="0" borderId="10" xfId="3" applyNumberFormat="1" applyFont="1" applyBorder="1" applyAlignment="1">
      <alignment horizontal="center" vertical="center"/>
    </xf>
    <xf numFmtId="164" fontId="0" fillId="0" borderId="11" xfId="3" applyNumberFormat="1" applyFont="1" applyBorder="1" applyAlignment="1">
      <alignment horizontal="center" vertical="center"/>
    </xf>
    <xf numFmtId="0" fontId="0" fillId="2" borderId="15" xfId="2" applyFont="1" applyFill="1" applyBorder="1" applyAlignment="1">
      <alignment horizontal="center"/>
    </xf>
    <xf numFmtId="0" fontId="0" fillId="2" borderId="16" xfId="2" applyFont="1" applyFill="1" applyBorder="1" applyAlignment="1">
      <alignment horizontal="center"/>
    </xf>
    <xf numFmtId="0" fontId="12" fillId="0" borderId="5" xfId="3" applyFont="1" applyBorder="1" applyAlignment="1">
      <alignment horizontal="center" vertical="center"/>
    </xf>
    <xf numFmtId="0" fontId="12" fillId="0" borderId="7" xfId="3" applyFont="1" applyBorder="1" applyAlignment="1">
      <alignment horizontal="center" vertical="center"/>
    </xf>
    <xf numFmtId="0" fontId="0" fillId="0" borderId="43" xfId="3" applyFont="1" applyBorder="1" applyAlignment="1">
      <alignment horizontal="center"/>
    </xf>
    <xf numFmtId="165" fontId="0" fillId="0" borderId="2" xfId="3" applyNumberFormat="1" applyFont="1" applyBorder="1" applyAlignment="1">
      <alignment horizontal="center" vertical="center"/>
    </xf>
    <xf numFmtId="165" fontId="0" fillId="0" borderId="3" xfId="3" applyNumberFormat="1" applyFont="1" applyBorder="1" applyAlignment="1">
      <alignment horizontal="center" vertical="center"/>
    </xf>
    <xf numFmtId="165" fontId="0" fillId="0" borderId="4" xfId="3" applyNumberFormat="1" applyFont="1" applyBorder="1" applyAlignment="1">
      <alignment horizontal="center" vertical="center"/>
    </xf>
    <xf numFmtId="165" fontId="0" fillId="0" borderId="7" xfId="3" applyNumberFormat="1" applyFont="1" applyBorder="1" applyAlignment="1">
      <alignment horizontal="center" vertical="center"/>
    </xf>
    <xf numFmtId="0" fontId="0" fillId="2" borderId="11" xfId="3" applyFont="1" applyFill="1" applyBorder="1" applyAlignment="1">
      <alignment horizontal="center" vertical="center"/>
    </xf>
    <xf numFmtId="0" fontId="0" fillId="2" borderId="60" xfId="2" applyFont="1" applyFill="1" applyBorder="1" applyAlignment="1">
      <alignment horizontal="center" vertical="center"/>
    </xf>
    <xf numFmtId="0" fontId="0" fillId="2" borderId="57" xfId="2" applyFont="1" applyFill="1" applyBorder="1" applyAlignment="1">
      <alignment horizontal="center" vertical="center"/>
    </xf>
    <xf numFmtId="0" fontId="0" fillId="2" borderId="61" xfId="2" applyFont="1" applyFill="1" applyBorder="1" applyAlignment="1">
      <alignment horizontal="center" vertical="center"/>
    </xf>
    <xf numFmtId="0" fontId="0" fillId="2" borderId="32" xfId="3" applyFont="1" applyFill="1" applyBorder="1" applyAlignment="1">
      <alignment horizontal="center" vertical="center"/>
    </xf>
    <xf numFmtId="165" fontId="0" fillId="0" borderId="0" xfId="3" applyNumberFormat="1" applyFont="1"/>
    <xf numFmtId="0" fontId="0" fillId="0" borderId="19" xfId="3" applyFont="1" applyBorder="1"/>
    <xf numFmtId="0" fontId="0" fillId="0" borderId="20" xfId="3" applyFont="1" applyBorder="1"/>
    <xf numFmtId="0" fontId="0" fillId="0" borderId="13" xfId="3" applyFont="1" applyBorder="1"/>
    <xf numFmtId="0" fontId="0" fillId="0" borderId="42" xfId="3" applyFont="1" applyBorder="1"/>
    <xf numFmtId="0" fontId="0" fillId="0" borderId="43" xfId="3" applyFont="1" applyBorder="1"/>
    <xf numFmtId="0" fontId="0" fillId="0" borderId="44" xfId="3" applyFont="1" applyBorder="1"/>
    <xf numFmtId="0" fontId="0" fillId="0" borderId="45" xfId="3" applyFont="1" applyBorder="1"/>
    <xf numFmtId="0" fontId="0" fillId="0" borderId="46" xfId="3" applyFont="1" applyBorder="1"/>
    <xf numFmtId="0" fontId="17" fillId="7" borderId="22" xfId="3" applyFont="1" applyFill="1" applyBorder="1" applyAlignment="1">
      <alignment horizontal="center" vertical="center" wrapText="1"/>
    </xf>
    <xf numFmtId="0" fontId="6" fillId="7" borderId="15" xfId="3" applyFont="1" applyFill="1" applyBorder="1" applyAlignment="1">
      <alignment horizontal="center" vertical="center"/>
    </xf>
    <xf numFmtId="0" fontId="13" fillId="7" borderId="22" xfId="3" applyFont="1" applyFill="1" applyBorder="1" applyAlignment="1">
      <alignment horizontal="center" vertical="center"/>
    </xf>
    <xf numFmtId="0" fontId="6" fillId="7" borderId="23" xfId="3" applyFont="1" applyFill="1" applyBorder="1" applyAlignment="1">
      <alignment horizontal="center" vertical="center"/>
    </xf>
    <xf numFmtId="167" fontId="0" fillId="0" borderId="58" xfId="3" applyNumberFormat="1" applyFont="1" applyBorder="1" applyAlignment="1">
      <alignment horizontal="center" vertical="center"/>
    </xf>
    <xf numFmtId="167" fontId="0" fillId="0" borderId="3" xfId="3" applyNumberFormat="1" applyFont="1" applyBorder="1" applyAlignment="1">
      <alignment horizontal="center" vertical="center"/>
    </xf>
    <xf numFmtId="167" fontId="0" fillId="0" borderId="48" xfId="3" applyNumberFormat="1" applyFont="1" applyBorder="1" applyAlignment="1">
      <alignment horizontal="center" vertical="center"/>
    </xf>
    <xf numFmtId="167" fontId="0" fillId="0" borderId="1" xfId="3" applyNumberFormat="1" applyFont="1" applyBorder="1" applyAlignment="1">
      <alignment horizontal="center" vertical="center"/>
    </xf>
    <xf numFmtId="167" fontId="0" fillId="3" borderId="48" xfId="3" applyNumberFormat="1" applyFont="1" applyFill="1" applyBorder="1" applyAlignment="1">
      <alignment horizontal="center" vertical="center"/>
    </xf>
    <xf numFmtId="167" fontId="0" fillId="3" borderId="1" xfId="3" applyNumberFormat="1" applyFont="1" applyFill="1" applyBorder="1" applyAlignment="1">
      <alignment horizontal="center" vertical="center"/>
    </xf>
    <xf numFmtId="167" fontId="0" fillId="0" borderId="19" xfId="3" applyNumberFormat="1" applyFont="1" applyBorder="1" applyAlignment="1">
      <alignment horizontal="center" vertical="center"/>
    </xf>
    <xf numFmtId="167" fontId="0" fillId="0" borderId="13" xfId="3" applyNumberFormat="1" applyFont="1" applyBorder="1" applyAlignment="1">
      <alignment horizontal="center" vertical="center"/>
    </xf>
    <xf numFmtId="167" fontId="0" fillId="0" borderId="42" xfId="3" applyNumberFormat="1" applyFont="1" applyBorder="1" applyAlignment="1">
      <alignment horizontal="center" vertical="center"/>
    </xf>
    <xf numFmtId="167" fontId="0" fillId="0" borderId="43" xfId="3" applyNumberFormat="1" applyFont="1" applyBorder="1" applyAlignment="1">
      <alignment horizontal="center" vertical="center"/>
    </xf>
    <xf numFmtId="167" fontId="0" fillId="0" borderId="44" xfId="3" applyNumberFormat="1" applyFont="1" applyBorder="1" applyAlignment="1">
      <alignment horizontal="center" vertical="center"/>
    </xf>
    <xf numFmtId="167" fontId="0" fillId="0" borderId="46" xfId="3" applyNumberFormat="1" applyFont="1" applyBorder="1" applyAlignment="1">
      <alignment horizontal="center" vertical="center"/>
    </xf>
    <xf numFmtId="0" fontId="19" fillId="8" borderId="3" xfId="3" applyFont="1" applyFill="1" applyBorder="1" applyAlignment="1">
      <alignment horizontal="center"/>
    </xf>
    <xf numFmtId="0" fontId="19" fillId="8" borderId="4" xfId="3" applyFont="1" applyFill="1" applyBorder="1" applyAlignment="1">
      <alignment horizontal="center" vertical="center"/>
    </xf>
    <xf numFmtId="0" fontId="19" fillId="8" borderId="1" xfId="3" applyFont="1" applyFill="1" applyBorder="1" applyAlignment="1">
      <alignment horizontal="center"/>
    </xf>
    <xf numFmtId="0" fontId="19" fillId="8" borderId="6" xfId="3" applyFont="1" applyFill="1" applyBorder="1" applyAlignment="1">
      <alignment horizontal="center" vertical="center"/>
    </xf>
    <xf numFmtId="0" fontId="20" fillId="9" borderId="1" xfId="3" applyFont="1" applyFill="1" applyBorder="1" applyAlignment="1">
      <alignment horizontal="center"/>
    </xf>
    <xf numFmtId="0" fontId="20" fillId="9" borderId="6" xfId="3" applyFont="1" applyFill="1" applyBorder="1" applyAlignment="1">
      <alignment horizontal="center" vertical="center"/>
    </xf>
    <xf numFmtId="0" fontId="20" fillId="9" borderId="8" xfId="3" applyFont="1" applyFill="1" applyBorder="1" applyAlignment="1">
      <alignment horizontal="center"/>
    </xf>
    <xf numFmtId="0" fontId="20" fillId="9" borderId="9" xfId="3" applyFont="1" applyFill="1" applyBorder="1" applyAlignment="1">
      <alignment horizontal="center" vertical="center"/>
    </xf>
    <xf numFmtId="0" fontId="6" fillId="10" borderId="0" xfId="3" applyFont="1" applyFill="1" applyAlignment="1">
      <alignment horizontal="center"/>
    </xf>
    <xf numFmtId="167" fontId="0" fillId="11" borderId="48" xfId="3" applyNumberFormat="1" applyFont="1" applyFill="1" applyBorder="1" applyAlignment="1">
      <alignment horizontal="center" vertical="center"/>
    </xf>
    <xf numFmtId="167" fontId="0" fillId="11" borderId="1" xfId="3" applyNumberFormat="1" applyFont="1" applyFill="1" applyBorder="1" applyAlignment="1">
      <alignment horizontal="center" vertical="center"/>
    </xf>
    <xf numFmtId="167" fontId="1" fillId="12" borderId="48" xfId="3" applyNumberFormat="1" applyFill="1" applyBorder="1" applyAlignment="1">
      <alignment horizontal="center" vertical="center"/>
    </xf>
    <xf numFmtId="167" fontId="1" fillId="12" borderId="1" xfId="3" applyNumberFormat="1" applyFill="1" applyBorder="1" applyAlignment="1">
      <alignment horizontal="center" vertical="center"/>
    </xf>
    <xf numFmtId="167" fontId="0" fillId="12" borderId="1" xfId="3" applyNumberFormat="1" applyFont="1" applyFill="1" applyBorder="1" applyAlignment="1">
      <alignment horizontal="center" vertical="center"/>
    </xf>
    <xf numFmtId="167" fontId="0" fillId="12" borderId="59" xfId="3" applyNumberFormat="1" applyFont="1" applyFill="1" applyBorder="1" applyAlignment="1">
      <alignment horizontal="center" vertical="center"/>
    </xf>
    <xf numFmtId="167" fontId="0" fillId="12" borderId="8" xfId="3" applyNumberFormat="1" applyFont="1" applyFill="1" applyBorder="1" applyAlignment="1">
      <alignment horizontal="center" vertical="center"/>
    </xf>
    <xf numFmtId="165" fontId="0" fillId="0" borderId="49" xfId="0" applyNumberFormat="1" applyBorder="1" applyAlignment="1">
      <alignment horizontal="center" vertical="center"/>
    </xf>
    <xf numFmtId="165" fontId="0" fillId="0" borderId="48" xfId="0" applyNumberFormat="1" applyBorder="1" applyAlignment="1">
      <alignment horizontal="center" vertical="center"/>
    </xf>
    <xf numFmtId="165" fontId="0" fillId="0" borderId="25" xfId="0" applyNumberForma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0" fontId="0" fillId="3" borderId="21" xfId="3" applyFont="1" applyFill="1" applyBorder="1" applyAlignment="1">
      <alignment horizontal="center"/>
    </xf>
    <xf numFmtId="0" fontId="0" fillId="3" borderId="22" xfId="3" applyFont="1" applyFill="1" applyBorder="1" applyAlignment="1">
      <alignment horizontal="center"/>
    </xf>
    <xf numFmtId="0" fontId="0" fillId="3" borderId="23" xfId="3" applyFont="1" applyFill="1" applyBorder="1" applyAlignment="1">
      <alignment horizontal="center"/>
    </xf>
    <xf numFmtId="0" fontId="0" fillId="3" borderId="19" xfId="3" applyFont="1" applyFill="1" applyBorder="1" applyAlignment="1">
      <alignment horizontal="center" vertical="center"/>
    </xf>
    <xf numFmtId="0" fontId="0" fillId="3" borderId="20" xfId="3" applyFont="1" applyFill="1" applyBorder="1" applyAlignment="1">
      <alignment horizontal="center" vertical="center"/>
    </xf>
    <xf numFmtId="0" fontId="0" fillId="3" borderId="13" xfId="3" applyFont="1" applyFill="1" applyBorder="1" applyAlignment="1">
      <alignment horizontal="center" vertical="center"/>
    </xf>
    <xf numFmtId="0" fontId="0" fillId="2" borderId="27" xfId="3" applyFont="1" applyFill="1" applyBorder="1" applyAlignment="1">
      <alignment horizontal="center" vertical="center"/>
    </xf>
    <xf numFmtId="0" fontId="0" fillId="2" borderId="28" xfId="3" applyFont="1" applyFill="1" applyBorder="1" applyAlignment="1">
      <alignment horizontal="center" vertical="center"/>
    </xf>
    <xf numFmtId="0" fontId="0" fillId="2" borderId="14" xfId="3" applyFont="1" applyFill="1" applyBorder="1" applyAlignment="1">
      <alignment horizontal="center" vertical="center"/>
    </xf>
    <xf numFmtId="0" fontId="0" fillId="2" borderId="29" xfId="3" applyFont="1" applyFill="1" applyBorder="1" applyAlignment="1">
      <alignment horizontal="center" vertical="center"/>
    </xf>
    <xf numFmtId="0" fontId="0" fillId="2" borderId="30" xfId="3" applyFont="1" applyFill="1" applyBorder="1" applyAlignment="1">
      <alignment horizontal="center" vertical="center"/>
    </xf>
    <xf numFmtId="0" fontId="0" fillId="2" borderId="31" xfId="3" applyFont="1" applyFill="1" applyBorder="1" applyAlignment="1">
      <alignment horizontal="center" vertical="center"/>
    </xf>
    <xf numFmtId="0" fontId="0" fillId="2" borderId="15" xfId="3" applyFont="1" applyFill="1" applyBorder="1" applyAlignment="1">
      <alignment horizontal="center" vertical="center"/>
    </xf>
    <xf numFmtId="0" fontId="0" fillId="2" borderId="16" xfId="3" applyFont="1" applyFill="1" applyBorder="1" applyAlignment="1">
      <alignment horizontal="center" vertical="center"/>
    </xf>
    <xf numFmtId="0" fontId="0" fillId="2" borderId="17" xfId="3" applyFont="1" applyFill="1" applyBorder="1" applyAlignment="1">
      <alignment horizontal="center" vertical="center"/>
    </xf>
    <xf numFmtId="0" fontId="0" fillId="2" borderId="2" xfId="3" applyFont="1" applyFill="1" applyBorder="1" applyAlignment="1">
      <alignment horizontal="center" vertical="center"/>
    </xf>
    <xf numFmtId="0" fontId="0" fillId="2" borderId="3" xfId="3" applyFont="1" applyFill="1" applyBorder="1" applyAlignment="1">
      <alignment horizontal="center" vertical="center"/>
    </xf>
    <xf numFmtId="0" fontId="0" fillId="2" borderId="4" xfId="3" applyFont="1" applyFill="1" applyBorder="1" applyAlignment="1">
      <alignment horizontal="center" vertical="center"/>
    </xf>
    <xf numFmtId="0" fontId="0" fillId="2" borderId="27" xfId="3" applyFont="1" applyFill="1" applyBorder="1" applyAlignment="1">
      <alignment horizontal="center"/>
    </xf>
    <xf numFmtId="0" fontId="0" fillId="2" borderId="28" xfId="3" applyFont="1" applyFill="1" applyBorder="1" applyAlignment="1">
      <alignment horizontal="center"/>
    </xf>
    <xf numFmtId="0" fontId="0" fillId="2" borderId="14" xfId="3" applyFont="1" applyFill="1" applyBorder="1" applyAlignment="1">
      <alignment horizontal="center"/>
    </xf>
    <xf numFmtId="0" fontId="0" fillId="2" borderId="19" xfId="3" applyFont="1" applyFill="1" applyBorder="1" applyAlignment="1">
      <alignment horizontal="center"/>
    </xf>
    <xf numFmtId="0" fontId="0" fillId="2" borderId="20" xfId="3" applyFont="1" applyFill="1" applyBorder="1" applyAlignment="1">
      <alignment horizontal="center"/>
    </xf>
    <xf numFmtId="0" fontId="0" fillId="2" borderId="13" xfId="3" applyFont="1" applyFill="1" applyBorder="1" applyAlignment="1">
      <alignment horizontal="center"/>
    </xf>
    <xf numFmtId="0" fontId="0" fillId="2" borderId="19" xfId="3" applyFont="1" applyFill="1" applyBorder="1" applyAlignment="1">
      <alignment horizontal="center" vertical="center"/>
    </xf>
    <xf numFmtId="0" fontId="0" fillId="2" borderId="20" xfId="3" applyFont="1" applyFill="1" applyBorder="1" applyAlignment="1">
      <alignment horizontal="center" vertical="center"/>
    </xf>
    <xf numFmtId="0" fontId="0" fillId="2" borderId="13" xfId="3" applyFont="1" applyFill="1" applyBorder="1" applyAlignment="1">
      <alignment horizontal="center" vertical="center"/>
    </xf>
    <xf numFmtId="0" fontId="0" fillId="3" borderId="27" xfId="2" applyFont="1" applyFill="1" applyBorder="1" applyAlignment="1">
      <alignment horizontal="center" vertical="center"/>
    </xf>
    <xf numFmtId="0" fontId="0" fillId="3" borderId="14" xfId="2" applyFont="1" applyFill="1" applyBorder="1" applyAlignment="1">
      <alignment horizontal="center" vertical="center"/>
    </xf>
    <xf numFmtId="0" fontId="0" fillId="3" borderId="27" xfId="3" applyFont="1" applyFill="1" applyBorder="1" applyAlignment="1">
      <alignment horizontal="center" vertical="center"/>
    </xf>
    <xf numFmtId="0" fontId="0" fillId="3" borderId="14" xfId="3" applyFont="1" applyFill="1" applyBorder="1" applyAlignment="1">
      <alignment horizontal="center" vertical="center"/>
    </xf>
    <xf numFmtId="0" fontId="0" fillId="3" borderId="28" xfId="3" applyFont="1" applyFill="1" applyBorder="1" applyAlignment="1">
      <alignment horizontal="center" vertical="center"/>
    </xf>
    <xf numFmtId="0" fontId="0" fillId="2" borderId="21" xfId="2" applyFont="1" applyFill="1" applyBorder="1" applyAlignment="1">
      <alignment horizontal="center" vertical="center"/>
    </xf>
    <xf numFmtId="0" fontId="0" fillId="2" borderId="22" xfId="2" applyFont="1" applyFill="1" applyBorder="1" applyAlignment="1">
      <alignment horizontal="center" vertical="center"/>
    </xf>
    <xf numFmtId="0" fontId="0" fillId="2" borderId="23" xfId="2" applyFont="1" applyFill="1" applyBorder="1" applyAlignment="1">
      <alignment horizontal="center" vertical="center"/>
    </xf>
    <xf numFmtId="0" fontId="0" fillId="2" borderId="11" xfId="2" applyFont="1" applyFill="1" applyBorder="1" applyAlignment="1">
      <alignment horizontal="center" vertical="center"/>
    </xf>
    <xf numFmtId="0" fontId="0" fillId="2" borderId="12" xfId="2" applyFont="1" applyFill="1" applyBorder="1" applyAlignment="1">
      <alignment horizontal="center" vertical="center"/>
    </xf>
    <xf numFmtId="0" fontId="0" fillId="2" borderId="10" xfId="2" applyFont="1" applyFill="1" applyBorder="1" applyAlignment="1">
      <alignment horizontal="center" vertical="center"/>
    </xf>
    <xf numFmtId="0" fontId="0" fillId="2" borderId="19" xfId="2" applyFont="1" applyFill="1" applyBorder="1" applyAlignment="1">
      <alignment horizontal="center" vertical="center"/>
    </xf>
    <xf numFmtId="0" fontId="0" fillId="2" borderId="42" xfId="2" applyFont="1" applyFill="1" applyBorder="1" applyAlignment="1">
      <alignment horizontal="center" vertical="center"/>
    </xf>
    <xf numFmtId="0" fontId="0" fillId="2" borderId="44" xfId="2" applyFont="1" applyFill="1" applyBorder="1" applyAlignment="1">
      <alignment horizontal="center" vertical="center"/>
    </xf>
    <xf numFmtId="0" fontId="18" fillId="3" borderId="62" xfId="2" applyFont="1" applyFill="1" applyBorder="1" applyAlignment="1">
      <alignment horizontal="center" vertical="center"/>
    </xf>
    <xf numFmtId="0" fontId="18" fillId="3" borderId="14" xfId="2" applyFont="1" applyFill="1" applyBorder="1" applyAlignment="1">
      <alignment horizontal="center" vertical="center"/>
    </xf>
    <xf numFmtId="0" fontId="0" fillId="2" borderId="32" xfId="2" applyFont="1" applyFill="1" applyBorder="1" applyAlignment="1">
      <alignment horizontal="center" vertical="center"/>
    </xf>
    <xf numFmtId="0" fontId="18" fillId="3" borderId="27" xfId="2" applyFont="1" applyFill="1" applyBorder="1" applyAlignment="1">
      <alignment horizontal="center" vertical="center"/>
    </xf>
    <xf numFmtId="0" fontId="18" fillId="3" borderId="28" xfId="2" applyFont="1" applyFill="1" applyBorder="1" applyAlignment="1">
      <alignment horizontal="center" vertical="center"/>
    </xf>
    <xf numFmtId="0" fontId="8" fillId="3" borderId="21" xfId="2" applyFont="1" applyFill="1" applyBorder="1" applyAlignment="1">
      <alignment horizontal="center" vertical="center"/>
    </xf>
    <xf numFmtId="0" fontId="8" fillId="3" borderId="22" xfId="2" applyFont="1" applyFill="1" applyBorder="1" applyAlignment="1">
      <alignment horizontal="center" vertical="center"/>
    </xf>
    <xf numFmtId="0" fontId="8" fillId="3" borderId="62" xfId="2" applyFont="1" applyFill="1" applyBorder="1" applyAlignment="1">
      <alignment horizontal="center" vertical="center"/>
    </xf>
    <xf numFmtId="0" fontId="8" fillId="3" borderId="14" xfId="2" applyFont="1" applyFill="1" applyBorder="1" applyAlignment="1">
      <alignment horizontal="center" vertical="center"/>
    </xf>
    <xf numFmtId="0" fontId="25" fillId="13" borderId="18" xfId="3" applyFont="1" applyFill="1" applyBorder="1" applyAlignment="1">
      <alignment vertical="center" horizontal="center"/>
    </xf>
    <xf numFmtId="0" fontId="25" fillId="13" borderId="14" xfId="3" applyFont="1" applyBorder="1" applyFill="1" applyAlignment="1">
      <alignment vertical="center" horizontal="center"/>
    </xf>
    <xf numFmtId="0" fontId="26" fillId="14" borderId="21" xfId="3" applyFont="1" applyFill="1" applyBorder="1" applyAlignment="1">
      <alignment vertical="center" horizontal="center"/>
    </xf>
    <xf numFmtId="0" fontId="26" fillId="14" borderId="22" xfId="3" applyFont="1" applyFill="1" applyBorder="1" applyAlignment="1">
      <alignment vertical="center" horizontal="center"/>
    </xf>
    <xf numFmtId="0" fontId="26" fillId="14" borderId="23" xfId="3" applyFont="1" applyFill="1" applyBorder="1" applyAlignment="1">
      <alignment vertical="center" horizontal="center"/>
    </xf>
    <xf numFmtId="0" fontId="25" fillId="15" borderId="18" xfId="3" applyFont="1" applyFill="1" applyBorder="1" applyAlignment="1">
      <alignment vertical="center" horizontal="center"/>
    </xf>
    <xf numFmtId="0" fontId="25" fillId="15" borderId="18" xfId="1" applyFont="1" applyFill="1" applyBorder="1" applyAlignment="1">
      <alignment vertical="center" horizontal="center"/>
    </xf>
    <xf numFmtId="0" fontId="26" fillId="14" borderId="19" xfId="3" applyFont="1" applyFill="1" applyBorder="1" applyAlignment="1">
      <alignment vertical="center" horizontal="center"/>
    </xf>
    <xf numFmtId="0" fontId="26" fillId="14" borderId="20" xfId="3" applyFont="1" applyFill="1" applyBorder="1" applyAlignment="1">
      <alignment vertical="center" horizontal="center"/>
    </xf>
    <xf numFmtId="0" fontId="26" fillId="14" borderId="13" xfId="3" applyFont="1" applyFill="1" applyBorder="1" applyAlignment="1">
      <alignment vertical="center" horizontal="center"/>
    </xf>
    <xf numFmtId="0" fontId="26" fillId="14" borderId="15" xfId="3" applyFont="1" applyFill="1" applyBorder="1" applyAlignment="1">
      <alignment vertical="center" horizontal="center"/>
    </xf>
    <xf numFmtId="0" fontId="26" fillId="14" borderId="16" xfId="3" applyFont="1" applyFill="1" applyBorder="1" applyAlignment="1">
      <alignment vertical="center" horizontal="center"/>
    </xf>
    <xf numFmtId="0" fontId="26" fillId="14" borderId="17" xfId="3" applyFont="1" applyFill="1" applyBorder="1" applyAlignment="1">
      <alignment vertical="center" horizontal="center"/>
    </xf>
    <xf numFmtId="0" fontId="27" fillId="15" borderId="2" xfId="3" applyFont="1" applyBorder="1" applyAlignment="1" applyFill="1">
      <alignment vertical="center" horizontal="center"/>
    </xf>
    <xf numFmtId="0" fontId="27" fillId="15" borderId="5" xfId="3" applyFont="1" applyBorder="1" applyAlignment="1" applyFill="1">
      <alignment vertical="center" horizontal="center"/>
    </xf>
    <xf numFmtId="0" fontId="27" fillId="15" borderId="7" xfId="3" applyFont="1" applyBorder="1" applyAlignment="1" applyFill="1">
      <alignment vertical="center" horizontal="center"/>
    </xf>
    <xf numFmtId="0" fontId="27" fillId="15" borderId="10" xfId="3" applyFont="1" applyFill="1" applyBorder="1" applyAlignment="1">
      <alignment vertical="center" horizontal="center"/>
    </xf>
    <xf numFmtId="0" fontId="27" fillId="15" borderId="12" xfId="3" applyFont="1" applyFill="1" applyBorder="1" applyAlignment="1">
      <alignment vertical="center" horizontal="center"/>
    </xf>
    <xf numFmtId="0" fontId="27" fillId="0" borderId="2" xfId="3" applyFont="1" applyBorder="1" applyAlignment="1">
      <alignment vertical="center" horizontal="center"/>
    </xf>
    <xf numFmtId="0" fontId="27" fillId="0" borderId="4" xfId="3" applyFont="1" applyBorder="1" applyAlignment="1">
      <alignment vertical="center" horizontal="center"/>
    </xf>
    <xf numFmtId="0" fontId="27" fillId="0" borderId="7" xfId="3" applyFont="1" applyBorder="1" applyAlignment="1">
      <alignment vertical="center" horizontal="center"/>
    </xf>
    <xf numFmtId="0" fontId="27" fillId="0" borderId="9" xfId="3" applyFont="1" applyBorder="1" applyAlignment="1">
      <alignment vertical="center" horizontal="center"/>
    </xf>
    <xf numFmtId="0" fontId="26" fillId="16" borderId="21" xfId="3" applyFont="1" applyFill="1" applyBorder="1" applyAlignment="1">
      <alignment vertical="center" horizontal="center"/>
    </xf>
    <xf numFmtId="0" fontId="26" fillId="16" borderId="22" xfId="3" applyFont="1" applyFill="1" applyBorder="1" applyAlignment="1">
      <alignment vertical="center" horizontal="center"/>
    </xf>
    <xf numFmtId="0" fontId="26" fillId="16" borderId="23" xfId="3" applyFont="1" applyFill="1" applyBorder="1" applyAlignment="1">
      <alignment vertical="center" horizontal="center"/>
    </xf>
    <xf numFmtId="0" fontId="26" fillId="16" borderId="0" xfId="0" applyFill="1" applyFont="1" applyAlignment="1">
      <alignment vertical="center" horizontal="center"/>
    </xf>
    <xf numFmtId="0" fontId="26" fillId="16" borderId="19" xfId="3" applyFont="1" applyFill="1" applyBorder="1" applyAlignment="1">
      <alignment vertical="center" horizontal="center"/>
    </xf>
    <xf numFmtId="0" fontId="25" fillId="15" borderId="0" xfId="0" applyFill="1" applyFont="1" applyAlignment="1">
      <alignment vertical="center" horizontal="center"/>
    </xf>
    <xf numFmtId="0" fontId="25" fillId="15" borderId="15" xfId="3" applyFont="1" applyFill="1" applyBorder="1" applyAlignment="1">
      <alignment vertical="center" horizontal="center"/>
    </xf>
    <xf numFmtId="0" fontId="26" fillId="16" borderId="21" xfId="3" applyFont="1" applyFill="1" applyBorder="1" applyAlignment="1">
      <alignment vertical="center" horizontal="center"/>
    </xf>
    <xf numFmtId="0" fontId="26" fillId="16" borderId="22" xfId="3" applyFont="1" applyFill="1" applyBorder="1" applyAlignment="1">
      <alignment vertical="center" horizontal="center"/>
    </xf>
    <xf numFmtId="0" fontId="26" fillId="16" borderId="22" xfId="3" applyFont="1" applyFill="1" applyBorder="1" applyAlignment="1">
      <alignment vertical="center" horizontal="center"/>
    </xf>
    <xf numFmtId="0" fontId="26" fillId="16" borderId="22" xfId="3" applyFont="1" applyFill="1" applyBorder="1" applyAlignment="1">
      <alignment vertical="center" horizontal="center"/>
    </xf>
    <xf numFmtId="49" fontId="26" fillId="16" borderId="22" xfId="3" applyNumberFormat="1" applyFont="1" applyFill="1" applyBorder="1" applyAlignment="1">
      <alignment vertical="center" horizontal="center"/>
    </xf>
    <xf numFmtId="0" fontId="26" fillId="16" borderId="23" xfId="3" applyFont="1" applyFill="1" applyBorder="1" applyAlignment="1">
      <alignment vertical="center" horizontal="center"/>
    </xf>
    <xf numFmtId="0" fontId="28" fillId="16" borderId="27" xfId="3" applyFont="1" applyFill="1" applyBorder="1" applyAlignment="1">
      <alignment vertical="center" horizontal="center"/>
    </xf>
    <xf numFmtId="0" fontId="28" fillId="16" borderId="28" xfId="3" applyFont="1" applyFill="1" applyBorder="1" applyAlignment="1">
      <alignment vertical="center" horizontal="center"/>
    </xf>
    <xf numFmtId="0" fontId="28" fillId="16" borderId="14" xfId="3" applyFont="1" applyFill="1" applyBorder="1" applyAlignment="1">
      <alignment vertical="center" horizontal="center"/>
    </xf>
    <xf numFmtId="0" fontId="28" fillId="16" borderId="2" xfId="3" applyFont="1" applyFill="1" applyBorder="1" applyAlignment="1">
      <alignment vertical="center" horizontal="center"/>
    </xf>
    <xf numFmtId="0" fontId="28" fillId="16" borderId="3" xfId="3" applyFont="1" applyFill="1" applyBorder="1" applyAlignment="1">
      <alignment vertical="center" horizontal="center"/>
    </xf>
    <xf numFmtId="0" fontId="28" fillId="16" borderId="4" xfId="3" applyFont="1" applyFill="1" applyBorder="1" applyAlignment="1">
      <alignment vertical="center" horizontal="center"/>
    </xf>
    <xf numFmtId="0" fontId="28" fillId="16" borderId="7" xfId="3" applyFont="1" applyFill="1" applyBorder="1" applyAlignment="1">
      <alignment vertical="center" horizontal="center"/>
    </xf>
    <xf numFmtId="0" fontId="28" fillId="16" borderId="8" xfId="3" applyFont="1" applyFill="1" applyBorder="1" applyAlignment="1">
      <alignment vertical="center" horizontal="center"/>
    </xf>
    <xf numFmtId="0" fontId="28" fillId="16" borderId="9" xfId="3" applyFont="1" applyFill="1" applyBorder="1" applyAlignment="1">
      <alignment vertical="center" horizontal="center"/>
    </xf>
    <xf numFmtId="0" fontId="28" fillId="16" borderId="29" xfId="3" applyFont="1" applyFill="1" applyBorder="1" applyAlignment="1">
      <alignment vertical="center" horizontal="center"/>
    </xf>
    <xf numFmtId="0" fontId="28" fillId="16" borderId="30" xfId="3" applyFont="1" applyFill="1" applyBorder="1" applyAlignment="1">
      <alignment vertical="center" horizontal="center"/>
    </xf>
    <xf numFmtId="0" fontId="28" fillId="16" borderId="31" xfId="3" applyFont="1" applyFill="1" applyBorder="1" applyAlignment="1">
      <alignment vertical="center" horizontal="center"/>
    </xf>
    <xf numFmtId="0" fontId="26" fillId="16" borderId="27" xfId="3" applyFont="1" applyFill="1" applyBorder="1" applyAlignment="1">
      <alignment vertical="center" horizontal="center"/>
    </xf>
    <xf numFmtId="0" fontId="26" fillId="16" borderId="28" xfId="3" applyFont="1" applyFill="1" applyBorder="1" applyAlignment="1">
      <alignment vertical="center" horizontal="center"/>
    </xf>
    <xf numFmtId="0" fontId="26" fillId="16" borderId="14" xfId="3" applyFont="1" applyFill="1" applyBorder="1" applyAlignment="1">
      <alignment vertical="center" horizontal="center"/>
    </xf>
    <xf numFmtId="0" fontId="26" fillId="16" borderId="27" xfId="3" applyFont="1" applyFill="1" applyBorder="1" applyAlignment="1">
      <alignment vertical="center" horizontal="center"/>
    </xf>
    <xf numFmtId="0" fontId="26" fillId="16" borderId="28" xfId="3" applyFont="1" applyFill="1" applyBorder="1" applyAlignment="1">
      <alignment vertical="center" horizontal="center"/>
    </xf>
    <xf numFmtId="0" fontId="26" fillId="16" borderId="14" xfId="3" applyFont="1" applyFill="1" applyBorder="1" applyAlignment="1">
      <alignment vertical="center" horizontal="center"/>
    </xf>
    <xf numFmtId="0" fontId="26" fillId="16" borderId="27" xfId="2" applyFont="1" applyFill="1" applyBorder="1" applyAlignment="1">
      <alignment vertical="center" horizontal="center"/>
    </xf>
    <xf numFmtId="0" fontId="26" fillId="16" borderId="23" xfId="2" applyFont="1" applyFill="1" applyBorder="1" applyAlignment="1">
      <alignment vertical="center" horizontal="center"/>
    </xf>
    <xf numFmtId="0" fontId="26" fillId="16" borderId="18" xfId="2" applyFont="1" applyFill="1" applyBorder="1" applyAlignment="1">
      <alignment vertical="center" horizontal="center"/>
    </xf>
    <xf numFmtId="0" fontId="26" fillId="16" borderId="19" xfId="3" applyFont="1" applyFill="1" applyBorder="1" applyAlignment="1">
      <alignment vertical="center" horizontal="center"/>
    </xf>
    <xf numFmtId="0" fontId="26" fillId="16" borderId="18" xfId="3" applyFont="1" applyFill="1" applyBorder="1" applyAlignment="1">
      <alignment vertical="center" horizontal="center"/>
    </xf>
    <xf numFmtId="0" fontId="26" fillId="16" borderId="13" xfId="3" applyFont="1" applyFill="1" applyBorder="1" applyAlignment="1">
      <alignment vertical="center" horizontal="center"/>
    </xf>
    <xf numFmtId="0" fontId="26" fillId="16" borderId="29" xfId="3" applyFont="1" applyFill="1" applyBorder="1" applyAlignment="1">
      <alignment vertical="center" horizontal="center"/>
    </xf>
    <xf numFmtId="0" fontId="28" fillId="17" borderId="0" xfId="3" applyFont="1" applyAlignment="1" applyFill="1">
      <alignment vertical="center" horizontal="center"/>
    </xf>
    <xf numFmtId="0" fontId="26" fillId="17" borderId="21" xfId="2" applyFont="1" applyFill="1" applyBorder="1" applyAlignment="1">
      <alignment vertical="center" horizontal="center"/>
    </xf>
    <xf numFmtId="0" fontId="26" fillId="17" borderId="22" xfId="2" applyFont="1" applyFill="1" applyBorder="1" applyAlignment="1">
      <alignment vertical="center" horizontal="center"/>
    </xf>
    <xf numFmtId="0" fontId="26" fillId="17" borderId="62" xfId="2" applyFont="1" applyFill="1" applyBorder="1" applyAlignment="1">
      <alignment vertical="center" horizontal="center"/>
    </xf>
    <xf numFmtId="0" fontId="26" fillId="17" borderId="14" xfId="2" applyFont="1" applyFill="1" applyBorder="1" applyAlignment="1">
      <alignment vertical="center" horizontal="center"/>
    </xf>
    <xf numFmtId="0" fontId="27" fillId="15" borderId="60" xfId="2" applyFont="1" applyFill="1" applyBorder="1" applyAlignment="1">
      <alignment vertical="center" horizontal="center"/>
    </xf>
    <xf numFmtId="0" fontId="27" fillId="15" borderId="57" xfId="2" applyFont="1" applyFill="1" applyBorder="1" applyAlignment="1">
      <alignment vertical="center" horizontal="center"/>
    </xf>
    <xf numFmtId="0" fontId="27" fillId="15" borderId="61" xfId="2" applyFont="1" applyFill="1" applyBorder="1" applyAlignment="1">
      <alignment vertical="center" horizontal="center"/>
    </xf>
    <xf numFmtId="0" fontId="28" fillId="14" borderId="10" xfId="2" applyFont="1" applyFill="1" applyBorder="1" applyAlignment="1">
      <alignment vertical="center" horizontal="center"/>
    </xf>
    <xf numFmtId="0" fontId="28" fillId="14" borderId="12" xfId="2" applyFont="1" applyFill="1" applyBorder="1" applyAlignment="1">
      <alignment vertical="center" horizontal="center"/>
    </xf>
    <xf numFmtId="0" fontId="28" fillId="14" borderId="32" xfId="2" applyFont="1" applyFill="1" applyBorder="1" applyAlignment="1">
      <alignment vertical="center" horizontal="center"/>
    </xf>
    <xf numFmtId="0" fontId="25" fillId="7" borderId="22" xfId="3" applyFont="1" applyFill="1" applyBorder="1" applyAlignment="1">
      <alignment vertical="center" horizontal="center" wrapText="1"/>
    </xf>
    <xf numFmtId="0" fontId="25" fillId="7" borderId="22" xfId="3" applyFont="1" applyFill="1" applyBorder="1" applyAlignment="1">
      <alignment vertical="center" horizontal="center" wrapText="1"/>
    </xf>
    <xf numFmtId="0" fontId="25" fillId="7" borderId="23" xfId="3" applyFont="1" applyFill="1" applyBorder="1" applyAlignment="1">
      <alignment vertical="center" horizontal="center" wrapText="1"/>
    </xf>
    <xf numFmtId="167" fontId="25" fillId="7" borderId="58" xfId="3" applyNumberFormat="1" applyFont="1" applyBorder="1" applyAlignment="1" applyFill="1">
      <alignment vertical="center" horizontal="center" wrapText="1"/>
    </xf>
    <xf numFmtId="167" fontId="25" fillId="7" borderId="3" xfId="3" applyNumberFormat="1" applyFont="1" applyBorder="1" applyAlignment="1" applyFill="1">
      <alignment vertical="center" horizontal="center" wrapText="1"/>
    </xf>
    <xf numFmtId="0" fontId="25" fillId="7" borderId="3" xfId="3" applyFont="1" applyFill="1" applyBorder="1" applyAlignment="1">
      <alignment vertical="center" horizontal="center" wrapText="1"/>
    </xf>
    <xf numFmtId="0" fontId="25" fillId="7" borderId="4" xfId="3" applyFont="1" applyFill="1" applyBorder="1" applyAlignment="1">
      <alignment vertical="center" horizontal="center" wrapText="1"/>
    </xf>
    <xf numFmtId="0" fontId="26" fillId="17" borderId="27" xfId="2" applyFont="1" applyFill="1" applyBorder="1" applyAlignment="1">
      <alignment vertical="center" horizontal="center"/>
    </xf>
    <xf numFmtId="0" fontId="26" fillId="17" borderId="28" xfId="2" applyFont="1" applyFill="1" applyBorder="1" applyAlignment="1">
      <alignment vertical="center" horizontal="center"/>
    </xf>
    <xf numFmtId="0" fontId="26" fillId="17" borderId="62" xfId="2" applyFont="1" applyFill="1" applyBorder="1" applyAlignment="1">
      <alignment vertical="center" horizontal="center"/>
    </xf>
    <xf numFmtId="0" fontId="26" fillId="17" borderId="14" xfId="2" applyFont="1" applyFill="1" applyBorder="1" applyAlignment="1">
      <alignment vertical="center" horizontal="center"/>
    </xf>
    <xf numFmtId="0" fontId="27" fillId="15" borderId="22" xfId="2" applyFont="1" applyFill="1" applyBorder="1" applyAlignment="1">
      <alignment vertical="center" horizontal="center"/>
    </xf>
    <xf numFmtId="0" fontId="27" fillId="15" borderId="23" xfId="2" applyFont="1" applyFill="1" applyBorder="1" applyAlignment="1">
      <alignment vertical="center" horizontal="center"/>
    </xf>
    <xf numFmtId="0" fontId="25" fillId="10" borderId="0" xfId="3" applyFont="1" applyFill="1" applyAlignment="1">
      <alignment vertical="center" horizontal="center"/>
    </xf>
    <xf numFmtId="0" fontId="29" fillId="13" borderId="18" xfId="3" applyFont="1" applyFill="1" applyBorder="1" applyAlignment="1">
      <alignment vertical="center" horizontal="center"/>
    </xf>
    <xf numFmtId="0" fontId="29" fillId="13" borderId="14" xfId="3" applyFont="1" applyBorder="1" applyFill="1" applyAlignment="1">
      <alignment vertical="center" horizontal="center"/>
    </xf>
    <xf numFmtId="0" fontId="30" fillId="14" borderId="21" xfId="3" applyFont="1" applyFill="1" applyBorder="1" applyAlignment="1">
      <alignment vertical="center" horizontal="center"/>
    </xf>
    <xf numFmtId="0" fontId="30" fillId="14" borderId="22" xfId="3" applyFont="1" applyFill="1" applyBorder="1" applyAlignment="1">
      <alignment vertical="center" horizontal="center"/>
    </xf>
    <xf numFmtId="0" fontId="30" fillId="14" borderId="23" xfId="3" applyFont="1" applyFill="1" applyBorder="1" applyAlignment="1">
      <alignment vertical="center" horizontal="center"/>
    </xf>
    <xf numFmtId="0" fontId="29" fillId="15" borderId="18" xfId="3" applyFont="1" applyFill="1" applyBorder="1" applyAlignment="1">
      <alignment vertical="center" horizontal="center"/>
    </xf>
    <xf numFmtId="0" fontId="29" fillId="15" borderId="18" xfId="1" applyFont="1" applyFill="1" applyBorder="1" applyAlignment="1">
      <alignment vertical="center" horizontal="center"/>
    </xf>
    <xf numFmtId="0" fontId="30" fillId="14" borderId="19" xfId="3" applyFont="1" applyFill="1" applyBorder="1" applyAlignment="1">
      <alignment vertical="center" horizontal="center"/>
    </xf>
    <xf numFmtId="0" fontId="30" fillId="14" borderId="20" xfId="3" applyFont="1" applyFill="1" applyBorder="1" applyAlignment="1">
      <alignment vertical="center" horizontal="center"/>
    </xf>
    <xf numFmtId="0" fontId="30" fillId="14" borderId="13" xfId="3" applyFont="1" applyFill="1" applyBorder="1" applyAlignment="1">
      <alignment vertical="center" horizontal="center"/>
    </xf>
    <xf numFmtId="0" fontId="30" fillId="14" borderId="15" xfId="3" applyFont="1" applyFill="1" applyBorder="1" applyAlignment="1">
      <alignment vertical="center" horizontal="center"/>
    </xf>
    <xf numFmtId="0" fontId="30" fillId="14" borderId="16" xfId="3" applyFont="1" applyFill="1" applyBorder="1" applyAlignment="1">
      <alignment vertical="center" horizontal="center"/>
    </xf>
    <xf numFmtId="0" fontId="30" fillId="14" borderId="17" xfId="3" applyFont="1" applyFill="1" applyBorder="1" applyAlignment="1">
      <alignment vertical="center" horizontal="center"/>
    </xf>
    <xf numFmtId="0" fontId="31" fillId="15" borderId="2" xfId="3" applyFont="1" applyBorder="1" applyAlignment="1" applyFill="1">
      <alignment vertical="center" horizontal="center"/>
    </xf>
    <xf numFmtId="0" fontId="31" fillId="15" borderId="5" xfId="3" applyFont="1" applyBorder="1" applyAlignment="1" applyFill="1">
      <alignment vertical="center" horizontal="center"/>
    </xf>
    <xf numFmtId="0" fontId="31" fillId="15" borderId="7" xfId="3" applyFont="1" applyBorder="1" applyAlignment="1" applyFill="1">
      <alignment vertical="center" horizontal="center"/>
    </xf>
    <xf numFmtId="0" fontId="31" fillId="15" borderId="10" xfId="3" applyFont="1" applyFill="1" applyBorder="1" applyAlignment="1">
      <alignment vertical="center" horizontal="center"/>
    </xf>
    <xf numFmtId="0" fontId="31" fillId="15" borderId="12" xfId="3" applyFont="1" applyFill="1" applyBorder="1" applyAlignment="1">
      <alignment vertical="center" horizontal="center"/>
    </xf>
    <xf numFmtId="0" fontId="31" fillId="0" borderId="2" xfId="3" applyFont="1" applyBorder="1" applyAlignment="1">
      <alignment vertical="center" horizontal="center"/>
    </xf>
    <xf numFmtId="0" fontId="31" fillId="0" borderId="4" xfId="3" applyFont="1" applyBorder="1" applyAlignment="1">
      <alignment vertical="center" horizontal="center"/>
    </xf>
    <xf numFmtId="0" fontId="31" fillId="0" borderId="7" xfId="3" applyFont="1" applyBorder="1" applyAlignment="1">
      <alignment vertical="center" horizontal="center"/>
    </xf>
    <xf numFmtId="0" fontId="31" fillId="0" borderId="9" xfId="3" applyFont="1" applyBorder="1" applyAlignment="1">
      <alignment vertical="center" horizontal="center"/>
    </xf>
    <xf numFmtId="0" fontId="30" fillId="16" borderId="21" xfId="3" applyFont="1" applyFill="1" applyBorder="1" applyAlignment="1">
      <alignment vertical="center" horizontal="center"/>
    </xf>
    <xf numFmtId="0" fontId="30" fillId="16" borderId="22" xfId="3" applyFont="1" applyFill="1" applyBorder="1" applyAlignment="1">
      <alignment vertical="center" horizontal="center"/>
    </xf>
    <xf numFmtId="0" fontId="30" fillId="16" borderId="23" xfId="3" applyFont="1" applyFill="1" applyBorder="1" applyAlignment="1">
      <alignment vertical="center" horizontal="center"/>
    </xf>
    <xf numFmtId="0" fontId="30" fillId="16" borderId="0" xfId="0" applyFill="1" applyFont="1" applyAlignment="1">
      <alignment vertical="center" horizontal="center"/>
    </xf>
    <xf numFmtId="0" fontId="30" fillId="16" borderId="19" xfId="3" applyFont="1" applyFill="1" applyBorder="1" applyAlignment="1">
      <alignment vertical="center" horizontal="center"/>
    </xf>
    <xf numFmtId="0" fontId="29" fillId="15" borderId="0" xfId="0" applyFill="1" applyFont="1" applyAlignment="1">
      <alignment vertical="center" horizontal="center"/>
    </xf>
    <xf numFmtId="0" fontId="29" fillId="15" borderId="15" xfId="3" applyFont="1" applyFill="1" applyBorder="1" applyAlignment="1">
      <alignment vertical="center" horizontal="center"/>
    </xf>
    <xf numFmtId="0" fontId="30" fillId="16" borderId="21" xfId="3" applyFont="1" applyFill="1" applyBorder="1" applyAlignment="1">
      <alignment vertical="center" horizontal="center"/>
    </xf>
    <xf numFmtId="0" fontId="30" fillId="16" borderId="22" xfId="3" applyFont="1" applyFill="1" applyBorder="1" applyAlignment="1">
      <alignment vertical="center" horizontal="center"/>
    </xf>
    <xf numFmtId="0" fontId="30" fillId="16" borderId="22" xfId="3" applyFont="1" applyFill="1" applyBorder="1" applyAlignment="1">
      <alignment vertical="center" horizontal="center"/>
    </xf>
    <xf numFmtId="0" fontId="30" fillId="16" borderId="22" xfId="3" applyFont="1" applyFill="1" applyBorder="1" applyAlignment="1">
      <alignment vertical="center" horizontal="center"/>
    </xf>
    <xf numFmtId="49" fontId="30" fillId="16" borderId="22" xfId="3" applyNumberFormat="1" applyFont="1" applyFill="1" applyBorder="1" applyAlignment="1">
      <alignment vertical="center" horizontal="center"/>
    </xf>
    <xf numFmtId="0" fontId="30" fillId="16" borderId="23" xfId="3" applyFont="1" applyFill="1" applyBorder="1" applyAlignment="1">
      <alignment vertical="center" horizontal="center"/>
    </xf>
    <xf numFmtId="0" fontId="32" fillId="16" borderId="27" xfId="3" applyFont="1" applyFill="1" applyBorder="1" applyAlignment="1">
      <alignment vertical="center" horizontal="center"/>
    </xf>
    <xf numFmtId="0" fontId="32" fillId="16" borderId="28" xfId="3" applyFont="1" applyFill="1" applyBorder="1" applyAlignment="1">
      <alignment vertical="center" horizontal="center"/>
    </xf>
    <xf numFmtId="0" fontId="32" fillId="16" borderId="14" xfId="3" applyFont="1" applyFill="1" applyBorder="1" applyAlignment="1">
      <alignment vertical="center" horizontal="center"/>
    </xf>
    <xf numFmtId="0" fontId="32" fillId="16" borderId="2" xfId="3" applyFont="1" applyFill="1" applyBorder="1" applyAlignment="1">
      <alignment vertical="center" horizontal="center"/>
    </xf>
    <xf numFmtId="0" fontId="32" fillId="16" borderId="3" xfId="3" applyFont="1" applyFill="1" applyBorder="1" applyAlignment="1">
      <alignment vertical="center" horizontal="center"/>
    </xf>
    <xf numFmtId="0" fontId="32" fillId="16" borderId="4" xfId="3" applyFont="1" applyFill="1" applyBorder="1" applyAlignment="1">
      <alignment vertical="center" horizontal="center"/>
    </xf>
    <xf numFmtId="0" fontId="32" fillId="16" borderId="7" xfId="3" applyFont="1" applyFill="1" applyBorder="1" applyAlignment="1">
      <alignment vertical="center" horizontal="center"/>
    </xf>
    <xf numFmtId="0" fontId="32" fillId="16" borderId="8" xfId="3" applyFont="1" applyFill="1" applyBorder="1" applyAlignment="1">
      <alignment vertical="center" horizontal="center"/>
    </xf>
    <xf numFmtId="0" fontId="32" fillId="16" borderId="9" xfId="3" applyFont="1" applyFill="1" applyBorder="1" applyAlignment="1">
      <alignment vertical="center" horizontal="center"/>
    </xf>
    <xf numFmtId="0" fontId="32" fillId="16" borderId="29" xfId="3" applyFont="1" applyFill="1" applyBorder="1" applyAlignment="1">
      <alignment vertical="center" horizontal="center"/>
    </xf>
    <xf numFmtId="0" fontId="32" fillId="16" borderId="30" xfId="3" applyFont="1" applyFill="1" applyBorder="1" applyAlignment="1">
      <alignment vertical="center" horizontal="center"/>
    </xf>
    <xf numFmtId="0" fontId="32" fillId="16" borderId="31" xfId="3" applyFont="1" applyFill="1" applyBorder="1" applyAlignment="1">
      <alignment vertical="center" horizontal="center"/>
    </xf>
    <xf numFmtId="0" fontId="30" fillId="16" borderId="27" xfId="3" applyFont="1" applyFill="1" applyBorder="1" applyAlignment="1">
      <alignment vertical="center" horizontal="center"/>
    </xf>
    <xf numFmtId="0" fontId="30" fillId="16" borderId="28" xfId="3" applyFont="1" applyFill="1" applyBorder="1" applyAlignment="1">
      <alignment vertical="center" horizontal="center"/>
    </xf>
    <xf numFmtId="0" fontId="30" fillId="16" borderId="14" xfId="3" applyFont="1" applyFill="1" applyBorder="1" applyAlignment="1">
      <alignment vertical="center" horizontal="center"/>
    </xf>
    <xf numFmtId="0" fontId="30" fillId="16" borderId="27" xfId="3" applyFont="1" applyFill="1" applyBorder="1" applyAlignment="1">
      <alignment vertical="center" horizontal="center"/>
    </xf>
    <xf numFmtId="0" fontId="30" fillId="16" borderId="28" xfId="3" applyFont="1" applyFill="1" applyBorder="1" applyAlignment="1">
      <alignment vertical="center" horizontal="center"/>
    </xf>
    <xf numFmtId="0" fontId="30" fillId="16" borderId="14" xfId="3" applyFont="1" applyFill="1" applyBorder="1" applyAlignment="1">
      <alignment vertical="center" horizontal="center"/>
    </xf>
    <xf numFmtId="0" fontId="30" fillId="16" borderId="27" xfId="2" applyFont="1" applyFill="1" applyBorder="1" applyAlignment="1">
      <alignment vertical="center" horizontal="center"/>
    </xf>
    <xf numFmtId="0" fontId="30" fillId="16" borderId="23" xfId="2" applyFont="1" applyFill="1" applyBorder="1" applyAlignment="1">
      <alignment vertical="center" horizontal="center"/>
    </xf>
    <xf numFmtId="0" fontId="30" fillId="16" borderId="18" xfId="2" applyFont="1" applyFill="1" applyBorder="1" applyAlignment="1">
      <alignment vertical="center" horizontal="center"/>
    </xf>
    <xf numFmtId="0" fontId="30" fillId="16" borderId="19" xfId="3" applyFont="1" applyFill="1" applyBorder="1" applyAlignment="1">
      <alignment vertical="center" horizontal="center"/>
    </xf>
    <xf numFmtId="0" fontId="30" fillId="16" borderId="18" xfId="3" applyFont="1" applyFill="1" applyBorder="1" applyAlignment="1">
      <alignment vertical="center" horizontal="center"/>
    </xf>
    <xf numFmtId="0" fontId="30" fillId="16" borderId="13" xfId="3" applyFont="1" applyFill="1" applyBorder="1" applyAlignment="1">
      <alignment vertical="center" horizontal="center"/>
    </xf>
    <xf numFmtId="0" fontId="30" fillId="16" borderId="29" xfId="3" applyFont="1" applyFill="1" applyBorder="1" applyAlignment="1">
      <alignment vertical="center" horizontal="center"/>
    </xf>
    <xf numFmtId="0" fontId="32" fillId="17" borderId="0" xfId="3" applyFont="1" applyAlignment="1" applyFill="1">
      <alignment vertical="center" horizontal="center"/>
    </xf>
    <xf numFmtId="0" fontId="30" fillId="17" borderId="21" xfId="2" applyFont="1" applyFill="1" applyBorder="1" applyAlignment="1">
      <alignment vertical="center" horizontal="center"/>
    </xf>
    <xf numFmtId="0" fontId="30" fillId="17" borderId="22" xfId="2" applyFont="1" applyFill="1" applyBorder="1" applyAlignment="1">
      <alignment vertical="center" horizontal="center"/>
    </xf>
    <xf numFmtId="0" fontId="30" fillId="17" borderId="62" xfId="2" applyFont="1" applyFill="1" applyBorder="1" applyAlignment="1">
      <alignment vertical="center" horizontal="center"/>
    </xf>
    <xf numFmtId="0" fontId="30" fillId="17" borderId="14" xfId="2" applyFont="1" applyFill="1" applyBorder="1" applyAlignment="1">
      <alignment vertical="center" horizontal="center"/>
    </xf>
    <xf numFmtId="0" fontId="31" fillId="15" borderId="60" xfId="2" applyFont="1" applyFill="1" applyBorder="1" applyAlignment="1">
      <alignment vertical="center" horizontal="center"/>
    </xf>
    <xf numFmtId="0" fontId="31" fillId="15" borderId="57" xfId="2" applyFont="1" applyFill="1" applyBorder="1" applyAlignment="1">
      <alignment vertical="center" horizontal="center"/>
    </xf>
    <xf numFmtId="0" fontId="31" fillId="15" borderId="61" xfId="2" applyFont="1" applyFill="1" applyBorder="1" applyAlignment="1">
      <alignment vertical="center" horizontal="center"/>
    </xf>
    <xf numFmtId="0" fontId="32" fillId="14" borderId="10" xfId="2" applyFont="1" applyFill="1" applyBorder="1" applyAlignment="1">
      <alignment vertical="center" horizontal="center"/>
    </xf>
    <xf numFmtId="0" fontId="32" fillId="14" borderId="12" xfId="2" applyFont="1" applyFill="1" applyBorder="1" applyAlignment="1">
      <alignment vertical="center" horizontal="center"/>
    </xf>
    <xf numFmtId="0" fontId="32" fillId="14" borderId="32" xfId="2" applyFont="1" applyFill="1" applyBorder="1" applyAlignment="1">
      <alignment vertical="center" horizontal="center"/>
    </xf>
    <xf numFmtId="0" fontId="29" fillId="7" borderId="22" xfId="3" applyFont="1" applyFill="1" applyBorder="1" applyAlignment="1">
      <alignment vertical="center" horizontal="center" wrapText="1"/>
    </xf>
    <xf numFmtId="0" fontId="29" fillId="7" borderId="22" xfId="3" applyFont="1" applyFill="1" applyBorder="1" applyAlignment="1">
      <alignment vertical="center" horizontal="center" wrapText="1"/>
    </xf>
    <xf numFmtId="0" fontId="29" fillId="7" borderId="23" xfId="3" applyFont="1" applyFill="1" applyBorder="1" applyAlignment="1">
      <alignment vertical="center" horizontal="center" wrapText="1"/>
    </xf>
    <xf numFmtId="167" fontId="29" fillId="7" borderId="58" xfId="3" applyNumberFormat="1" applyFont="1" applyBorder="1" applyAlignment="1" applyFill="1">
      <alignment vertical="center" horizontal="center" wrapText="1"/>
    </xf>
    <xf numFmtId="167" fontId="29" fillId="7" borderId="3" xfId="3" applyNumberFormat="1" applyFont="1" applyBorder="1" applyAlignment="1" applyFill="1">
      <alignment vertical="center" horizontal="center" wrapText="1"/>
    </xf>
    <xf numFmtId="0" fontId="29" fillId="7" borderId="3" xfId="3" applyFont="1" applyFill="1" applyBorder="1" applyAlignment="1">
      <alignment vertical="center" horizontal="center" wrapText="1"/>
    </xf>
    <xf numFmtId="0" fontId="29" fillId="7" borderId="4" xfId="3" applyFont="1" applyFill="1" applyBorder="1" applyAlignment="1">
      <alignment vertical="center" horizontal="center" wrapText="1"/>
    </xf>
    <xf numFmtId="0" fontId="30" fillId="17" borderId="27" xfId="2" applyFont="1" applyFill="1" applyBorder="1" applyAlignment="1">
      <alignment vertical="center" horizontal="center"/>
    </xf>
    <xf numFmtId="0" fontId="30" fillId="17" borderId="28" xfId="2" applyFont="1" applyFill="1" applyBorder="1" applyAlignment="1">
      <alignment vertical="center" horizontal="center"/>
    </xf>
    <xf numFmtId="0" fontId="30" fillId="17" borderId="62" xfId="2" applyFont="1" applyFill="1" applyBorder="1" applyAlignment="1">
      <alignment vertical="center" horizontal="center"/>
    </xf>
    <xf numFmtId="0" fontId="30" fillId="17" borderId="14" xfId="2" applyFont="1" applyFill="1" applyBorder="1" applyAlignment="1">
      <alignment vertical="center" horizontal="center"/>
    </xf>
    <xf numFmtId="0" fontId="31" fillId="15" borderId="22" xfId="2" applyFont="1" applyFill="1" applyBorder="1" applyAlignment="1">
      <alignment vertical="center" horizontal="center"/>
    </xf>
    <xf numFmtId="0" fontId="31" fillId="15" borderId="23" xfId="2" applyFont="1" applyFill="1" applyBorder="1" applyAlignment="1">
      <alignment vertical="center" horizontal="center"/>
    </xf>
    <xf numFmtId="0" fontId="31" fillId="18" borderId="0" xfId="0" applyFill="1" applyFont="1" applyAlignment="1">
      <alignment vertical="center" horizontal="center"/>
    </xf>
    <xf numFmtId="0" fontId="31" fillId="18" borderId="12" xfId="2" applyFont="1" applyFill="1" applyBorder="1" applyAlignment="1">
      <alignment vertical="center" horizontal="center"/>
    </xf>
    <xf numFmtId="165" fontId="31" fillId="18" borderId="7" xfId="3" applyNumberFormat="1" applyFont="1" applyBorder="1" applyAlignment="1" applyFill="1">
      <alignment vertical="center" horizontal="center"/>
    </xf>
    <xf numFmtId="165" fontId="31" fillId="18" borderId="8" xfId="3" applyNumberFormat="1" applyFont="1" applyBorder="1" applyAlignment="1" applyFill="1">
      <alignment vertical="center" horizontal="center"/>
    </xf>
    <xf numFmtId="165" fontId="31" fillId="18" borderId="9" xfId="3" applyNumberFormat="1" applyFont="1" applyBorder="1" applyAlignment="1" applyFill="1">
      <alignment vertical="center" horizontal="center"/>
    </xf>
    <xf numFmtId="0" fontId="29" fillId="10" borderId="0" xfId="3" applyFont="1" applyFill="1" applyAlignment="1">
      <alignment vertical="center" horizontal="center"/>
    </xf>
  </cellXfs>
  <cellStyles count="4">
    <cellStyle name="Dobry" xfId="2" xr:uid="{00000000-0005-0000-0000-000000000000}"/>
    <cellStyle name="Normal" xfId="0" builtinId="0"/>
    <cellStyle name="Normalny" xfId="3" xr:uid="{00000000-0005-0000-0000-000002000000}"/>
    <cellStyle name="Normalny 2" xfId="1" xr:uid="{00000000-0005-0000-0000-000003000000}"/>
  </cellStyles>
  <dxfs count="3">
    <dxf>
      <fill>
        <patternFill>
          <bgColor theme="6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uri="{EB79DEF2-80B8-43e5-95BD-54CBDDF9020C}">
      <ns3:slicerStyles defaultSlicerStyle="SlicerStyleLight1"/>
    </ext>
    <ext uri="{9260A510-F301-46a8-8635-F512D64BE5F5}">
      <ns4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203200</xdr:colOff>
      <xdr:row>0</xdr:row>
      <xdr:rowOff>63500</xdr:rowOff>
    </xdr:from>
    <xdr:to>
      <xdr:col>22</xdr:col>
      <xdr:colOff>444500</xdr:colOff>
      <xdr:row>43</xdr:row>
      <xdr:rowOff>139700</xdr:rowOff>
    </xdr:to>
    <xdr:pic>
      <xdr:nvPicPr>
        <xdr:cNvPr id="2" name="/xl/media/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Pakiet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Pakiet 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r="http://schemas.microsoft.com/office/spreadsheetml/2014/revision" mc:Ignorable="x14ac xr xr2 xr3" xr:uid="{00000000-0001-0000-0000-000000000000}">
  <dimension ref="B2:N36"/>
  <sheetViews>
    <sheetView tabSelected="1" workbookViewId="0">
      <selection activeCell="L24" sqref="L24"/>
    </sheetView>
  </sheetViews>
  <sheetFormatPr baseColWidth="10" defaultColWidth="8.83203125" defaultRowHeight="15"/>
  <cols>
    <col min="1" max="1" width="5" customWidth="1"/>
    <col min="2" max="4" width="10" customWidth="1"/>
    <col min="5" max="5" width="12" customWidth="1"/>
    <col min="6" max="8" width="10" customWidth="1"/>
    <col min="9" max="9" width="12" customWidth="1"/>
    <col min="10" max="11" width="5" customWidth="1"/>
    <col min="12" max="14" width="12" customWidth="1"/>
  </cols>
  <sheetData>
    <row r="2" spans="2:14">
      <c r="B2" s="386" t="s">
        <v>0</v>
      </c>
      <c r="C2" s="387">
        <v>3</v>
      </c>
    </row>
    <row r="3" spans="2:14" ht="18" customHeight="1">
      <c r="B3" s="388" t="s">
        <v>1</v>
      </c>
      <c r="C3" s="389"/>
      <c r="D3" s="389"/>
      <c r="E3" s="389"/>
      <c r="F3" s="389" t="s">
        <v>2</v>
      </c>
      <c r="G3" s="389"/>
      <c r="H3" s="389"/>
      <c r="I3" s="390"/>
      <c r="L3" s="393" t="s">
        <v>3</v>
      </c>
      <c r="M3" s="394"/>
      <c r="N3" s="395"/>
    </row>
    <row r="4" spans="2:14" ht="18" customHeight="1">
      <c r="B4" s="391" t="s">
        <v>4</v>
      </c>
      <c r="C4" s="391" t="s">
        <v>5</v>
      </c>
      <c r="D4" s="391" t="s">
        <v>6</v>
      </c>
      <c r="E4" s="392" t="s">
        <v>7</v>
      </c>
      <c r="F4" s="391" t="s">
        <v>4</v>
      </c>
      <c r="G4" s="391" t="s">
        <v>5</v>
      </c>
      <c r="H4" s="391" t="s">
        <v>6</v>
      </c>
      <c r="I4" s="392" t="s">
        <v>7</v>
      </c>
      <c r="L4" s="396" t="s">
        <v>8</v>
      </c>
      <c r="M4" s="397" t="s">
        <v>9</v>
      </c>
      <c r="N4" s="398" t="s">
        <v>10</v>
      </c>
    </row>
    <row r="5" spans="2:14">
      <c r="B5" s="2">
        <v>7</v>
      </c>
      <c r="C5" s="2">
        <v>1</v>
      </c>
      <c r="D5" s="2">
        <v>0</v>
      </c>
      <c r="E5" s="2">
        <v>271.70620000000002</v>
      </c>
      <c r="F5" s="2">
        <v>7</v>
      </c>
      <c r="G5" s="2">
        <v>1</v>
      </c>
      <c r="H5" s="2">
        <v>0</v>
      </c>
      <c r="I5" s="2">
        <v>271.702</v>
      </c>
      <c r="L5" s="399">
        <v>1</v>
      </c>
      <c r="M5" s="9">
        <v>240</v>
      </c>
      <c r="N5" s="10">
        <v>120</v>
      </c>
    </row>
    <row r="6" spans="2:14">
      <c r="B6" s="3">
        <v>7</v>
      </c>
      <c r="C6" s="3">
        <v>5</v>
      </c>
      <c r="D6" s="3">
        <v>0</v>
      </c>
      <c r="E6" s="3">
        <v>155.7243</v>
      </c>
      <c r="F6" s="3">
        <v>7</v>
      </c>
      <c r="G6" s="3">
        <v>5</v>
      </c>
      <c r="H6" s="3">
        <v>0</v>
      </c>
      <c r="I6" s="3">
        <v>155.72790000000001</v>
      </c>
      <c r="L6" s="400">
        <v>2</v>
      </c>
      <c r="M6" s="1">
        <v>385</v>
      </c>
      <c r="N6" s="12">
        <v>145</v>
      </c>
    </row>
    <row r="7" spans="2:14">
      <c r="B7" s="3">
        <v>7</v>
      </c>
      <c r="C7" s="3">
        <v>6</v>
      </c>
      <c r="D7" s="3">
        <v>0</v>
      </c>
      <c r="E7" s="3">
        <v>178.4659</v>
      </c>
      <c r="F7" s="3">
        <v>7</v>
      </c>
      <c r="G7" s="3">
        <v>6</v>
      </c>
      <c r="H7" s="3">
        <v>0</v>
      </c>
      <c r="I7" s="3">
        <v>178.46850000000001</v>
      </c>
      <c r="L7" s="400">
        <v>3</v>
      </c>
      <c r="M7" s="1">
        <v>475</v>
      </c>
      <c r="N7" s="12">
        <v>245</v>
      </c>
    </row>
    <row r="8" spans="2:14">
      <c r="B8" s="3">
        <v>7</v>
      </c>
      <c r="C8" s="3">
        <v>8</v>
      </c>
      <c r="D8" s="3">
        <v>0</v>
      </c>
      <c r="E8" s="3">
        <v>148.07169999999999</v>
      </c>
      <c r="F8" s="3">
        <v>7</v>
      </c>
      <c r="G8" s="3">
        <v>8</v>
      </c>
      <c r="H8" s="3">
        <v>0</v>
      </c>
      <c r="I8" s="3">
        <v>148.06890000000001</v>
      </c>
      <c r="L8" s="400">
        <v>4</v>
      </c>
      <c r="M8" s="1">
        <v>435</v>
      </c>
      <c r="N8" s="12">
        <v>435</v>
      </c>
    </row>
    <row r="9" spans="2:14">
      <c r="B9" s="3">
        <v>7</v>
      </c>
      <c r="C9" s="3">
        <v>9</v>
      </c>
      <c r="D9" s="3">
        <v>0</v>
      </c>
      <c r="E9" s="3">
        <v>174.52260000000001</v>
      </c>
      <c r="F9" s="3">
        <v>7</v>
      </c>
      <c r="G9" s="3">
        <v>9</v>
      </c>
      <c r="H9" s="3">
        <v>0</v>
      </c>
      <c r="I9" s="3">
        <v>174.52199999999999</v>
      </c>
      <c r="L9" s="400">
        <v>5</v>
      </c>
      <c r="M9" s="1">
        <v>295</v>
      </c>
      <c r="N9" s="12">
        <v>490</v>
      </c>
    </row>
    <row r="10" spans="2:14">
      <c r="B10" s="3">
        <v>8</v>
      </c>
      <c r="C10" s="3">
        <v>1</v>
      </c>
      <c r="D10" s="3">
        <v>0</v>
      </c>
      <c r="E10" s="3">
        <v>149.9983</v>
      </c>
      <c r="F10" s="3">
        <v>8</v>
      </c>
      <c r="G10" s="3">
        <v>1</v>
      </c>
      <c r="H10" s="3">
        <v>0</v>
      </c>
      <c r="I10" s="3">
        <v>150.00059999999999</v>
      </c>
      <c r="L10" s="400">
        <v>6</v>
      </c>
      <c r="M10" s="1">
        <v>145</v>
      </c>
      <c r="N10" s="12">
        <v>560</v>
      </c>
    </row>
    <row r="11" spans="2:14">
      <c r="B11" s="3">
        <v>8</v>
      </c>
      <c r="C11" s="3">
        <v>9</v>
      </c>
      <c r="D11" s="3">
        <v>0</v>
      </c>
      <c r="E11" s="3">
        <v>166.11179999999999</v>
      </c>
      <c r="F11" s="3">
        <v>8</v>
      </c>
      <c r="G11" s="3">
        <v>9</v>
      </c>
      <c r="H11" s="3">
        <v>0</v>
      </c>
      <c r="I11" s="3">
        <v>166.11449999999999</v>
      </c>
      <c r="L11" s="400">
        <v>7</v>
      </c>
      <c r="M11" s="1">
        <v>180</v>
      </c>
      <c r="N11" s="12">
        <v>385</v>
      </c>
    </row>
    <row r="12" spans="2:14">
      <c r="B12" s="3">
        <v>8</v>
      </c>
      <c r="C12" s="3">
        <v>7</v>
      </c>
      <c r="D12" s="3">
        <v>0</v>
      </c>
      <c r="E12" s="3">
        <v>148.07320000000001</v>
      </c>
      <c r="F12" s="3">
        <v>8</v>
      </c>
      <c r="G12" s="3">
        <v>7</v>
      </c>
      <c r="H12" s="3">
        <v>0</v>
      </c>
      <c r="I12" s="3">
        <v>148.0712</v>
      </c>
      <c r="L12" s="400">
        <v>8</v>
      </c>
      <c r="M12" s="1">
        <v>150</v>
      </c>
      <c r="N12" s="12">
        <v>240</v>
      </c>
    </row>
    <row r="13" spans="2:14">
      <c r="B13" s="3">
        <v>8</v>
      </c>
      <c r="C13" s="3">
        <v>6</v>
      </c>
      <c r="D13" s="3">
        <v>0</v>
      </c>
      <c r="E13" s="3">
        <v>320.04129999999998</v>
      </c>
      <c r="F13" s="3">
        <v>8</v>
      </c>
      <c r="G13" s="3">
        <v>6</v>
      </c>
      <c r="H13" s="3">
        <v>0</v>
      </c>
      <c r="I13" s="3">
        <v>320.04450000000003</v>
      </c>
      <c r="L13" s="401">
        <v>9</v>
      </c>
      <c r="M13" s="14">
        <v>313</v>
      </c>
      <c r="N13" s="15">
        <v>272</v>
      </c>
    </row>
    <row r="14" spans="2:14">
      <c r="B14" s="3">
        <v>1</v>
      </c>
      <c r="C14" s="110">
        <v>3</v>
      </c>
      <c r="D14" s="3">
        <v>0</v>
      </c>
      <c r="E14" s="3">
        <v>266.17559999999997</v>
      </c>
      <c r="F14" s="3">
        <v>1</v>
      </c>
      <c r="G14" s="110">
        <v>2</v>
      </c>
      <c r="H14" s="3">
        <v>0</v>
      </c>
      <c r="I14" s="3">
        <v>147.1241</v>
      </c>
    </row>
    <row r="15" spans="2:14">
      <c r="B15" s="3">
        <v>1</v>
      </c>
      <c r="C15" s="3">
        <v>9</v>
      </c>
      <c r="D15" s="3">
        <v>0</v>
      </c>
      <c r="E15" s="3">
        <v>168.6215</v>
      </c>
      <c r="F15" s="3">
        <v>1</v>
      </c>
      <c r="G15" s="3">
        <v>9</v>
      </c>
      <c r="H15" s="3">
        <v>0</v>
      </c>
      <c r="I15" s="3">
        <v>168.61080000000001</v>
      </c>
      <c r="L15" s="402" t="s">
        <v>11</v>
      </c>
      <c r="M15" s="404">
        <v>3</v>
      </c>
      <c r="N15" s="405" t="s">
        <v>12</v>
      </c>
    </row>
    <row r="16" spans="2:14">
      <c r="B16" s="3">
        <v>1</v>
      </c>
      <c r="C16" s="3">
        <v>7</v>
      </c>
      <c r="D16" s="3">
        <v>0</v>
      </c>
      <c r="E16" s="3">
        <v>271.7081</v>
      </c>
      <c r="F16" s="3">
        <v>1</v>
      </c>
      <c r="G16" s="3">
        <v>7</v>
      </c>
      <c r="H16" s="3">
        <v>0</v>
      </c>
      <c r="I16" s="3">
        <v>271.70080000000002</v>
      </c>
      <c r="L16" s="403" t="s">
        <v>13</v>
      </c>
      <c r="M16" s="406" t="s">
        <v>14</v>
      </c>
      <c r="N16" s="407" t="s">
        <v>15</v>
      </c>
    </row>
    <row r="17" spans="2:9">
      <c r="B17" s="110">
        <v>3</v>
      </c>
      <c r="C17" s="110">
        <v>5</v>
      </c>
      <c r="D17" s="3">
        <v>0</v>
      </c>
      <c r="E17" s="3">
        <v>304.0138</v>
      </c>
      <c r="F17" s="110">
        <v>2</v>
      </c>
      <c r="G17" s="110">
        <v>8</v>
      </c>
      <c r="H17" s="3">
        <v>0</v>
      </c>
      <c r="I17" s="3">
        <v>253.47229999999999</v>
      </c>
    </row>
    <row r="18" spans="2:9">
      <c r="B18" s="110">
        <v>3</v>
      </c>
      <c r="C18" s="3">
        <v>9</v>
      </c>
      <c r="D18" s="3">
        <v>0</v>
      </c>
      <c r="E18" s="3">
        <v>164.23490000000001</v>
      </c>
      <c r="F18" s="110">
        <v>2</v>
      </c>
      <c r="G18" s="3">
        <v>9</v>
      </c>
      <c r="H18" s="3">
        <v>0</v>
      </c>
      <c r="I18" s="3">
        <v>145.98650000000001</v>
      </c>
    </row>
    <row r="19" spans="2:9">
      <c r="B19" s="110">
        <v>3</v>
      </c>
      <c r="C19" s="3">
        <v>4</v>
      </c>
      <c r="D19" s="3">
        <v>0</v>
      </c>
      <c r="E19" s="3">
        <v>194.16290000000001</v>
      </c>
      <c r="F19" s="110">
        <v>2</v>
      </c>
      <c r="G19" s="3">
        <v>4</v>
      </c>
      <c r="H19" s="3">
        <v>0</v>
      </c>
      <c r="I19" s="3">
        <v>294.27249999999998</v>
      </c>
    </row>
    <row r="20" spans="2:9">
      <c r="B20" s="3">
        <v>4</v>
      </c>
      <c r="C20" s="3">
        <v>5</v>
      </c>
      <c r="D20" s="3">
        <v>0</v>
      </c>
      <c r="E20" s="3">
        <v>150.41669999999999</v>
      </c>
      <c r="F20" s="3">
        <v>4</v>
      </c>
      <c r="G20" s="3">
        <v>5</v>
      </c>
      <c r="H20" s="3">
        <v>0</v>
      </c>
      <c r="I20" s="3">
        <v>150.42429999999999</v>
      </c>
    </row>
    <row r="21" spans="2:9">
      <c r="B21" s="3">
        <v>4</v>
      </c>
      <c r="C21" s="3">
        <v>7</v>
      </c>
      <c r="D21" s="3">
        <v>0</v>
      </c>
      <c r="E21" s="3">
        <v>259.85610000000003</v>
      </c>
      <c r="F21" s="3">
        <v>4</v>
      </c>
      <c r="G21" s="3">
        <v>7</v>
      </c>
      <c r="H21" s="3">
        <v>0</v>
      </c>
      <c r="I21" s="3">
        <v>259.86799999999999</v>
      </c>
    </row>
    <row r="22" spans="2:9">
      <c r="B22" s="3">
        <v>4</v>
      </c>
      <c r="C22" s="3">
        <v>9</v>
      </c>
      <c r="D22" s="3">
        <v>0</v>
      </c>
      <c r="E22" s="3">
        <v>203.60040000000001</v>
      </c>
      <c r="F22" s="3">
        <v>4</v>
      </c>
      <c r="G22" s="3">
        <v>9</v>
      </c>
      <c r="H22" s="3">
        <v>0</v>
      </c>
      <c r="I22" s="3">
        <v>203.6019</v>
      </c>
    </row>
    <row r="23" spans="2:9">
      <c r="B23" s="3">
        <v>6</v>
      </c>
      <c r="C23" s="3">
        <v>9</v>
      </c>
      <c r="D23" s="3">
        <v>0</v>
      </c>
      <c r="E23" s="3">
        <v>333.4194</v>
      </c>
      <c r="F23" s="3">
        <v>6</v>
      </c>
      <c r="G23" s="3">
        <v>9</v>
      </c>
      <c r="H23" s="3">
        <v>0</v>
      </c>
      <c r="I23" s="3">
        <v>333.41739999999999</v>
      </c>
    </row>
    <row r="24" spans="2:9">
      <c r="B24" s="112">
        <v>6</v>
      </c>
      <c r="C24" s="112">
        <v>5</v>
      </c>
      <c r="D24" s="112">
        <v>0</v>
      </c>
      <c r="E24" s="112">
        <v>165.52799999999999</v>
      </c>
      <c r="F24" s="112">
        <v>6</v>
      </c>
      <c r="G24" s="112">
        <v>5</v>
      </c>
      <c r="H24" s="112">
        <v>0</v>
      </c>
      <c r="I24" s="112">
        <v>165.53030000000001</v>
      </c>
    </row>
    <row r="25" spans="2:9">
      <c r="B25" s="2">
        <v>9</v>
      </c>
      <c r="C25" s="2">
        <v>1</v>
      </c>
      <c r="D25" s="113">
        <v>3</v>
      </c>
      <c r="E25" s="2">
        <v>117.9893</v>
      </c>
      <c r="F25" s="2">
        <v>9</v>
      </c>
      <c r="G25" s="2">
        <v>1</v>
      </c>
      <c r="H25" s="113">
        <v>2</v>
      </c>
      <c r="I25" s="2">
        <v>61.334200000000003</v>
      </c>
    </row>
    <row r="26" spans="2:9">
      <c r="B26" s="3">
        <v>9</v>
      </c>
      <c r="C26" s="110">
        <v>3</v>
      </c>
      <c r="D26" s="3">
        <v>4</v>
      </c>
      <c r="E26" s="3">
        <v>69.609300000000005</v>
      </c>
      <c r="F26" s="3">
        <v>9</v>
      </c>
      <c r="G26" s="110">
        <v>2</v>
      </c>
      <c r="H26" s="3">
        <v>4</v>
      </c>
      <c r="I26" s="3">
        <v>126.2606</v>
      </c>
    </row>
    <row r="27" spans="2:9">
      <c r="B27" s="3">
        <v>9</v>
      </c>
      <c r="C27" s="3">
        <v>4</v>
      </c>
      <c r="D27" s="3">
        <v>5</v>
      </c>
      <c r="E27" s="3">
        <v>46.148699999999998</v>
      </c>
      <c r="F27" s="3">
        <v>9</v>
      </c>
      <c r="G27" s="3">
        <v>4</v>
      </c>
      <c r="H27" s="3">
        <v>5</v>
      </c>
      <c r="I27" s="3">
        <v>46.151299999999999</v>
      </c>
    </row>
    <row r="28" spans="2:9">
      <c r="B28" s="3">
        <v>9</v>
      </c>
      <c r="C28" s="3">
        <v>5</v>
      </c>
      <c r="D28" s="3">
        <v>7</v>
      </c>
      <c r="E28" s="3">
        <v>49.92</v>
      </c>
      <c r="F28" s="3">
        <v>9</v>
      </c>
      <c r="G28" s="3">
        <v>5</v>
      </c>
      <c r="H28" s="3">
        <v>7</v>
      </c>
      <c r="I28" s="3">
        <v>49.921900000000001</v>
      </c>
    </row>
    <row r="29" spans="2:9">
      <c r="B29" s="3">
        <v>9</v>
      </c>
      <c r="C29" s="3">
        <v>7</v>
      </c>
      <c r="D29" s="3">
        <v>8</v>
      </c>
      <c r="E29" s="3">
        <v>57.176600000000001</v>
      </c>
      <c r="F29" s="3">
        <v>9</v>
      </c>
      <c r="G29" s="3">
        <v>7</v>
      </c>
      <c r="H29" s="3">
        <v>8</v>
      </c>
      <c r="I29" s="3">
        <v>57.176400000000001</v>
      </c>
    </row>
    <row r="30" spans="2:9">
      <c r="B30" s="3">
        <v>9</v>
      </c>
      <c r="C30" s="3">
        <v>8</v>
      </c>
      <c r="D30" s="3">
        <v>1</v>
      </c>
      <c r="E30" s="3">
        <v>59.155500000000004</v>
      </c>
      <c r="F30" s="3">
        <v>9</v>
      </c>
      <c r="G30" s="3">
        <v>8</v>
      </c>
      <c r="H30" s="3">
        <v>1</v>
      </c>
      <c r="I30" s="3">
        <v>59.156700000000001</v>
      </c>
    </row>
    <row r="31" spans="2:9">
      <c r="B31" s="3">
        <v>6</v>
      </c>
      <c r="C31" s="3">
        <v>8</v>
      </c>
      <c r="D31" s="3">
        <v>7</v>
      </c>
      <c r="E31" s="3">
        <v>11.571899999999999</v>
      </c>
      <c r="F31" s="3">
        <v>6</v>
      </c>
      <c r="G31" s="3">
        <v>8</v>
      </c>
      <c r="H31" s="3">
        <v>7</v>
      </c>
      <c r="I31" s="3">
        <v>11.571400000000001</v>
      </c>
    </row>
    <row r="32" spans="2:9">
      <c r="B32" s="3">
        <v>6</v>
      </c>
      <c r="C32" s="3">
        <v>7</v>
      </c>
      <c r="D32" s="3">
        <v>9</v>
      </c>
      <c r="E32" s="3">
        <v>21.051500000000001</v>
      </c>
      <c r="F32" s="3">
        <v>6</v>
      </c>
      <c r="G32" s="3">
        <v>7</v>
      </c>
      <c r="H32" s="3">
        <v>9</v>
      </c>
      <c r="I32" s="3">
        <v>21.053100000000001</v>
      </c>
    </row>
    <row r="33" spans="2:9">
      <c r="B33" s="3">
        <v>6</v>
      </c>
      <c r="C33" s="3">
        <v>9</v>
      </c>
      <c r="D33" s="3">
        <v>5</v>
      </c>
      <c r="E33" s="3">
        <v>38.584699999999998</v>
      </c>
      <c r="F33" s="3">
        <v>6</v>
      </c>
      <c r="G33" s="3">
        <v>9</v>
      </c>
      <c r="H33" s="3">
        <v>5</v>
      </c>
      <c r="I33" s="3">
        <v>38.585700000000003</v>
      </c>
    </row>
    <row r="34" spans="2:9">
      <c r="B34" s="3">
        <v>5</v>
      </c>
      <c r="C34" s="3">
        <v>6</v>
      </c>
      <c r="D34" s="3">
        <v>7</v>
      </c>
      <c r="E34" s="3">
        <v>74.904700000000005</v>
      </c>
      <c r="F34" s="3">
        <v>5</v>
      </c>
      <c r="G34" s="3">
        <v>6</v>
      </c>
      <c r="H34" s="3">
        <v>7</v>
      </c>
      <c r="I34" s="3">
        <v>74.9054</v>
      </c>
    </row>
    <row r="35" spans="2:9">
      <c r="B35" s="3">
        <v>5</v>
      </c>
      <c r="C35" s="3">
        <v>7</v>
      </c>
      <c r="D35" s="3">
        <v>9</v>
      </c>
      <c r="E35" s="3">
        <v>58.136600000000001</v>
      </c>
      <c r="F35" s="3">
        <v>5</v>
      </c>
      <c r="G35" s="3">
        <v>7</v>
      </c>
      <c r="H35" s="3">
        <v>9</v>
      </c>
      <c r="I35" s="3">
        <v>58.135899999999999</v>
      </c>
    </row>
    <row r="36" spans="2:9">
      <c r="B36" s="4">
        <v>5</v>
      </c>
      <c r="C36" s="4">
        <v>9</v>
      </c>
      <c r="D36" s="4">
        <v>4</v>
      </c>
      <c r="E36" s="4">
        <v>70.9251</v>
      </c>
      <c r="F36" s="4">
        <v>5</v>
      </c>
      <c r="G36" s="4">
        <v>9</v>
      </c>
      <c r="H36" s="4">
        <v>4</v>
      </c>
      <c r="I36" s="4">
        <v>70.924599999999998</v>
      </c>
    </row>
  </sheetData>
  <mergeCells count="3">
    <mergeCell ref="B3:E3"/>
    <mergeCell ref="F3:I3"/>
    <mergeCell ref="L3:N3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mc="http://schemas.openxmlformats.org/markup-compatibility/2006" xmlns:x14ac="http://schemas.microsoft.com/office/spreadsheetml/2009/9/ac" xmlns:xr="http://schemas.microsoft.com/office/spreadsheetml/2014/revision" mc:Ignorable="x14ac xr xr2 xr3" xr:uid="{00000000-0001-0000-0100-000000000000}">
  <dimension ref="A3:BT221"/>
  <sheetViews>
    <sheetView workbookViewId="0"/>
  </sheetViews>
  <sheetFormatPr baseColWidth="10" defaultColWidth="8.83203125" defaultRowHeight="15"/>
  <cols>
    <col min="1" max="1" width="5" customWidth="1"/>
    <col min="2" max="4" width="10" customWidth="1"/>
    <col min="5" max="5" width="12" customWidth="1"/>
    <col min="6" max="7" width="10" customWidth="1"/>
    <col min="8" max="13" width="11" customWidth="1"/>
    <col min="14" max="16" width="12" customWidth="1"/>
    <col min="17" max="23" width="11" customWidth="1"/>
  </cols>
  <sheetData>
    <row r="3" spans="2:18" ht="18" customHeight="1">
      <c r="B3" s="408" t="s">
        <v>4</v>
      </c>
      <c r="C3" s="409" t="s">
        <v>5</v>
      </c>
      <c r="D3" s="409" t="s">
        <v>6</v>
      </c>
      <c r="E3" s="409" t="s">
        <v>16</v>
      </c>
      <c r="F3" s="409" t="s">
        <v>17</v>
      </c>
      <c r="G3" s="409" t="s">
        <v>18</v>
      </c>
      <c r="H3" s="409" t="s">
        <v>19</v>
      </c>
      <c r="I3" s="409" t="s">
        <v>20</v>
      </c>
      <c r="J3" s="409" t="s">
        <v>21</v>
      </c>
      <c r="K3" s="409" t="s">
        <v>22</v>
      </c>
      <c r="L3" s="409" t="s">
        <v>23</v>
      </c>
      <c r="M3" s="410" t="s">
        <v>24</v>
      </c>
      <c r="N3" s="411"/>
      <c r="O3" s="411"/>
      <c r="P3" s="412" t="s">
        <v>3</v>
      </c>
      <c r="Q3" s="255"/>
      <c r="R3" s="256"/>
    </row>
    <row r="4" spans="2:18">
      <c r="B4" s="34">
        <f>Dane!B5</f>
        <v>7</v>
      </c>
      <c r="C4" s="35">
        <f>Dane!C5</f>
        <v>1</v>
      </c>
      <c r="D4" s="35">
        <f>Dane!D5</f>
        <v>0</v>
      </c>
      <c r="E4" s="35">
        <f>Dane!E5</f>
        <v>271.70620000000002</v>
      </c>
      <c r="F4" s="35">
        <f>Dane!M5-Dane!M11</f>
        <v>60</v>
      </c>
      <c r="G4" s="35">
        <f>Dane!N5-Dane!N11</f>
        <v>-265</v>
      </c>
      <c r="H4" s="36">
        <f>SQRT(F4^2+G4^2)</f>
        <v>271.70756338387048</v>
      </c>
      <c r="I4" s="35">
        <f>IF(ATAN2(F4,G4)*200/PI()&lt;0,ATAN2(F4,G4)*200/PI()+400)</f>
        <v>314.17503573430741</v>
      </c>
      <c r="J4" s="35">
        <f>SIN(I4*PI()/200)</f>
        <v>-0.97531329897359553</v>
      </c>
      <c r="K4" s="35">
        <f>COS(I4*PI()/200)</f>
        <v>0.22082565259779471</v>
      </c>
      <c r="L4" s="35">
        <f>0.001+0.000001*E4</f>
        <v>1.2717062000000001E-3</v>
      </c>
      <c r="M4" s="38">
        <f>H4-E4</f>
        <v>1.3633838704549817E-3</v>
      </c>
      <c r="N4" s="413"/>
      <c r="O4" s="413"/>
      <c r="P4" s="414" t="s">
        <v>8</v>
      </c>
      <c r="Q4" s="6" t="s">
        <v>9</v>
      </c>
      <c r="R4" s="7" t="s">
        <v>10</v>
      </c>
    </row>
    <row r="5" spans="2:18">
      <c r="B5" s="11">
        <f>Dane!B6</f>
        <v>7</v>
      </c>
      <c r="C5" s="1">
        <f>Dane!C6</f>
        <v>5</v>
      </c>
      <c r="D5" s="1">
        <f>Dane!D6</f>
        <v>0</v>
      </c>
      <c r="E5" s="1">
        <f>Dane!E6</f>
        <v>155.7243</v>
      </c>
      <c r="F5" s="1">
        <f>Dane!M9-Dane!M11</f>
        <v>115</v>
      </c>
      <c r="G5" s="1">
        <f>Dane!N9-Dane!N11</f>
        <v>105</v>
      </c>
      <c r="H5" s="24">
        <f t="shared" ref="H5:H23" si="0">SQRT(F5^2+G5^2)</f>
        <v>155.72411502397438</v>
      </c>
      <c r="I5" s="1">
        <f>IF(ATAN2(F5,G5)*200/PI()&lt;0,ATAN2(F5,G5)*200/PI()+400,ATAN2(F5,G5)*200/PI())</f>
        <v>47.108264219444663</v>
      </c>
      <c r="J5" s="1">
        <f t="shared" ref="J5:J23" si="1">SIN(I5*PI()/200)</f>
        <v>0.67426936402133231</v>
      </c>
      <c r="K5" s="1">
        <f t="shared" ref="K5:K23" si="2">COS(I5*PI()/200)</f>
        <v>0.7384854939281259</v>
      </c>
      <c r="L5" s="1">
        <f t="shared" ref="L5:L23" si="3">0.001+0.000001*E5</f>
        <v>1.1557243E-3</v>
      </c>
      <c r="M5" s="30">
        <f t="shared" ref="M5:M23" si="4">H5-E5</f>
        <v>-1.8497602562206339E-4</v>
      </c>
      <c r="P5" s="8">
        <v>1</v>
      </c>
      <c r="Q5" s="9">
        <v>240</v>
      </c>
      <c r="R5" s="10">
        <v>120</v>
      </c>
    </row>
    <row r="6" spans="2:18">
      <c r="B6" s="11">
        <f>Dane!B7</f>
        <v>7</v>
      </c>
      <c r="C6" s="1">
        <f>Dane!C7</f>
        <v>6</v>
      </c>
      <c r="D6" s="1">
        <f>Dane!D7</f>
        <v>0</v>
      </c>
      <c r="E6" s="1">
        <f>Dane!E7</f>
        <v>178.4659</v>
      </c>
      <c r="F6" s="1">
        <f>Dane!M10-Dane!M11</f>
        <v>-35</v>
      </c>
      <c r="G6" s="1">
        <f>Dane!N10-Dane!N11</f>
        <v>175</v>
      </c>
      <c r="H6" s="24">
        <f t="shared" si="0"/>
        <v>178.46568297574746</v>
      </c>
      <c r="I6" s="1">
        <f>IF(ATAN2(F6,G6)*200/PI()&lt;0,ATAN2(F6,G6)*200/PI()+400,ATAN2(F6,G6)*200/PI())</f>
        <v>112.56659163780024</v>
      </c>
      <c r="J6" s="1">
        <f t="shared" si="1"/>
        <v>0.98058067569092011</v>
      </c>
      <c r="K6" s="1">
        <f t="shared" si="2"/>
        <v>-0.1961161351381841</v>
      </c>
      <c r="L6" s="1">
        <f t="shared" si="3"/>
        <v>1.1784658999999999E-3</v>
      </c>
      <c r="M6" s="30">
        <f t="shared" si="4"/>
        <v>-2.1702425254943591E-4</v>
      </c>
      <c r="P6" s="11">
        <v>2</v>
      </c>
      <c r="Q6" s="1">
        <v>385</v>
      </c>
      <c r="R6" s="12">
        <v>145</v>
      </c>
    </row>
    <row r="7" spans="2:18">
      <c r="B7" s="11">
        <f>Dane!B8</f>
        <v>7</v>
      </c>
      <c r="C7" s="1">
        <f>Dane!C8</f>
        <v>8</v>
      </c>
      <c r="D7" s="1">
        <f>Dane!D8</f>
        <v>0</v>
      </c>
      <c r="E7" s="1">
        <f>Dane!E8</f>
        <v>148.07169999999999</v>
      </c>
      <c r="F7" s="1">
        <f>Dane!M12-Dane!M11</f>
        <v>-30</v>
      </c>
      <c r="G7" s="1">
        <f>Dane!N12-Dane!N11</f>
        <v>-145</v>
      </c>
      <c r="H7" s="24">
        <f t="shared" si="0"/>
        <v>148.07092894960846</v>
      </c>
      <c r="I7" s="1">
        <f t="shared" ref="I7:I23" si="5">IF(ATAN2(F7,G7)*200/PI()&lt;0,ATAN2(F7,G7)*200/PI()+400)</f>
        <v>287.01181202728981</v>
      </c>
      <c r="J7" s="1">
        <f t="shared" si="1"/>
        <v>-0.97926041950710285</v>
      </c>
      <c r="K7" s="1">
        <f t="shared" si="2"/>
        <v>-0.20260560403595176</v>
      </c>
      <c r="L7" s="1">
        <f t="shared" si="3"/>
        <v>1.1480717000000001E-3</v>
      </c>
      <c r="M7" s="30">
        <f t="shared" si="4"/>
        <v>-7.7105039153479993E-4</v>
      </c>
      <c r="P7" s="11">
        <v>3</v>
      </c>
      <c r="Q7" s="1">
        <v>475</v>
      </c>
      <c r="R7" s="12">
        <v>245</v>
      </c>
    </row>
    <row r="8" spans="2:18">
      <c r="B8" s="11">
        <f>Dane!B9</f>
        <v>7</v>
      </c>
      <c r="C8" s="1">
        <f>Dane!C9</f>
        <v>9</v>
      </c>
      <c r="D8" s="1">
        <f>Dane!D9</f>
        <v>0</v>
      </c>
      <c r="E8" s="1">
        <f>Dane!E9</f>
        <v>174.52260000000001</v>
      </c>
      <c r="F8" s="1">
        <f>Dane!M13-Dane!M11</f>
        <v>133</v>
      </c>
      <c r="G8" s="1">
        <f>Dane!N13-Dane!N11</f>
        <v>-113</v>
      </c>
      <c r="H8" s="24">
        <f t="shared" si="0"/>
        <v>174.52220489095365</v>
      </c>
      <c r="I8" s="1">
        <f t="shared" si="5"/>
        <v>355.16441187931889</v>
      </c>
      <c r="J8" s="1">
        <f t="shared" si="1"/>
        <v>-0.64748207868795626</v>
      </c>
      <c r="K8" s="1">
        <f t="shared" si="2"/>
        <v>0.76208067668582391</v>
      </c>
      <c r="L8" s="1">
        <f t="shared" si="3"/>
        <v>1.1745226000000001E-3</v>
      </c>
      <c r="M8" s="30">
        <f t="shared" si="4"/>
        <v>-3.9510904636586019E-4</v>
      </c>
      <c r="P8" s="11">
        <v>4</v>
      </c>
      <c r="Q8" s="1">
        <v>435</v>
      </c>
      <c r="R8" s="12">
        <v>435</v>
      </c>
    </row>
    <row r="9" spans="2:18">
      <c r="B9" s="11">
        <f>Dane!B10</f>
        <v>8</v>
      </c>
      <c r="C9" s="1">
        <f>Dane!C10</f>
        <v>1</v>
      </c>
      <c r="D9" s="1">
        <f>Dane!D10</f>
        <v>0</v>
      </c>
      <c r="E9" s="1">
        <f>Dane!E10</f>
        <v>149.9983</v>
      </c>
      <c r="F9" s="1">
        <f>Dane!M5-Dane!M12</f>
        <v>90</v>
      </c>
      <c r="G9" s="1">
        <f>Dane!N5-Dane!N12</f>
        <v>-120</v>
      </c>
      <c r="H9" s="24">
        <f t="shared" si="0"/>
        <v>150</v>
      </c>
      <c r="I9" s="1">
        <f t="shared" si="5"/>
        <v>340.96655293982667</v>
      </c>
      <c r="J9" s="1">
        <f t="shared" si="1"/>
        <v>-0.80000000000000016</v>
      </c>
      <c r="K9" s="1">
        <f t="shared" si="2"/>
        <v>0.59999999999999976</v>
      </c>
      <c r="L9" s="1">
        <f t="shared" si="3"/>
        <v>1.1499983000000001E-3</v>
      </c>
      <c r="M9" s="30">
        <f t="shared" si="4"/>
        <v>1.6999999999995907E-3</v>
      </c>
      <c r="P9" s="11">
        <v>5</v>
      </c>
      <c r="Q9" s="1">
        <v>295</v>
      </c>
      <c r="R9" s="12">
        <v>490</v>
      </c>
    </row>
    <row r="10" spans="2:18">
      <c r="B10" s="11">
        <f>Dane!B11</f>
        <v>8</v>
      </c>
      <c r="C10" s="1">
        <f>Dane!C11</f>
        <v>9</v>
      </c>
      <c r="D10" s="1">
        <f>Dane!D11</f>
        <v>0</v>
      </c>
      <c r="E10" s="1">
        <f>Dane!E11</f>
        <v>166.11179999999999</v>
      </c>
      <c r="F10" s="1">
        <f>Dane!M13-Dane!M12</f>
        <v>163</v>
      </c>
      <c r="G10" s="1">
        <f>Dane!N13-Dane!N12</f>
        <v>32</v>
      </c>
      <c r="H10" s="24">
        <f t="shared" si="0"/>
        <v>166.11140839809889</v>
      </c>
      <c r="I10" s="1">
        <f>IF(ATAN2(F10,G10)*200/PI()&lt;0,ATAN2(F10,G10)*200/PI()+400,ATAN2(F10,G10)*200/PI())</f>
        <v>12.341107419302547</v>
      </c>
      <c r="J10" s="1">
        <f t="shared" si="1"/>
        <v>0.19264179569960369</v>
      </c>
      <c r="K10" s="1">
        <f t="shared" si="2"/>
        <v>0.98126914684485633</v>
      </c>
      <c r="L10" s="1">
        <f t="shared" si="3"/>
        <v>1.1661117999999999E-3</v>
      </c>
      <c r="M10" s="30">
        <f t="shared" si="4"/>
        <v>-3.9160190110010262E-4</v>
      </c>
      <c r="P10" s="11">
        <v>6</v>
      </c>
      <c r="Q10" s="1">
        <v>145</v>
      </c>
      <c r="R10" s="12">
        <v>560</v>
      </c>
    </row>
    <row r="11" spans="2:18">
      <c r="B11" s="11">
        <f>Dane!B12</f>
        <v>8</v>
      </c>
      <c r="C11" s="1">
        <f>Dane!C12</f>
        <v>7</v>
      </c>
      <c r="D11" s="1">
        <f>Dane!D12</f>
        <v>0</v>
      </c>
      <c r="E11" s="1">
        <f>Dane!E12</f>
        <v>148.07320000000001</v>
      </c>
      <c r="F11" s="1">
        <f>Dane!M11-Dane!M12</f>
        <v>30</v>
      </c>
      <c r="G11" s="1">
        <f>Dane!N11-Dane!N12</f>
        <v>145</v>
      </c>
      <c r="H11" s="24">
        <f t="shared" si="0"/>
        <v>148.07092894960846</v>
      </c>
      <c r="I11" s="1">
        <f t="shared" ref="I11:I19" si="6">IF(ATAN2(F11,G11)*200/PI()&lt;0,ATAN2(F11,G11)*200/PI()+400,ATAN2(F11,G11)*200/PI())</f>
        <v>87.011812027289793</v>
      </c>
      <c r="J11" s="1">
        <f t="shared" si="1"/>
        <v>0.97926041950710274</v>
      </c>
      <c r="K11" s="1">
        <f t="shared" si="2"/>
        <v>0.20260560403595229</v>
      </c>
      <c r="L11" s="1">
        <f t="shared" si="3"/>
        <v>1.1480732E-3</v>
      </c>
      <c r="M11" s="30">
        <f t="shared" si="4"/>
        <v>-2.2710503915561731E-3</v>
      </c>
      <c r="P11" s="11">
        <v>7</v>
      </c>
      <c r="Q11" s="1">
        <v>180</v>
      </c>
      <c r="R11" s="12">
        <v>385</v>
      </c>
    </row>
    <row r="12" spans="2:18">
      <c r="B12" s="11">
        <f>Dane!B13</f>
        <v>8</v>
      </c>
      <c r="C12" s="1">
        <f>Dane!C13</f>
        <v>6</v>
      </c>
      <c r="D12" s="1">
        <f>Dane!D13</f>
        <v>0</v>
      </c>
      <c r="E12" s="1">
        <f>Dane!E13</f>
        <v>320.04129999999998</v>
      </c>
      <c r="F12" s="1">
        <f>Dane!M10-Dane!M12</f>
        <v>-5</v>
      </c>
      <c r="G12" s="1">
        <f>Dane!N10-Dane!N12</f>
        <v>320</v>
      </c>
      <c r="H12" s="24">
        <f t="shared" si="0"/>
        <v>320.03906011610519</v>
      </c>
      <c r="I12" s="1">
        <f t="shared" si="6"/>
        <v>100.99463745579008</v>
      </c>
      <c r="J12" s="1">
        <f t="shared" si="1"/>
        <v>0.99987795203469532</v>
      </c>
      <c r="K12" s="1">
        <f t="shared" si="2"/>
        <v>-1.5623093000542007E-2</v>
      </c>
      <c r="L12" s="1">
        <f t="shared" si="3"/>
        <v>1.3200413E-3</v>
      </c>
      <c r="M12" s="30">
        <f t="shared" si="4"/>
        <v>-2.2398838947879085E-3</v>
      </c>
      <c r="P12" s="11">
        <v>8</v>
      </c>
      <c r="Q12" s="1">
        <v>150</v>
      </c>
      <c r="R12" s="12">
        <v>240</v>
      </c>
    </row>
    <row r="13" spans="2:18">
      <c r="B13" s="11">
        <f>Dane!B14</f>
        <v>1</v>
      </c>
      <c r="C13" s="1">
        <f>Dane!C14</f>
        <v>3</v>
      </c>
      <c r="D13" s="1">
        <f>Dane!D14</f>
        <v>0</v>
      </c>
      <c r="E13" s="1">
        <f>Dane!E14</f>
        <v>266.17559999999997</v>
      </c>
      <c r="F13" s="1">
        <f>Dane!M7-Dane!M5</f>
        <v>235</v>
      </c>
      <c r="G13" s="1">
        <f>Dane!N7-Dane!N5</f>
        <v>125</v>
      </c>
      <c r="H13" s="24">
        <f t="shared" si="0"/>
        <v>266.1766330841233</v>
      </c>
      <c r="I13" s="1">
        <f t="shared" si="6"/>
        <v>31.121307453348706</v>
      </c>
      <c r="J13" s="1">
        <f t="shared" si="1"/>
        <v>0.46961297297834037</v>
      </c>
      <c r="K13" s="1">
        <f t="shared" si="2"/>
        <v>0.88287238919927979</v>
      </c>
      <c r="L13" s="1">
        <f t="shared" si="3"/>
        <v>1.2661756E-3</v>
      </c>
      <c r="M13" s="30">
        <f t="shared" si="4"/>
        <v>1.0330841233212595E-3</v>
      </c>
      <c r="P13" s="13">
        <v>9</v>
      </c>
      <c r="Q13" s="14">
        <v>314</v>
      </c>
      <c r="R13" s="15">
        <v>271</v>
      </c>
    </row>
    <row r="14" spans="2:18">
      <c r="B14" s="11">
        <f>Dane!B15</f>
        <v>1</v>
      </c>
      <c r="C14" s="1">
        <f>Dane!C15</f>
        <v>9</v>
      </c>
      <c r="D14" s="1">
        <f>Dane!D15</f>
        <v>0</v>
      </c>
      <c r="E14" s="1">
        <f>Dane!E15</f>
        <v>168.6215</v>
      </c>
      <c r="F14" s="1">
        <f>Dane!M13-Dane!M5</f>
        <v>73</v>
      </c>
      <c r="G14" s="1">
        <f>Dane!N13-Dane!N5</f>
        <v>152</v>
      </c>
      <c r="H14" s="24">
        <f t="shared" si="0"/>
        <v>168.62087652482418</v>
      </c>
      <c r="I14" s="1">
        <f t="shared" si="6"/>
        <v>71.496378905738268</v>
      </c>
      <c r="J14" s="1">
        <f t="shared" si="1"/>
        <v>0.90143049385479113</v>
      </c>
      <c r="K14" s="1">
        <f t="shared" si="2"/>
        <v>0.43292385560131397</v>
      </c>
      <c r="L14" s="1">
        <f t="shared" si="3"/>
        <v>1.1686215000000001E-3</v>
      </c>
      <c r="M14" s="30">
        <f t="shared" si="4"/>
        <v>-6.2347517581429202E-4</v>
      </c>
    </row>
    <row r="15" spans="2:18">
      <c r="B15" s="11">
        <f>Dane!B16</f>
        <v>1</v>
      </c>
      <c r="C15" s="1">
        <f>Dane!C16</f>
        <v>7</v>
      </c>
      <c r="D15" s="1">
        <f>Dane!D16</f>
        <v>0</v>
      </c>
      <c r="E15" s="1">
        <f>Dane!E16</f>
        <v>271.7081</v>
      </c>
      <c r="F15" s="1">
        <f>Dane!M11-Dane!M5</f>
        <v>-60</v>
      </c>
      <c r="G15" s="1">
        <f>Dane!N11-Dane!N5</f>
        <v>265</v>
      </c>
      <c r="H15" s="24">
        <f t="shared" si="0"/>
        <v>271.70756338387048</v>
      </c>
      <c r="I15" s="1">
        <f t="shared" si="6"/>
        <v>114.17503573430741</v>
      </c>
      <c r="J15" s="1">
        <f t="shared" si="1"/>
        <v>0.97531329897359542</v>
      </c>
      <c r="K15" s="1">
        <f t="shared" si="2"/>
        <v>-0.22082565259779505</v>
      </c>
      <c r="L15" s="1">
        <f t="shared" si="3"/>
        <v>1.2717080999999999E-3</v>
      </c>
      <c r="M15" s="30">
        <f t="shared" si="4"/>
        <v>-5.3661612952282667E-4</v>
      </c>
    </row>
    <row r="16" spans="2:18">
      <c r="B16" s="11">
        <f>Dane!B17</f>
        <v>3</v>
      </c>
      <c r="C16" s="1">
        <f>Dane!C17</f>
        <v>5</v>
      </c>
      <c r="D16" s="1">
        <f>Dane!D17</f>
        <v>0</v>
      </c>
      <c r="E16" s="1">
        <f>Dane!E17</f>
        <v>304.0138</v>
      </c>
      <c r="F16" s="1">
        <f>Dane!M9-Dane!M7</f>
        <v>-180</v>
      </c>
      <c r="G16" s="1">
        <f>Dane!N9-Dane!N7</f>
        <v>245</v>
      </c>
      <c r="H16" s="24">
        <f t="shared" si="0"/>
        <v>304.01480227120521</v>
      </c>
      <c r="I16" s="1">
        <f t="shared" si="6"/>
        <v>140.33833013619468</v>
      </c>
      <c r="J16" s="1">
        <f t="shared" si="1"/>
        <v>0.80588181289094174</v>
      </c>
      <c r="K16" s="1">
        <f t="shared" si="2"/>
        <v>-0.59207643396069154</v>
      </c>
      <c r="L16" s="1">
        <f t="shared" si="3"/>
        <v>1.3040138E-3</v>
      </c>
      <c r="M16" s="30">
        <f t="shared" si="4"/>
        <v>1.0022712052091265E-3</v>
      </c>
    </row>
    <row r="17" spans="2:20">
      <c r="B17" s="11">
        <f>Dane!B18</f>
        <v>3</v>
      </c>
      <c r="C17" s="1">
        <f>Dane!C18</f>
        <v>9</v>
      </c>
      <c r="D17" s="1">
        <f>Dane!D18</f>
        <v>0</v>
      </c>
      <c r="E17" s="1">
        <f>Dane!E18</f>
        <v>164.23490000000001</v>
      </c>
      <c r="F17" s="1">
        <f>Dane!M13-Dane!M7</f>
        <v>-162</v>
      </c>
      <c r="G17" s="1">
        <f>Dane!N13-Dane!N7</f>
        <v>27</v>
      </c>
      <c r="H17" s="24">
        <f t="shared" si="0"/>
        <v>164.23458831805192</v>
      </c>
      <c r="I17" s="1">
        <f t="shared" si="6"/>
        <v>189.4863086577493</v>
      </c>
      <c r="J17" s="1">
        <f t="shared" si="1"/>
        <v>0.16439898730535749</v>
      </c>
      <c r="K17" s="1">
        <f t="shared" si="2"/>
        <v>-0.98639392383214375</v>
      </c>
      <c r="L17" s="1">
        <f t="shared" si="3"/>
        <v>1.1642349E-3</v>
      </c>
      <c r="M17" s="30">
        <f t="shared" si="4"/>
        <v>-3.1168194809083616E-4</v>
      </c>
    </row>
    <row r="18" spans="2:20">
      <c r="B18" s="11">
        <f>Dane!B19</f>
        <v>3</v>
      </c>
      <c r="C18" s="1">
        <f>Dane!C19</f>
        <v>4</v>
      </c>
      <c r="D18" s="1">
        <f>Dane!D19</f>
        <v>0</v>
      </c>
      <c r="E18" s="1">
        <f>Dane!E19</f>
        <v>194.16290000000001</v>
      </c>
      <c r="F18" s="1">
        <f>Dane!M8-Dane!M7</f>
        <v>-40</v>
      </c>
      <c r="G18" s="1">
        <f>Dane!N8-Dane!N7</f>
        <v>190</v>
      </c>
      <c r="H18" s="24">
        <f t="shared" si="0"/>
        <v>194.164878389476</v>
      </c>
      <c r="I18" s="1">
        <f t="shared" si="6"/>
        <v>113.20962004403108</v>
      </c>
      <c r="J18" s="1">
        <f t="shared" si="1"/>
        <v>0.97854978498674905</v>
      </c>
      <c r="K18" s="1">
        <f t="shared" si="2"/>
        <v>-0.20601048104984188</v>
      </c>
      <c r="L18" s="1">
        <f t="shared" si="3"/>
        <v>1.1941629E-3</v>
      </c>
      <c r="M18" s="30">
        <f t="shared" si="4"/>
        <v>1.9783894759939358E-3</v>
      </c>
    </row>
    <row r="19" spans="2:20">
      <c r="B19" s="11">
        <f>Dane!B20</f>
        <v>4</v>
      </c>
      <c r="C19" s="1">
        <f>Dane!C20</f>
        <v>5</v>
      </c>
      <c r="D19" s="1">
        <f>Dane!D20</f>
        <v>0</v>
      </c>
      <c r="E19" s="1">
        <f>Dane!E20</f>
        <v>150.41669999999999</v>
      </c>
      <c r="F19" s="1">
        <f>Dane!M9-Dane!M8</f>
        <v>-140</v>
      </c>
      <c r="G19" s="1">
        <f>Dane!N9-Dane!N8</f>
        <v>55</v>
      </c>
      <c r="H19" s="24">
        <f t="shared" si="0"/>
        <v>150.41608956491322</v>
      </c>
      <c r="I19" s="1">
        <f t="shared" si="6"/>
        <v>176.16918185877182</v>
      </c>
      <c r="J19" s="1">
        <f t="shared" si="1"/>
        <v>0.36565237242299375</v>
      </c>
      <c r="K19" s="1">
        <f t="shared" si="2"/>
        <v>-0.93075149344034702</v>
      </c>
      <c r="L19" s="1">
        <f t="shared" si="3"/>
        <v>1.1504167E-3</v>
      </c>
      <c r="M19" s="30">
        <f t="shared" si="4"/>
        <v>-6.1043508677016689E-4</v>
      </c>
    </row>
    <row r="20" spans="2:20">
      <c r="B20" s="11">
        <f>Dane!B21</f>
        <v>4</v>
      </c>
      <c r="C20" s="1">
        <f>Dane!C21</f>
        <v>7</v>
      </c>
      <c r="D20" s="1">
        <f>Dane!D21</f>
        <v>0</v>
      </c>
      <c r="E20" s="1">
        <f>Dane!E21</f>
        <v>259.85610000000003</v>
      </c>
      <c r="F20" s="1">
        <f>Dane!M11-Dane!M8</f>
        <v>-255</v>
      </c>
      <c r="G20" s="1">
        <f>Dane!N11-Dane!N8</f>
        <v>-50</v>
      </c>
      <c r="H20" s="24">
        <f t="shared" si="0"/>
        <v>259.85572920372567</v>
      </c>
      <c r="I20" s="1">
        <f t="shared" si="5"/>
        <v>212.32635890173094</v>
      </c>
      <c r="J20" s="1">
        <f t="shared" si="1"/>
        <v>-0.19241446072101101</v>
      </c>
      <c r="K20" s="1">
        <f t="shared" si="2"/>
        <v>-0.98131374967715723</v>
      </c>
      <c r="L20" s="1">
        <f t="shared" si="3"/>
        <v>1.2598561E-3</v>
      </c>
      <c r="M20" s="30">
        <f t="shared" si="4"/>
        <v>-3.7079627435332441E-4</v>
      </c>
    </row>
    <row r="21" spans="2:20">
      <c r="B21" s="11">
        <f>Dane!B22</f>
        <v>4</v>
      </c>
      <c r="C21" s="1">
        <f>Dane!C22</f>
        <v>9</v>
      </c>
      <c r="D21" s="1">
        <f>Dane!D22</f>
        <v>0</v>
      </c>
      <c r="E21" s="1">
        <f>Dane!E22</f>
        <v>203.60040000000001</v>
      </c>
      <c r="F21" s="1">
        <f>Dane!M13-Dane!M8</f>
        <v>-122</v>
      </c>
      <c r="G21" s="1">
        <f>Dane!N13-Dane!N8</f>
        <v>-163</v>
      </c>
      <c r="H21" s="24">
        <f t="shared" si="0"/>
        <v>203.60009823180343</v>
      </c>
      <c r="I21" s="1">
        <f t="shared" si="5"/>
        <v>259.09598336347381</v>
      </c>
      <c r="J21" s="1">
        <f t="shared" si="1"/>
        <v>-0.80058900469891048</v>
      </c>
      <c r="K21" s="1">
        <f t="shared" si="2"/>
        <v>-0.59921385627771317</v>
      </c>
      <c r="L21" s="1">
        <f t="shared" si="3"/>
        <v>1.2036004000000001E-3</v>
      </c>
      <c r="M21" s="30">
        <f t="shared" si="4"/>
        <v>-3.0176819657867782E-4</v>
      </c>
    </row>
    <row r="22" spans="2:20">
      <c r="B22" s="11">
        <f>Dane!B23</f>
        <v>6</v>
      </c>
      <c r="C22" s="1">
        <f>Dane!C23</f>
        <v>9</v>
      </c>
      <c r="D22" s="1">
        <f>Dane!D23</f>
        <v>0</v>
      </c>
      <c r="E22" s="1">
        <f>Dane!E23</f>
        <v>333.4194</v>
      </c>
      <c r="F22" s="1">
        <f>Dane!M13-Dane!M10</f>
        <v>168</v>
      </c>
      <c r="G22" s="1">
        <f>Dane!N13-Dane!N10</f>
        <v>-288</v>
      </c>
      <c r="H22" s="24">
        <f t="shared" si="0"/>
        <v>333.41865574679531</v>
      </c>
      <c r="I22" s="1">
        <f t="shared" si="5"/>
        <v>333.61826351503248</v>
      </c>
      <c r="J22" s="1">
        <f t="shared" si="1"/>
        <v>-0.86377890089843368</v>
      </c>
      <c r="K22" s="1">
        <f t="shared" si="2"/>
        <v>0.50387102552408569</v>
      </c>
      <c r="L22" s="1">
        <f t="shared" si="3"/>
        <v>1.3334193999999999E-3</v>
      </c>
      <c r="M22" s="30">
        <f t="shared" si="4"/>
        <v>-7.4425320468662903E-4</v>
      </c>
    </row>
    <row r="23" spans="2:20">
      <c r="B23" s="13">
        <f>Dane!B24</f>
        <v>6</v>
      </c>
      <c r="C23" s="14">
        <f>Dane!C24</f>
        <v>5</v>
      </c>
      <c r="D23" s="14">
        <f>Dane!D24</f>
        <v>0</v>
      </c>
      <c r="E23" s="14">
        <f>Dane!E24</f>
        <v>165.52799999999999</v>
      </c>
      <c r="F23" s="14">
        <f>Dane!M9-Dane!M10</f>
        <v>150</v>
      </c>
      <c r="G23" s="14">
        <f>Dane!N9-Dane!N10</f>
        <v>-70</v>
      </c>
      <c r="H23" s="31">
        <f t="shared" si="0"/>
        <v>165.5294535724685</v>
      </c>
      <c r="I23" s="14">
        <f t="shared" si="5"/>
        <v>372.203451691</v>
      </c>
      <c r="J23" s="14">
        <f t="shared" si="1"/>
        <v>-0.42288546533112437</v>
      </c>
      <c r="K23" s="14">
        <f t="shared" si="2"/>
        <v>0.90618313999526523</v>
      </c>
      <c r="L23" s="14">
        <f t="shared" si="3"/>
        <v>1.1655280000000001E-3</v>
      </c>
      <c r="M23" s="33">
        <f t="shared" si="4"/>
        <v>1.4535724685060813E-3</v>
      </c>
    </row>
    <row r="24" x14ac:dyDescent="0.2" ht="18" customHeight="1"/>
    <row r="25" spans="2:20" ht="18" customHeight="1">
      <c r="B25" s="415" t="s">
        <v>4</v>
      </c>
      <c r="C25" s="416" t="s">
        <v>5</v>
      </c>
      <c r="D25" s="416" t="s">
        <v>6</v>
      </c>
      <c r="E25" s="417" t="s">
        <v>25</v>
      </c>
      <c r="F25" s="416" t="s">
        <v>26</v>
      </c>
      <c r="G25" s="416" t="s">
        <v>27</v>
      </c>
      <c r="H25" s="418" t="s">
        <v>28</v>
      </c>
      <c r="I25" s="416" t="s">
        <v>29</v>
      </c>
      <c r="J25" s="416" t="s">
        <v>30</v>
      </c>
      <c r="K25" s="416" t="s">
        <v>31</v>
      </c>
      <c r="L25" s="416" t="s">
        <v>32</v>
      </c>
      <c r="M25" s="416" t="s">
        <v>33</v>
      </c>
      <c r="N25" s="417" t="s">
        <v>34</v>
      </c>
      <c r="O25" s="416" t="s">
        <v>35</v>
      </c>
      <c r="P25" s="416" t="s">
        <v>36</v>
      </c>
      <c r="Q25" s="419" t="s">
        <v>37</v>
      </c>
      <c r="R25" s="416" t="s">
        <v>38</v>
      </c>
      <c r="S25" s="416" t="s">
        <v>39</v>
      </c>
      <c r="T25" s="420" t="s">
        <v>40</v>
      </c>
    </row>
    <row r="26" spans="2:20">
      <c r="B26" s="50">
        <f>Dane!B25</f>
        <v>9</v>
      </c>
      <c r="C26" s="51">
        <f>Dane!C25</f>
        <v>1</v>
      </c>
      <c r="D26" s="35">
        <f>Dane!D25</f>
        <v>3</v>
      </c>
      <c r="E26" s="35">
        <f>Dane!E25</f>
        <v>117.9893</v>
      </c>
      <c r="F26" s="35">
        <f>Dane!M5-Dane!M13</f>
        <v>-73</v>
      </c>
      <c r="G26" s="35">
        <f>Dane!N5-Dane!N13</f>
        <v>-152</v>
      </c>
      <c r="H26" s="35">
        <f>Dane!M7-Dane!M13</f>
        <v>162</v>
      </c>
      <c r="I26" s="35">
        <f>Dane!N7-Dane!N13</f>
        <v>-27</v>
      </c>
      <c r="J26" s="35">
        <f>F26^2+G26^2</f>
        <v>28433</v>
      </c>
      <c r="K26" s="35">
        <f>H26^2+I26^2</f>
        <v>26973</v>
      </c>
      <c r="L26" s="35">
        <f>IF(ATAN2(F26,G26)*200/PI()&lt;0,ATAN2(F26,G26)*200/PI()+400,ATAN2(F26,G26)*200/PI())</f>
        <v>271.49637890573825</v>
      </c>
      <c r="M26" s="35">
        <f>IF(ATAN2(H26,I26)*200/PI()&lt;0,ATAN2(H26,I26)*200/PI()+400,ATAN2(H26,I26)*200/PI())</f>
        <v>389.4863086577493</v>
      </c>
      <c r="N26" s="35">
        <f>IF(M26-L26&lt;0,M26-L26+400,M26-L26)</f>
        <v>117.98992975201105</v>
      </c>
      <c r="O26" s="35">
        <f>Dane!$M$15</f>
        <v>3</v>
      </c>
      <c r="P26" s="60">
        <f>N26-E26</f>
        <v>6.2975201105075485E-4</v>
      </c>
      <c r="Q26" s="35">
        <f>F26/J26*2000000/PI()</f>
        <v>-1634.4825865309126</v>
      </c>
      <c r="R26" s="35">
        <f>G26/J26*2000000/PI()</f>
        <v>-3403.3062075712155</v>
      </c>
      <c r="S26" s="35">
        <f>H26/K26*2000000/PI()</f>
        <v>3823.5421763818699</v>
      </c>
      <c r="T26" s="61">
        <f>I26/K26*2000000/PI()</f>
        <v>-637.25702939697828</v>
      </c>
    </row>
    <row r="27" spans="2:20">
      <c r="B27" s="44">
        <f>Dane!B26</f>
        <v>9</v>
      </c>
      <c r="C27" s="42">
        <f>Dane!C26</f>
        <v>3</v>
      </c>
      <c r="D27" s="1">
        <f>Dane!D26</f>
        <v>4</v>
      </c>
      <c r="E27" s="1">
        <f>Dane!E26</f>
        <v>69.609300000000005</v>
      </c>
      <c r="F27" s="1">
        <f>Dane!M7-Dane!M13</f>
        <v>162</v>
      </c>
      <c r="G27" s="1">
        <f>Dane!N7-Dane!N13</f>
        <v>-27</v>
      </c>
      <c r="H27" s="1">
        <f>Dane!M8-Dane!M13</f>
        <v>122</v>
      </c>
      <c r="I27" s="1">
        <f>Dane!N8-Dane!N13</f>
        <v>163</v>
      </c>
      <c r="J27" s="1">
        <f t="shared" ref="J27:J37" si="7">F27^2+G27^2</f>
        <v>26973</v>
      </c>
      <c r="K27" s="1">
        <f t="shared" ref="K27:K37" si="8">H27^2+I27^2</f>
        <v>41453</v>
      </c>
      <c r="L27" s="1">
        <f t="shared" ref="L27:L37" si="9">IF(ATAN2(F27,G27)*200/PI()&lt;0,ATAN2(F27,G27)*200/PI()+400,ATAN2(F27,G27)*200/PI())</f>
        <v>389.4863086577493</v>
      </c>
      <c r="M27" s="1">
        <f t="shared" ref="M27:M37" si="10">IF(ATAN2(H27,I27)*200/PI()&lt;0,ATAN2(H27,I27)*200/PI()+400,ATAN2(H27,I27)*200/PI())</f>
        <v>59.095983363473813</v>
      </c>
      <c r="N27" s="1">
        <f t="shared" ref="N27:N37" si="11">IF(M27-L27&lt;0,M27-L27+400,M27-L27)</f>
        <v>69.609674705724501</v>
      </c>
      <c r="O27" s="1">
        <f>Dane!$M$15</f>
        <v>3</v>
      </c>
      <c r="P27" s="62">
        <f t="shared" ref="P27:P37" si="12">N27-E27</f>
        <v>3.7470572449649353E-4</v>
      </c>
      <c r="Q27" s="1">
        <f t="shared" ref="Q27:Q37" si="13">F27/J27*2000000/PI()</f>
        <v>3823.5421763818699</v>
      </c>
      <c r="R27" s="1">
        <f t="shared" ref="R27:R37" si="14">G27/J27*2000000/PI()</f>
        <v>-637.25702939697828</v>
      </c>
      <c r="S27" s="1">
        <f t="shared" ref="S27:S37" si="15">H27/K27*2000000/PI()</f>
        <v>1873.6306715761204</v>
      </c>
      <c r="T27" s="12">
        <f t="shared" ref="T27:T37" si="16">I27/K27*2000000/PI()</f>
        <v>2503.2934382533417</v>
      </c>
    </row>
    <row r="28" spans="2:20">
      <c r="B28" s="44">
        <f>Dane!B27</f>
        <v>9</v>
      </c>
      <c r="C28" s="42">
        <f>Dane!C27</f>
        <v>4</v>
      </c>
      <c r="D28" s="1">
        <f>Dane!D27</f>
        <v>5</v>
      </c>
      <c r="E28" s="1">
        <f>Dane!E27</f>
        <v>46.148699999999998</v>
      </c>
      <c r="F28" s="1">
        <f>Dane!M8-Dane!M13</f>
        <v>122</v>
      </c>
      <c r="G28" s="1">
        <f>Dane!N8-Dane!N13</f>
        <v>163</v>
      </c>
      <c r="H28" s="1">
        <f>Dane!M9-Dane!M13</f>
        <v>-18</v>
      </c>
      <c r="I28" s="1">
        <f>Dane!N9-Dane!N13</f>
        <v>218</v>
      </c>
      <c r="J28" s="1">
        <f t="shared" si="7"/>
        <v>41453</v>
      </c>
      <c r="K28" s="1">
        <f t="shared" si="8"/>
        <v>47848</v>
      </c>
      <c r="L28" s="1">
        <f t="shared" si="9"/>
        <v>59.095983363473813</v>
      </c>
      <c r="M28" s="1">
        <f t="shared" si="10"/>
        <v>105.24459659004839</v>
      </c>
      <c r="N28" s="1">
        <f t="shared" si="11"/>
        <v>46.148613226574575</v>
      </c>
      <c r="O28" s="1">
        <f>Dane!$M$15</f>
        <v>3</v>
      </c>
      <c r="P28" s="62">
        <f t="shared" si="12"/>
        <v>-8.6773425422848049E-5</v>
      </c>
      <c r="Q28" s="1">
        <f t="shared" si="13"/>
        <v>1873.6306715761204</v>
      </c>
      <c r="R28" s="1">
        <f t="shared" si="14"/>
        <v>2503.2934382533417</v>
      </c>
      <c r="S28" s="1">
        <f t="shared" si="15"/>
        <v>-239.49080217807358</v>
      </c>
      <c r="T28" s="12">
        <f t="shared" si="16"/>
        <v>2900.4997152677797</v>
      </c>
    </row>
    <row r="29" spans="2:20">
      <c r="B29" s="44">
        <f>Dane!B28</f>
        <v>9</v>
      </c>
      <c r="C29" s="42">
        <f>Dane!C28</f>
        <v>5</v>
      </c>
      <c r="D29" s="1">
        <f>Dane!D28</f>
        <v>7</v>
      </c>
      <c r="E29" s="1">
        <f>Dane!E28</f>
        <v>49.92</v>
      </c>
      <c r="F29" s="1">
        <f>Dane!M9-Dane!M13</f>
        <v>-18</v>
      </c>
      <c r="G29" s="1">
        <f>Dane!N9-Dane!N13</f>
        <v>218</v>
      </c>
      <c r="H29" s="1">
        <f>Dane!M11-Dane!M13</f>
        <v>-133</v>
      </c>
      <c r="I29" s="1">
        <f>Dane!N11-Dane!N13</f>
        <v>113</v>
      </c>
      <c r="J29" s="1">
        <f t="shared" si="7"/>
        <v>47848</v>
      </c>
      <c r="K29" s="1">
        <f t="shared" si="8"/>
        <v>30458</v>
      </c>
      <c r="L29" s="1">
        <f t="shared" si="9"/>
        <v>105.24459659004839</v>
      </c>
      <c r="M29" s="1">
        <f t="shared" si="10"/>
        <v>155.16441187931892</v>
      </c>
      <c r="N29" s="1">
        <f t="shared" si="11"/>
        <v>49.919815289270531</v>
      </c>
      <c r="O29" s="1">
        <f>Dane!$M$15</f>
        <v>3</v>
      </c>
      <c r="P29" s="62">
        <f t="shared" si="12"/>
        <v>-1.8471072947079392E-4</v>
      </c>
      <c r="Q29" s="1">
        <f t="shared" si="13"/>
        <v>-239.49080217807358</v>
      </c>
      <c r="R29" s="1">
        <f t="shared" si="14"/>
        <v>2900.4997152677797</v>
      </c>
      <c r="S29" s="1">
        <f t="shared" si="15"/>
        <v>-2779.9077327758987</v>
      </c>
      <c r="T29" s="12">
        <f t="shared" si="16"/>
        <v>2361.876494764485</v>
      </c>
    </row>
    <row r="30" spans="2:20">
      <c r="B30" s="44">
        <f>Dane!B29</f>
        <v>9</v>
      </c>
      <c r="C30" s="42">
        <f>Dane!C29</f>
        <v>7</v>
      </c>
      <c r="D30" s="1">
        <f>Dane!D29</f>
        <v>8</v>
      </c>
      <c r="E30" s="1">
        <f>Dane!E29</f>
        <v>57.176600000000001</v>
      </c>
      <c r="F30" s="1">
        <f>Dane!M11-Dane!M13</f>
        <v>-133</v>
      </c>
      <c r="G30" s="1">
        <f>Dane!N11-Dane!N13</f>
        <v>113</v>
      </c>
      <c r="H30" s="1">
        <f>Dane!M12-Dane!M13</f>
        <v>-163</v>
      </c>
      <c r="I30" s="1">
        <f>Dane!N12-Dane!N13</f>
        <v>-32</v>
      </c>
      <c r="J30" s="1">
        <f t="shared" si="7"/>
        <v>30458</v>
      </c>
      <c r="K30" s="1">
        <f t="shared" si="8"/>
        <v>27593</v>
      </c>
      <c r="L30" s="1">
        <f t="shared" si="9"/>
        <v>155.16441187931892</v>
      </c>
      <c r="M30" s="1">
        <f t="shared" si="10"/>
        <v>212.34110741930257</v>
      </c>
      <c r="N30" s="1">
        <f t="shared" si="11"/>
        <v>57.176695539983655</v>
      </c>
      <c r="O30" s="1">
        <f>Dane!$M$15</f>
        <v>3</v>
      </c>
      <c r="P30" s="62">
        <f t="shared" si="12"/>
        <v>9.5539983654191474E-5</v>
      </c>
      <c r="Q30" s="1">
        <f t="shared" si="13"/>
        <v>-2779.9077327758987</v>
      </c>
      <c r="R30" s="1">
        <f t="shared" si="14"/>
        <v>2361.876494764485</v>
      </c>
      <c r="S30" s="1">
        <f t="shared" si="15"/>
        <v>-3760.7010073538854</v>
      </c>
      <c r="T30" s="12">
        <f t="shared" si="16"/>
        <v>-738.29713027806338</v>
      </c>
    </row>
    <row r="31" spans="2:20">
      <c r="B31" s="44">
        <f>Dane!B30</f>
        <v>9</v>
      </c>
      <c r="C31" s="42">
        <f>Dane!C30</f>
        <v>8</v>
      </c>
      <c r="D31" s="1">
        <f>Dane!D30</f>
        <v>1</v>
      </c>
      <c r="E31" s="1">
        <f>Dane!E30</f>
        <v>59.155500000000004</v>
      </c>
      <c r="F31" s="1">
        <f>Dane!M12-Dane!M13</f>
        <v>-163</v>
      </c>
      <c r="G31" s="1">
        <f>Dane!N12-Dane!N13</f>
        <v>-32</v>
      </c>
      <c r="H31" s="1">
        <f>Dane!M5-Dane!M13</f>
        <v>-73</v>
      </c>
      <c r="I31" s="1">
        <f>Dane!N5-Dane!N13</f>
        <v>-152</v>
      </c>
      <c r="J31" s="1">
        <f t="shared" si="7"/>
        <v>27593</v>
      </c>
      <c r="K31" s="1">
        <f t="shared" si="8"/>
        <v>28433</v>
      </c>
      <c r="L31" s="1">
        <f t="shared" si="9"/>
        <v>212.34110741930257</v>
      </c>
      <c r="M31" s="1">
        <f t="shared" si="10"/>
        <v>271.49637890573825</v>
      </c>
      <c r="N31" s="1">
        <f t="shared" si="11"/>
        <v>59.15527148643568</v>
      </c>
      <c r="O31" s="1">
        <f>Dane!$M$15</f>
        <v>3</v>
      </c>
      <c r="P31" s="62">
        <f t="shared" si="12"/>
        <v>-2.2851356432340708E-4</v>
      </c>
      <c r="Q31" s="1">
        <f t="shared" si="13"/>
        <v>-3760.7010073538854</v>
      </c>
      <c r="R31" s="1">
        <f t="shared" si="14"/>
        <v>-738.29713027806338</v>
      </c>
      <c r="S31" s="1">
        <f t="shared" si="15"/>
        <v>-1634.4825865309126</v>
      </c>
      <c r="T31" s="12">
        <f t="shared" si="16"/>
        <v>-3403.3062075712155</v>
      </c>
    </row>
    <row r="32" spans="2:20">
      <c r="B32" s="44">
        <f>Dane!B31</f>
        <v>6</v>
      </c>
      <c r="C32" s="42">
        <f>Dane!C31</f>
        <v>8</v>
      </c>
      <c r="D32" s="1">
        <f>Dane!D31</f>
        <v>7</v>
      </c>
      <c r="E32" s="1">
        <f>Dane!E31</f>
        <v>11.571899999999999</v>
      </c>
      <c r="F32" s="1">
        <f>Dane!M12-Dane!M10</f>
        <v>5</v>
      </c>
      <c r="G32" s="1">
        <f>Dane!N12-Dane!N10</f>
        <v>-320</v>
      </c>
      <c r="H32" s="1">
        <f>Dane!M11-Dane!M10</f>
        <v>35</v>
      </c>
      <c r="I32" s="1">
        <f>Dane!N11-Dane!N10</f>
        <v>-175</v>
      </c>
      <c r="J32" s="1">
        <f t="shared" si="7"/>
        <v>102425</v>
      </c>
      <c r="K32" s="1">
        <f t="shared" si="8"/>
        <v>31850</v>
      </c>
      <c r="L32" s="1">
        <f t="shared" si="9"/>
        <v>300.9946374557901</v>
      </c>
      <c r="M32" s="1">
        <f t="shared" si="10"/>
        <v>312.56659163780023</v>
      </c>
      <c r="N32" s="1">
        <f t="shared" si="11"/>
        <v>11.571954182010131</v>
      </c>
      <c r="O32" s="1">
        <f>Dane!$M$15</f>
        <v>3</v>
      </c>
      <c r="P32" s="62">
        <f t="shared" si="12"/>
        <v>5.4182010131853531E-5</v>
      </c>
      <c r="Q32" s="1">
        <f t="shared" si="13"/>
        <v>31.077362575913178</v>
      </c>
      <c r="R32" s="1">
        <f t="shared" si="14"/>
        <v>-1988.9512048584434</v>
      </c>
      <c r="S32" s="1">
        <f t="shared" si="15"/>
        <v>699.58216743690264</v>
      </c>
      <c r="T32" s="12">
        <f t="shared" si="16"/>
        <v>-3497.9108371845136</v>
      </c>
    </row>
    <row r="33" spans="2:20">
      <c r="B33" s="44">
        <f>Dane!B32</f>
        <v>6</v>
      </c>
      <c r="C33" s="42">
        <f>Dane!C32</f>
        <v>7</v>
      </c>
      <c r="D33" s="1">
        <f>Dane!D32</f>
        <v>9</v>
      </c>
      <c r="E33" s="1">
        <f>Dane!E32</f>
        <v>21.051500000000001</v>
      </c>
      <c r="F33" s="1">
        <f>Dane!M11-Dane!M10</f>
        <v>35</v>
      </c>
      <c r="G33" s="1">
        <f>Dane!N11-Dane!N10</f>
        <v>-175</v>
      </c>
      <c r="H33" s="1">
        <f>Dane!M13-Dane!M10</f>
        <v>168</v>
      </c>
      <c r="I33" s="1">
        <f>Dane!N13-Dane!N10</f>
        <v>-288</v>
      </c>
      <c r="J33" s="1">
        <f t="shared" si="7"/>
        <v>31850</v>
      </c>
      <c r="K33" s="1">
        <f t="shared" si="8"/>
        <v>111168</v>
      </c>
      <c r="L33" s="1">
        <f t="shared" si="9"/>
        <v>312.56659163780023</v>
      </c>
      <c r="M33" s="1">
        <f t="shared" si="10"/>
        <v>333.61826351503248</v>
      </c>
      <c r="N33" s="1">
        <f t="shared" si="11"/>
        <v>21.051671877232252</v>
      </c>
      <c r="O33" s="1">
        <f>Dane!$M$15</f>
        <v>3</v>
      </c>
      <c r="P33" s="62">
        <f t="shared" si="12"/>
        <v>1.7187723225120521E-4</v>
      </c>
      <c r="Q33" s="1">
        <f t="shared" si="13"/>
        <v>699.58216743690264</v>
      </c>
      <c r="R33" s="1">
        <f t="shared" si="14"/>
        <v>-3497.9108371845136</v>
      </c>
      <c r="S33" s="1">
        <f t="shared" si="15"/>
        <v>962.07651264530875</v>
      </c>
      <c r="T33" s="12">
        <f t="shared" si="16"/>
        <v>-1649.274021677672</v>
      </c>
    </row>
    <row r="34" spans="2:20">
      <c r="B34" s="44">
        <f>Dane!B33</f>
        <v>6</v>
      </c>
      <c r="C34" s="42">
        <f>Dane!C33</f>
        <v>9</v>
      </c>
      <c r="D34" s="1">
        <f>Dane!D33</f>
        <v>5</v>
      </c>
      <c r="E34" s="1">
        <f>Dane!E33</f>
        <v>38.584699999999998</v>
      </c>
      <c r="F34" s="1">
        <f>Dane!M13-Dane!M10</f>
        <v>168</v>
      </c>
      <c r="G34" s="1">
        <f>Dane!N13-Dane!N10</f>
        <v>-288</v>
      </c>
      <c r="H34" s="1">
        <f>Dane!M9-Dane!M10</f>
        <v>150</v>
      </c>
      <c r="I34" s="1">
        <f>Dane!N9-Dane!N10</f>
        <v>-70</v>
      </c>
      <c r="J34" s="1">
        <f t="shared" si="7"/>
        <v>111168</v>
      </c>
      <c r="K34" s="1">
        <f t="shared" si="8"/>
        <v>27400</v>
      </c>
      <c r="L34" s="1">
        <f t="shared" si="9"/>
        <v>333.61826351503248</v>
      </c>
      <c r="M34" s="1">
        <f t="shared" si="10"/>
        <v>372.203451691</v>
      </c>
      <c r="N34" s="1">
        <f t="shared" si="11"/>
        <v>38.585188175967517</v>
      </c>
      <c r="O34" s="1">
        <f>Dane!$M$15</f>
        <v>3</v>
      </c>
      <c r="P34" s="62">
        <f t="shared" si="12"/>
        <v>4.8817596751860037E-4</v>
      </c>
      <c r="Q34" s="1">
        <f t="shared" si="13"/>
        <v>962.07651264530875</v>
      </c>
      <c r="R34" s="1">
        <f t="shared" si="14"/>
        <v>-1649.274021677672</v>
      </c>
      <c r="S34" s="1">
        <f t="shared" si="15"/>
        <v>3485.144739238584</v>
      </c>
      <c r="T34" s="12">
        <f t="shared" si="16"/>
        <v>-1626.4008783113393</v>
      </c>
    </row>
    <row r="35" spans="2:20">
      <c r="B35" s="44">
        <f>Dane!B34</f>
        <v>5</v>
      </c>
      <c r="C35" s="42">
        <f>Dane!C34</f>
        <v>6</v>
      </c>
      <c r="D35" s="1">
        <f>Dane!D34</f>
        <v>7</v>
      </c>
      <c r="E35" s="1">
        <f>Dane!E34</f>
        <v>74.904700000000005</v>
      </c>
      <c r="F35" s="1">
        <f>Dane!M10-Dane!M9</f>
        <v>-150</v>
      </c>
      <c r="G35" s="1">
        <f>Dane!N10-Dane!N9</f>
        <v>70</v>
      </c>
      <c r="H35" s="1">
        <f>Dane!M11-Dane!M9</f>
        <v>-115</v>
      </c>
      <c r="I35" s="1">
        <f>Dane!N11-Dane!N9</f>
        <v>-105</v>
      </c>
      <c r="J35" s="1">
        <f t="shared" si="7"/>
        <v>27400</v>
      </c>
      <c r="K35" s="1">
        <f t="shared" si="8"/>
        <v>24250</v>
      </c>
      <c r="L35" s="1">
        <f t="shared" si="9"/>
        <v>172.20345169099997</v>
      </c>
      <c r="M35" s="1">
        <f t="shared" si="10"/>
        <v>247.10826421944466</v>
      </c>
      <c r="N35" s="1">
        <f t="shared" si="11"/>
        <v>74.904812528444694</v>
      </c>
      <c r="O35" s="1">
        <f>Dane!$M$15</f>
        <v>3</v>
      </c>
      <c r="P35" s="62">
        <f t="shared" si="12"/>
        <v>1.1252844468856438E-4</v>
      </c>
      <c r="Q35" s="1">
        <f t="shared" si="13"/>
        <v>-3485.144739238584</v>
      </c>
      <c r="R35" s="1">
        <f t="shared" si="14"/>
        <v>1626.4008783113393</v>
      </c>
      <c r="S35" s="1">
        <f t="shared" si="15"/>
        <v>-3019.0216009184273</v>
      </c>
      <c r="T35" s="12">
        <f t="shared" si="16"/>
        <v>-2756.4979834472601</v>
      </c>
    </row>
    <row r="36" spans="2:20">
      <c r="B36" s="44">
        <f>Dane!B35</f>
        <v>5</v>
      </c>
      <c r="C36" s="42">
        <f>Dane!C35</f>
        <v>7</v>
      </c>
      <c r="D36" s="1">
        <f>Dane!D35</f>
        <v>9</v>
      </c>
      <c r="E36" s="1">
        <f>Dane!E35</f>
        <v>58.136600000000001</v>
      </c>
      <c r="F36" s="1">
        <f>Dane!M11-Dane!M9</f>
        <v>-115</v>
      </c>
      <c r="G36" s="1">
        <f>Dane!N11-Dane!N9</f>
        <v>-105</v>
      </c>
      <c r="H36" s="1">
        <f>Dane!M13-Dane!M9</f>
        <v>18</v>
      </c>
      <c r="I36" s="1">
        <f>Dane!N13-Dane!N9</f>
        <v>-218</v>
      </c>
      <c r="J36" s="1">
        <f t="shared" si="7"/>
        <v>24250</v>
      </c>
      <c r="K36" s="1">
        <f t="shared" si="8"/>
        <v>47848</v>
      </c>
      <c r="L36" s="1">
        <f t="shared" si="9"/>
        <v>247.10826421944466</v>
      </c>
      <c r="M36" s="1">
        <f t="shared" si="10"/>
        <v>305.24459659004839</v>
      </c>
      <c r="N36" s="1">
        <f t="shared" si="11"/>
        <v>58.136332370603725</v>
      </c>
      <c r="O36" s="1">
        <f>Dane!$M$15</f>
        <v>3</v>
      </c>
      <c r="P36" s="62">
        <f t="shared" si="12"/>
        <v>-2.6762939627644755E-4</v>
      </c>
      <c r="Q36" s="1">
        <f t="shared" si="13"/>
        <v>-3019.0216009184273</v>
      </c>
      <c r="R36" s="1">
        <f t="shared" si="14"/>
        <v>-2756.4979834472601</v>
      </c>
      <c r="S36" s="1">
        <f t="shared" si="15"/>
        <v>239.49080217807358</v>
      </c>
      <c r="T36" s="12">
        <f t="shared" si="16"/>
        <v>-2900.4997152677797</v>
      </c>
    </row>
    <row r="37" spans="2:20">
      <c r="B37" s="46">
        <f>Dane!B36</f>
        <v>5</v>
      </c>
      <c r="C37" s="47">
        <f>Dane!C36</f>
        <v>9</v>
      </c>
      <c r="D37" s="14">
        <f>Dane!D36</f>
        <v>4</v>
      </c>
      <c r="E37" s="14">
        <f>Dane!E36</f>
        <v>70.9251</v>
      </c>
      <c r="F37" s="14">
        <f>Dane!M13-Dane!M9</f>
        <v>18</v>
      </c>
      <c r="G37" s="14">
        <f>Dane!N13-Dane!N9</f>
        <v>-218</v>
      </c>
      <c r="H37" s="14">
        <f>Dane!M8-Dane!M9</f>
        <v>140</v>
      </c>
      <c r="I37" s="14">
        <f>Dane!N8-Dane!N9</f>
        <v>-55</v>
      </c>
      <c r="J37" s="14">
        <f t="shared" si="7"/>
        <v>47848</v>
      </c>
      <c r="K37" s="14">
        <f t="shared" si="8"/>
        <v>22625</v>
      </c>
      <c r="L37" s="14">
        <f t="shared" si="9"/>
        <v>305.24459659004839</v>
      </c>
      <c r="M37" s="14">
        <f t="shared" si="10"/>
        <v>376.16918185877182</v>
      </c>
      <c r="N37" s="14">
        <f t="shared" si="11"/>
        <v>70.924585268723433</v>
      </c>
      <c r="O37" s="14">
        <f>Dane!$M$15</f>
        <v>3</v>
      </c>
      <c r="P37" s="63">
        <f t="shared" si="12"/>
        <v>-5.1473127656720408E-4</v>
      </c>
      <c r="Q37" s="14">
        <f t="shared" si="13"/>
        <v>239.49080217807358</v>
      </c>
      <c r="R37" s="14">
        <f t="shared" si="14"/>
        <v>-2900.4997152677797</v>
      </c>
      <c r="S37" s="14">
        <f t="shared" si="15"/>
        <v>3939.3046687938736</v>
      </c>
      <c r="T37" s="15">
        <f t="shared" si="16"/>
        <v>-1547.5839770261648</v>
      </c>
    </row>
    <row r="39" spans="2:20" ht="18" customHeight="1">
      <c r="B39" s="421" t="s">
        <v>41</v>
      </c>
      <c r="C39" s="422"/>
      <c r="D39" s="422"/>
      <c r="E39" s="422"/>
      <c r="F39" s="422"/>
      <c r="G39" s="422"/>
      <c r="H39" s="422"/>
      <c r="I39" s="422"/>
      <c r="J39" s="422"/>
      <c r="K39" s="422"/>
      <c r="L39" s="422"/>
      <c r="M39" s="422"/>
      <c r="N39" s="422"/>
      <c r="O39" s="422"/>
      <c r="P39" s="422"/>
      <c r="Q39" s="423"/>
      <c r="S39" s="430" t="s">
        <v>42</v>
      </c>
    </row>
    <row r="40" spans="2:20" ht="18" customHeight="1">
      <c r="B40" s="424" t="s">
        <v>43</v>
      </c>
      <c r="C40" s="425" t="s">
        <v>44</v>
      </c>
      <c r="D40" s="425" t="s">
        <v>43</v>
      </c>
      <c r="E40" s="425" t="s">
        <v>44</v>
      </c>
      <c r="F40" s="425" t="s">
        <v>43</v>
      </c>
      <c r="G40" s="425" t="s">
        <v>44</v>
      </c>
      <c r="H40" s="425" t="s">
        <v>43</v>
      </c>
      <c r="I40" s="425" t="s">
        <v>44</v>
      </c>
      <c r="J40" s="425" t="s">
        <v>43</v>
      </c>
      <c r="K40" s="425" t="s">
        <v>44</v>
      </c>
      <c r="L40" s="425" t="s">
        <v>43</v>
      </c>
      <c r="M40" s="425" t="s">
        <v>44</v>
      </c>
      <c r="N40" s="425" t="s">
        <v>43</v>
      </c>
      <c r="O40" s="425" t="s">
        <v>44</v>
      </c>
      <c r="P40" s="425" t="s">
        <v>43</v>
      </c>
      <c r="Q40" s="426" t="s">
        <v>44</v>
      </c>
      <c r="S40" s="431"/>
    </row>
    <row r="41" spans="2:20" ht="18" customHeight="1">
      <c r="B41" s="427">
        <v>1</v>
      </c>
      <c r="C41" s="428">
        <v>1</v>
      </c>
      <c r="D41" s="428">
        <v>3</v>
      </c>
      <c r="E41" s="428">
        <v>3</v>
      </c>
      <c r="F41" s="428">
        <v>4</v>
      </c>
      <c r="G41" s="428">
        <v>4</v>
      </c>
      <c r="H41" s="428">
        <v>5</v>
      </c>
      <c r="I41" s="428">
        <v>5</v>
      </c>
      <c r="J41" s="428">
        <v>6</v>
      </c>
      <c r="K41" s="428">
        <v>6</v>
      </c>
      <c r="L41" s="428">
        <v>7</v>
      </c>
      <c r="M41" s="428">
        <v>7</v>
      </c>
      <c r="N41" s="428">
        <v>8</v>
      </c>
      <c r="O41" s="428">
        <v>8</v>
      </c>
      <c r="P41" s="428">
        <v>9</v>
      </c>
      <c r="Q41" s="429">
        <v>9</v>
      </c>
      <c r="S41" s="432"/>
    </row>
    <row r="42" spans="2:20">
      <c r="B42" s="8">
        <f>IF(B$41=$B4,IF(B$40="dx",-$K4,-$J4),IF(B$41=$C4,IF(B$40="dx",$K4,$J4),0))</f>
        <v>0.22082565259779471</v>
      </c>
      <c r="C42" s="9">
        <f>IF(C$41=$B4,IF(C$40="dx",-$K4,-$J4),IF(C$41=$C4,IF(C$40="dx",$K4,$J4),0))</f>
        <v>-0.97531329897359553</v>
      </c>
      <c r="D42" s="9">
        <f>IF(D$41=$B4,IF(D$40="dx",-$K4,-$J4),IF(D$41=$C4,IF(D$40="dx",$K4,$J4),0))</f>
        <v>0</v>
      </c>
      <c r="E42" s="9">
        <f>IF(E$41=$B4,IF(E$40="dx",-$K4,-$J4),IF(E$41=$C4,IF(E$40="dx",$K4,$J4),0))</f>
        <v>0</v>
      </c>
      <c r="F42" s="9">
        <f t="shared" ref="F42:Q57" si="17">IF(F$41=$B4,IF(F$40="dx",-$K4,-$J4),IF(F$41=$C4,IF(F$40="dx",$K4,$J4),0))</f>
        <v>0</v>
      </c>
      <c r="G42" s="9">
        <f t="shared" si="17"/>
        <v>0</v>
      </c>
      <c r="H42" s="9">
        <f t="shared" si="17"/>
        <v>0</v>
      </c>
      <c r="I42" s="9">
        <f t="shared" si="17"/>
        <v>0</v>
      </c>
      <c r="J42" s="9">
        <f t="shared" si="17"/>
        <v>0</v>
      </c>
      <c r="K42" s="9">
        <f t="shared" si="17"/>
        <v>0</v>
      </c>
      <c r="L42" s="9">
        <f t="shared" si="17"/>
        <v>-0.22082565259779471</v>
      </c>
      <c r="M42" s="9">
        <f t="shared" si="17"/>
        <v>0.97531329897359553</v>
      </c>
      <c r="N42" s="9">
        <f t="shared" si="17"/>
        <v>0</v>
      </c>
      <c r="O42" s="9">
        <f t="shared" si="17"/>
        <v>0</v>
      </c>
      <c r="P42" s="9">
        <f t="shared" si="17"/>
        <v>0</v>
      </c>
      <c r="Q42" s="10">
        <f t="shared" si="17"/>
        <v>0</v>
      </c>
      <c r="S42" s="72">
        <f t="shared" ref="S42:S61" si="18">M4</f>
        <v>1.3633838704549817E-3</v>
      </c>
    </row>
    <row r="43" spans="2:20">
      <c r="B43" s="11">
        <f t="shared" ref="B43:Q58" si="19">IF(B$41=$B5,IF(B$40="dx",-$K5,-$J5),IF(B$41=$C5,IF(B$40="dx",$K5,$J5),0))</f>
        <v>0</v>
      </c>
      <c r="C43" s="1">
        <f t="shared" si="19"/>
        <v>0</v>
      </c>
      <c r="D43" s="1">
        <f t="shared" si="19"/>
        <v>0</v>
      </c>
      <c r="E43" s="1">
        <f t="shared" si="19"/>
        <v>0</v>
      </c>
      <c r="F43" s="1">
        <f t="shared" si="19"/>
        <v>0</v>
      </c>
      <c r="G43" s="1">
        <f t="shared" si="19"/>
        <v>0</v>
      </c>
      <c r="H43" s="1">
        <f t="shared" si="17"/>
        <v>0.7384854939281259</v>
      </c>
      <c r="I43" s="1">
        <f t="shared" si="17"/>
        <v>0.67426936402133231</v>
      </c>
      <c r="J43" s="1">
        <f t="shared" si="17"/>
        <v>0</v>
      </c>
      <c r="K43" s="1">
        <f t="shared" si="17"/>
        <v>0</v>
      </c>
      <c r="L43" s="1">
        <f t="shared" si="17"/>
        <v>-0.7384854939281259</v>
      </c>
      <c r="M43" s="1">
        <f t="shared" si="17"/>
        <v>-0.67426936402133231</v>
      </c>
      <c r="N43" s="1">
        <f t="shared" si="17"/>
        <v>0</v>
      </c>
      <c r="O43" s="1">
        <f t="shared" si="17"/>
        <v>0</v>
      </c>
      <c r="P43" s="1">
        <f t="shared" si="17"/>
        <v>0</v>
      </c>
      <c r="Q43" s="12">
        <f t="shared" si="17"/>
        <v>0</v>
      </c>
      <c r="S43" s="72">
        <f t="shared" si="18"/>
        <v>-1.8497602562206339E-4</v>
      </c>
    </row>
    <row r="44" spans="2:20">
      <c r="B44" s="11">
        <f t="shared" si="19"/>
        <v>0</v>
      </c>
      <c r="C44" s="1">
        <f t="shared" si="19"/>
        <v>0</v>
      </c>
      <c r="D44" s="1">
        <f t="shared" si="19"/>
        <v>0</v>
      </c>
      <c r="E44" s="1">
        <f t="shared" si="19"/>
        <v>0</v>
      </c>
      <c r="F44" s="1">
        <f t="shared" si="19"/>
        <v>0</v>
      </c>
      <c r="G44" s="1">
        <f t="shared" si="19"/>
        <v>0</v>
      </c>
      <c r="H44" s="1">
        <f t="shared" si="17"/>
        <v>0</v>
      </c>
      <c r="I44" s="1">
        <f t="shared" si="17"/>
        <v>0</v>
      </c>
      <c r="J44" s="1">
        <f t="shared" si="17"/>
        <v>-0.1961161351381841</v>
      </c>
      <c r="K44" s="1">
        <f t="shared" si="17"/>
        <v>0.98058067569092011</v>
      </c>
      <c r="L44" s="1">
        <f t="shared" si="17"/>
        <v>0.1961161351381841</v>
      </c>
      <c r="M44" s="1">
        <f t="shared" si="17"/>
        <v>-0.98058067569092011</v>
      </c>
      <c r="N44" s="1">
        <f t="shared" si="17"/>
        <v>0</v>
      </c>
      <c r="O44" s="1">
        <f t="shared" si="17"/>
        <v>0</v>
      </c>
      <c r="P44" s="1">
        <f t="shared" si="17"/>
        <v>0</v>
      </c>
      <c r="Q44" s="12">
        <f t="shared" si="17"/>
        <v>0</v>
      </c>
      <c r="S44" s="72">
        <f t="shared" si="18"/>
        <v>-2.1702425254943591E-4</v>
      </c>
    </row>
    <row r="45" spans="2:20">
      <c r="B45" s="11">
        <f t="shared" si="19"/>
        <v>0</v>
      </c>
      <c r="C45" s="1">
        <f t="shared" si="19"/>
        <v>0</v>
      </c>
      <c r="D45" s="1">
        <f t="shared" si="19"/>
        <v>0</v>
      </c>
      <c r="E45" s="1">
        <f t="shared" si="19"/>
        <v>0</v>
      </c>
      <c r="F45" s="1">
        <f t="shared" si="19"/>
        <v>0</v>
      </c>
      <c r="G45" s="1">
        <f t="shared" si="19"/>
        <v>0</v>
      </c>
      <c r="H45" s="1">
        <f t="shared" si="17"/>
        <v>0</v>
      </c>
      <c r="I45" s="1">
        <f t="shared" si="17"/>
        <v>0</v>
      </c>
      <c r="J45" s="1">
        <f t="shared" si="17"/>
        <v>0</v>
      </c>
      <c r="K45" s="1">
        <f t="shared" si="17"/>
        <v>0</v>
      </c>
      <c r="L45" s="1">
        <f t="shared" si="17"/>
        <v>0.20260560403595176</v>
      </c>
      <c r="M45" s="1">
        <f t="shared" si="17"/>
        <v>0.97926041950710285</v>
      </c>
      <c r="N45" s="1">
        <f t="shared" si="17"/>
        <v>-0.20260560403595176</v>
      </c>
      <c r="O45" s="1">
        <f t="shared" si="17"/>
        <v>-0.97926041950710285</v>
      </c>
      <c r="P45" s="1">
        <f t="shared" si="17"/>
        <v>0</v>
      </c>
      <c r="Q45" s="12">
        <f t="shared" si="17"/>
        <v>0</v>
      </c>
      <c r="S45" s="72">
        <f t="shared" si="18"/>
        <v>-7.7105039153479993E-4</v>
      </c>
    </row>
    <row r="46" spans="2:20">
      <c r="B46" s="11">
        <f t="shared" si="19"/>
        <v>0</v>
      </c>
      <c r="C46" s="1">
        <f t="shared" si="19"/>
        <v>0</v>
      </c>
      <c r="D46" s="1">
        <f t="shared" si="19"/>
        <v>0</v>
      </c>
      <c r="E46" s="1">
        <f t="shared" si="19"/>
        <v>0</v>
      </c>
      <c r="F46" s="1">
        <f t="shared" si="19"/>
        <v>0</v>
      </c>
      <c r="G46" s="1">
        <f t="shared" si="19"/>
        <v>0</v>
      </c>
      <c r="H46" s="1">
        <f t="shared" si="17"/>
        <v>0</v>
      </c>
      <c r="I46" s="1">
        <f t="shared" si="17"/>
        <v>0</v>
      </c>
      <c r="J46" s="1">
        <f t="shared" si="17"/>
        <v>0</v>
      </c>
      <c r="K46" s="1">
        <f t="shared" si="17"/>
        <v>0</v>
      </c>
      <c r="L46" s="1">
        <f t="shared" si="17"/>
        <v>-0.76208067668582391</v>
      </c>
      <c r="M46" s="1">
        <f t="shared" si="17"/>
        <v>0.64748207868795626</v>
      </c>
      <c r="N46" s="1">
        <f t="shared" si="17"/>
        <v>0</v>
      </c>
      <c r="O46" s="1">
        <f t="shared" si="17"/>
        <v>0</v>
      </c>
      <c r="P46" s="1">
        <f t="shared" si="17"/>
        <v>0.76208067668582391</v>
      </c>
      <c r="Q46" s="12">
        <f t="shared" si="17"/>
        <v>-0.64748207868795626</v>
      </c>
      <c r="S46" s="72">
        <f t="shared" si="18"/>
        <v>-3.9510904636586019E-4</v>
      </c>
    </row>
    <row r="47" spans="2:20">
      <c r="B47" s="11">
        <f t="shared" si="19"/>
        <v>0.59999999999999976</v>
      </c>
      <c r="C47" s="1">
        <f t="shared" si="19"/>
        <v>-0.80000000000000016</v>
      </c>
      <c r="D47" s="1">
        <f t="shared" si="19"/>
        <v>0</v>
      </c>
      <c r="E47" s="1">
        <f t="shared" si="19"/>
        <v>0</v>
      </c>
      <c r="F47" s="1">
        <f t="shared" si="19"/>
        <v>0</v>
      </c>
      <c r="G47" s="1">
        <f t="shared" si="19"/>
        <v>0</v>
      </c>
      <c r="H47" s="1">
        <f t="shared" si="17"/>
        <v>0</v>
      </c>
      <c r="I47" s="1">
        <f t="shared" si="17"/>
        <v>0</v>
      </c>
      <c r="J47" s="1">
        <f t="shared" si="17"/>
        <v>0</v>
      </c>
      <c r="K47" s="1">
        <f t="shared" si="17"/>
        <v>0</v>
      </c>
      <c r="L47" s="1">
        <f t="shared" si="17"/>
        <v>0</v>
      </c>
      <c r="M47" s="1">
        <f t="shared" si="17"/>
        <v>0</v>
      </c>
      <c r="N47" s="1">
        <f t="shared" si="17"/>
        <v>-0.59999999999999976</v>
      </c>
      <c r="O47" s="1">
        <f t="shared" si="17"/>
        <v>0.80000000000000016</v>
      </c>
      <c r="P47" s="1">
        <f t="shared" si="17"/>
        <v>0</v>
      </c>
      <c r="Q47" s="12">
        <f t="shared" si="17"/>
        <v>0</v>
      </c>
      <c r="S47" s="72">
        <f t="shared" si="18"/>
        <v>1.6999999999995907E-3</v>
      </c>
    </row>
    <row r="48" spans="2:20">
      <c r="B48" s="11">
        <f t="shared" si="19"/>
        <v>0</v>
      </c>
      <c r="C48" s="1">
        <f t="shared" si="19"/>
        <v>0</v>
      </c>
      <c r="D48" s="1">
        <f t="shared" si="19"/>
        <v>0</v>
      </c>
      <c r="E48" s="1">
        <f t="shared" si="19"/>
        <v>0</v>
      </c>
      <c r="F48" s="1">
        <f t="shared" si="19"/>
        <v>0</v>
      </c>
      <c r="G48" s="1">
        <f t="shared" si="19"/>
        <v>0</v>
      </c>
      <c r="H48" s="1">
        <f t="shared" si="17"/>
        <v>0</v>
      </c>
      <c r="I48" s="1">
        <f t="shared" si="17"/>
        <v>0</v>
      </c>
      <c r="J48" s="1">
        <f t="shared" si="17"/>
        <v>0</v>
      </c>
      <c r="K48" s="1">
        <f t="shared" si="17"/>
        <v>0</v>
      </c>
      <c r="L48" s="1">
        <f t="shared" si="17"/>
        <v>0</v>
      </c>
      <c r="M48" s="1">
        <f t="shared" si="17"/>
        <v>0</v>
      </c>
      <c r="N48" s="1">
        <f t="shared" si="17"/>
        <v>-0.98126914684485633</v>
      </c>
      <c r="O48" s="1">
        <f t="shared" si="17"/>
        <v>-0.19264179569960369</v>
      </c>
      <c r="P48" s="1">
        <f t="shared" si="17"/>
        <v>0.98126914684485633</v>
      </c>
      <c r="Q48" s="12">
        <f t="shared" si="17"/>
        <v>0.19264179569960369</v>
      </c>
      <c r="S48" s="72">
        <f t="shared" si="18"/>
        <v>-3.9160190110010262E-4</v>
      </c>
    </row>
    <row r="49" spans="2:19">
      <c r="B49" s="11">
        <f t="shared" si="19"/>
        <v>0</v>
      </c>
      <c r="C49" s="1">
        <f t="shared" si="19"/>
        <v>0</v>
      </c>
      <c r="D49" s="1">
        <f t="shared" si="19"/>
        <v>0</v>
      </c>
      <c r="E49" s="1">
        <f t="shared" si="19"/>
        <v>0</v>
      </c>
      <c r="F49" s="1">
        <f t="shared" si="19"/>
        <v>0</v>
      </c>
      <c r="G49" s="1">
        <f t="shared" si="19"/>
        <v>0</v>
      </c>
      <c r="H49" s="1">
        <f t="shared" si="17"/>
        <v>0</v>
      </c>
      <c r="I49" s="1">
        <f t="shared" si="17"/>
        <v>0</v>
      </c>
      <c r="J49" s="1">
        <f t="shared" si="17"/>
        <v>0</v>
      </c>
      <c r="K49" s="1">
        <f t="shared" si="17"/>
        <v>0</v>
      </c>
      <c r="L49" s="1">
        <f t="shared" si="17"/>
        <v>0.20260560403595229</v>
      </c>
      <c r="M49" s="1">
        <f t="shared" si="17"/>
        <v>0.97926041950710274</v>
      </c>
      <c r="N49" s="1">
        <f t="shared" si="17"/>
        <v>-0.20260560403595229</v>
      </c>
      <c r="O49" s="1">
        <f t="shared" si="17"/>
        <v>-0.97926041950710274</v>
      </c>
      <c r="P49" s="1">
        <f t="shared" si="17"/>
        <v>0</v>
      </c>
      <c r="Q49" s="12">
        <f t="shared" si="17"/>
        <v>0</v>
      </c>
      <c r="S49" s="72">
        <f t="shared" si="18"/>
        <v>-2.2710503915561731E-3</v>
      </c>
    </row>
    <row r="50" spans="2:19">
      <c r="B50" s="11">
        <f t="shared" si="19"/>
        <v>0</v>
      </c>
      <c r="C50" s="1">
        <f t="shared" si="19"/>
        <v>0</v>
      </c>
      <c r="D50" s="1">
        <f t="shared" si="19"/>
        <v>0</v>
      </c>
      <c r="E50" s="1">
        <f t="shared" si="19"/>
        <v>0</v>
      </c>
      <c r="F50" s="1">
        <f t="shared" si="19"/>
        <v>0</v>
      </c>
      <c r="G50" s="1">
        <f t="shared" si="19"/>
        <v>0</v>
      </c>
      <c r="H50" s="1">
        <f t="shared" si="17"/>
        <v>0</v>
      </c>
      <c r="I50" s="1">
        <f t="shared" si="17"/>
        <v>0</v>
      </c>
      <c r="J50" s="1">
        <f t="shared" si="17"/>
        <v>-1.5623093000542007E-2</v>
      </c>
      <c r="K50" s="1">
        <f t="shared" si="17"/>
        <v>0.99987795203469532</v>
      </c>
      <c r="L50" s="1">
        <f t="shared" si="17"/>
        <v>0</v>
      </c>
      <c r="M50" s="1">
        <f t="shared" si="17"/>
        <v>0</v>
      </c>
      <c r="N50" s="1">
        <f t="shared" si="17"/>
        <v>1.5623093000542007E-2</v>
      </c>
      <c r="O50" s="1">
        <f t="shared" si="17"/>
        <v>-0.99987795203469532</v>
      </c>
      <c r="P50" s="1">
        <f t="shared" si="17"/>
        <v>0</v>
      </c>
      <c r="Q50" s="12">
        <f t="shared" si="17"/>
        <v>0</v>
      </c>
      <c r="S50" s="72">
        <f t="shared" si="18"/>
        <v>-2.2398838947879085E-3</v>
      </c>
    </row>
    <row r="51" spans="2:19">
      <c r="B51" s="11">
        <f t="shared" si="19"/>
        <v>-0.88287238919927979</v>
      </c>
      <c r="C51" s="1">
        <f t="shared" si="19"/>
        <v>-0.46961297297834037</v>
      </c>
      <c r="D51" s="1">
        <f t="shared" si="19"/>
        <v>0.88287238919927979</v>
      </c>
      <c r="E51" s="1">
        <f t="shared" si="19"/>
        <v>0.46961297297834037</v>
      </c>
      <c r="F51" s="1">
        <f t="shared" si="19"/>
        <v>0</v>
      </c>
      <c r="G51" s="1">
        <f t="shared" si="19"/>
        <v>0</v>
      </c>
      <c r="H51" s="1">
        <f t="shared" si="17"/>
        <v>0</v>
      </c>
      <c r="I51" s="1">
        <f t="shared" si="17"/>
        <v>0</v>
      </c>
      <c r="J51" s="1">
        <f t="shared" si="17"/>
        <v>0</v>
      </c>
      <c r="K51" s="1">
        <f t="shared" si="17"/>
        <v>0</v>
      </c>
      <c r="L51" s="1">
        <f t="shared" si="17"/>
        <v>0</v>
      </c>
      <c r="M51" s="1">
        <f t="shared" si="17"/>
        <v>0</v>
      </c>
      <c r="N51" s="1">
        <f t="shared" si="17"/>
        <v>0</v>
      </c>
      <c r="O51" s="1">
        <f t="shared" si="17"/>
        <v>0</v>
      </c>
      <c r="P51" s="1">
        <f t="shared" si="17"/>
        <v>0</v>
      </c>
      <c r="Q51" s="12">
        <f t="shared" si="17"/>
        <v>0</v>
      </c>
      <c r="S51" s="72">
        <f t="shared" si="18"/>
        <v>1.0330841233212595E-3</v>
      </c>
    </row>
    <row r="52" spans="2:19">
      <c r="B52" s="11">
        <f t="shared" si="19"/>
        <v>-0.43292385560131397</v>
      </c>
      <c r="C52" s="1">
        <f t="shared" si="19"/>
        <v>-0.90143049385479113</v>
      </c>
      <c r="D52" s="1">
        <f t="shared" si="19"/>
        <v>0</v>
      </c>
      <c r="E52" s="1">
        <f t="shared" si="19"/>
        <v>0</v>
      </c>
      <c r="F52" s="1">
        <f t="shared" si="19"/>
        <v>0</v>
      </c>
      <c r="G52" s="1">
        <f t="shared" si="19"/>
        <v>0</v>
      </c>
      <c r="H52" s="1">
        <f t="shared" si="17"/>
        <v>0</v>
      </c>
      <c r="I52" s="1">
        <f t="shared" si="17"/>
        <v>0</v>
      </c>
      <c r="J52" s="1">
        <f t="shared" si="17"/>
        <v>0</v>
      </c>
      <c r="K52" s="1">
        <f t="shared" si="17"/>
        <v>0</v>
      </c>
      <c r="L52" s="1">
        <f t="shared" si="17"/>
        <v>0</v>
      </c>
      <c r="M52" s="1">
        <f t="shared" si="17"/>
        <v>0</v>
      </c>
      <c r="N52" s="1">
        <f t="shared" si="17"/>
        <v>0</v>
      </c>
      <c r="O52" s="1">
        <f t="shared" si="17"/>
        <v>0</v>
      </c>
      <c r="P52" s="1">
        <f t="shared" si="17"/>
        <v>0.43292385560131397</v>
      </c>
      <c r="Q52" s="12">
        <f t="shared" si="17"/>
        <v>0.90143049385479113</v>
      </c>
      <c r="S52" s="72">
        <f t="shared" si="18"/>
        <v>-6.2347517581429202E-4</v>
      </c>
    </row>
    <row r="53" spans="2:19">
      <c r="B53" s="11">
        <f t="shared" si="19"/>
        <v>0.22082565259779505</v>
      </c>
      <c r="C53" s="1">
        <f t="shared" si="19"/>
        <v>-0.97531329897359542</v>
      </c>
      <c r="D53" s="1">
        <f t="shared" si="19"/>
        <v>0</v>
      </c>
      <c r="E53" s="1">
        <f t="shared" si="19"/>
        <v>0</v>
      </c>
      <c r="F53" s="1">
        <f t="shared" si="19"/>
        <v>0</v>
      </c>
      <c r="G53" s="1">
        <f t="shared" si="19"/>
        <v>0</v>
      </c>
      <c r="H53" s="1">
        <f t="shared" si="17"/>
        <v>0</v>
      </c>
      <c r="I53" s="1">
        <f t="shared" si="17"/>
        <v>0</v>
      </c>
      <c r="J53" s="1">
        <f t="shared" si="17"/>
        <v>0</v>
      </c>
      <c r="K53" s="1">
        <f t="shared" si="17"/>
        <v>0</v>
      </c>
      <c r="L53" s="1">
        <f t="shared" si="17"/>
        <v>-0.22082565259779505</v>
      </c>
      <c r="M53" s="1">
        <f t="shared" si="17"/>
        <v>0.97531329897359542</v>
      </c>
      <c r="N53" s="1">
        <f t="shared" si="17"/>
        <v>0</v>
      </c>
      <c r="O53" s="1">
        <f t="shared" si="17"/>
        <v>0</v>
      </c>
      <c r="P53" s="1">
        <f t="shared" si="17"/>
        <v>0</v>
      </c>
      <c r="Q53" s="12">
        <f t="shared" si="17"/>
        <v>0</v>
      </c>
      <c r="S53" s="72">
        <f t="shared" si="18"/>
        <v>-5.3661612952282667E-4</v>
      </c>
    </row>
    <row r="54" spans="2:19">
      <c r="B54" s="11">
        <f t="shared" si="19"/>
        <v>0</v>
      </c>
      <c r="C54" s="1">
        <f t="shared" si="19"/>
        <v>0</v>
      </c>
      <c r="D54" s="1">
        <f t="shared" si="19"/>
        <v>0.59207643396069154</v>
      </c>
      <c r="E54" s="1">
        <f t="shared" si="19"/>
        <v>-0.80588181289094174</v>
      </c>
      <c r="F54" s="1">
        <f t="shared" si="19"/>
        <v>0</v>
      </c>
      <c r="G54" s="1">
        <f t="shared" si="19"/>
        <v>0</v>
      </c>
      <c r="H54" s="1">
        <f t="shared" si="17"/>
        <v>-0.59207643396069154</v>
      </c>
      <c r="I54" s="1">
        <f t="shared" si="17"/>
        <v>0.80588181289094174</v>
      </c>
      <c r="J54" s="1">
        <f t="shared" si="17"/>
        <v>0</v>
      </c>
      <c r="K54" s="1">
        <f t="shared" si="17"/>
        <v>0</v>
      </c>
      <c r="L54" s="1">
        <f t="shared" si="17"/>
        <v>0</v>
      </c>
      <c r="M54" s="1">
        <f t="shared" si="17"/>
        <v>0</v>
      </c>
      <c r="N54" s="1">
        <f t="shared" si="17"/>
        <v>0</v>
      </c>
      <c r="O54" s="1">
        <f t="shared" si="17"/>
        <v>0</v>
      </c>
      <c r="P54" s="1">
        <f t="shared" si="17"/>
        <v>0</v>
      </c>
      <c r="Q54" s="12">
        <f t="shared" si="17"/>
        <v>0</v>
      </c>
      <c r="S54" s="72">
        <f t="shared" si="18"/>
        <v>1.0022712052091265E-3</v>
      </c>
    </row>
    <row r="55" spans="2:19">
      <c r="B55" s="11">
        <f t="shared" si="19"/>
        <v>0</v>
      </c>
      <c r="C55" s="1">
        <f t="shared" si="19"/>
        <v>0</v>
      </c>
      <c r="D55" s="1">
        <f t="shared" si="19"/>
        <v>0.98639392383214375</v>
      </c>
      <c r="E55" s="1">
        <f t="shared" si="19"/>
        <v>-0.16439898730535749</v>
      </c>
      <c r="F55" s="1">
        <f t="shared" si="19"/>
        <v>0</v>
      </c>
      <c r="G55" s="1">
        <f t="shared" si="19"/>
        <v>0</v>
      </c>
      <c r="H55" s="1">
        <f t="shared" si="17"/>
        <v>0</v>
      </c>
      <c r="I55" s="1">
        <f t="shared" si="17"/>
        <v>0</v>
      </c>
      <c r="J55" s="1">
        <f t="shared" si="17"/>
        <v>0</v>
      </c>
      <c r="K55" s="1">
        <f t="shared" si="17"/>
        <v>0</v>
      </c>
      <c r="L55" s="1">
        <f t="shared" si="17"/>
        <v>0</v>
      </c>
      <c r="M55" s="1">
        <f t="shared" si="17"/>
        <v>0</v>
      </c>
      <c r="N55" s="1">
        <f t="shared" si="17"/>
        <v>0</v>
      </c>
      <c r="O55" s="1">
        <f t="shared" si="17"/>
        <v>0</v>
      </c>
      <c r="P55" s="1">
        <f t="shared" si="17"/>
        <v>-0.98639392383214375</v>
      </c>
      <c r="Q55" s="12">
        <f t="shared" si="17"/>
        <v>0.16439898730535749</v>
      </c>
      <c r="S55" s="72">
        <f t="shared" si="18"/>
        <v>-3.1168194809083616E-4</v>
      </c>
    </row>
    <row r="56" spans="2:19">
      <c r="B56" s="11">
        <f t="shared" si="19"/>
        <v>0</v>
      </c>
      <c r="C56" s="1">
        <f t="shared" si="19"/>
        <v>0</v>
      </c>
      <c r="D56" s="1">
        <f t="shared" si="19"/>
        <v>0.20601048104984188</v>
      </c>
      <c r="E56" s="1">
        <f t="shared" si="19"/>
        <v>-0.97854978498674905</v>
      </c>
      <c r="F56" s="1">
        <f t="shared" si="19"/>
        <v>-0.20601048104984188</v>
      </c>
      <c r="G56" s="1">
        <f t="shared" si="19"/>
        <v>0.97854978498674905</v>
      </c>
      <c r="H56" s="1">
        <f t="shared" si="17"/>
        <v>0</v>
      </c>
      <c r="I56" s="1">
        <f t="shared" si="17"/>
        <v>0</v>
      </c>
      <c r="J56" s="1">
        <f t="shared" si="17"/>
        <v>0</v>
      </c>
      <c r="K56" s="1">
        <f t="shared" si="17"/>
        <v>0</v>
      </c>
      <c r="L56" s="1">
        <f t="shared" si="17"/>
        <v>0</v>
      </c>
      <c r="M56" s="1">
        <f t="shared" si="17"/>
        <v>0</v>
      </c>
      <c r="N56" s="1">
        <f t="shared" si="17"/>
        <v>0</v>
      </c>
      <c r="O56" s="1">
        <f t="shared" si="17"/>
        <v>0</v>
      </c>
      <c r="P56" s="1">
        <f t="shared" si="17"/>
        <v>0</v>
      </c>
      <c r="Q56" s="12">
        <f t="shared" si="17"/>
        <v>0</v>
      </c>
      <c r="S56" s="72">
        <f t="shared" si="18"/>
        <v>1.9783894759939358E-3</v>
      </c>
    </row>
    <row r="57" spans="2:19">
      <c r="B57" s="11">
        <f t="shared" si="19"/>
        <v>0</v>
      </c>
      <c r="C57" s="1">
        <f t="shared" si="19"/>
        <v>0</v>
      </c>
      <c r="D57" s="1">
        <f t="shared" si="19"/>
        <v>0</v>
      </c>
      <c r="E57" s="1">
        <f t="shared" si="19"/>
        <v>0</v>
      </c>
      <c r="F57" s="1">
        <f t="shared" si="19"/>
        <v>0.93075149344034702</v>
      </c>
      <c r="G57" s="1">
        <f t="shared" si="19"/>
        <v>-0.36565237242299375</v>
      </c>
      <c r="H57" s="1">
        <f t="shared" si="17"/>
        <v>-0.93075149344034702</v>
      </c>
      <c r="I57" s="1">
        <f t="shared" si="17"/>
        <v>0.36565237242299375</v>
      </c>
      <c r="J57" s="1">
        <f t="shared" si="17"/>
        <v>0</v>
      </c>
      <c r="K57" s="1">
        <f t="shared" si="17"/>
        <v>0</v>
      </c>
      <c r="L57" s="1">
        <f t="shared" si="17"/>
        <v>0</v>
      </c>
      <c r="M57" s="1">
        <f t="shared" si="17"/>
        <v>0</v>
      </c>
      <c r="N57" s="1">
        <f t="shared" si="17"/>
        <v>0</v>
      </c>
      <c r="O57" s="1">
        <f t="shared" si="17"/>
        <v>0</v>
      </c>
      <c r="P57" s="1">
        <f t="shared" si="17"/>
        <v>0</v>
      </c>
      <c r="Q57" s="12">
        <f t="shared" si="17"/>
        <v>0</v>
      </c>
      <c r="S57" s="72">
        <f t="shared" si="18"/>
        <v>-6.1043508677016689E-4</v>
      </c>
    </row>
    <row r="58" spans="2:19">
      <c r="B58" s="11">
        <f t="shared" si="19"/>
        <v>0</v>
      </c>
      <c r="C58" s="1">
        <f t="shared" si="19"/>
        <v>0</v>
      </c>
      <c r="D58" s="1">
        <f t="shared" si="19"/>
        <v>0</v>
      </c>
      <c r="E58" s="1">
        <f t="shared" si="19"/>
        <v>0</v>
      </c>
      <c r="F58" s="1">
        <f t="shared" si="19"/>
        <v>0.98131374967715723</v>
      </c>
      <c r="G58" s="1">
        <f t="shared" si="19"/>
        <v>0.19241446072101101</v>
      </c>
      <c r="H58" s="1">
        <f t="shared" si="19"/>
        <v>0</v>
      </c>
      <c r="I58" s="1">
        <f t="shared" si="19"/>
        <v>0</v>
      </c>
      <c r="J58" s="1">
        <f t="shared" si="19"/>
        <v>0</v>
      </c>
      <c r="K58" s="1">
        <f t="shared" si="19"/>
        <v>0</v>
      </c>
      <c r="L58" s="1">
        <f t="shared" si="19"/>
        <v>-0.98131374967715723</v>
      </c>
      <c r="M58" s="1">
        <f t="shared" si="19"/>
        <v>-0.19241446072101101</v>
      </c>
      <c r="N58" s="1">
        <f t="shared" si="19"/>
        <v>0</v>
      </c>
      <c r="O58" s="1">
        <f t="shared" si="19"/>
        <v>0</v>
      </c>
      <c r="P58" s="1">
        <f t="shared" si="19"/>
        <v>0</v>
      </c>
      <c r="Q58" s="12">
        <f t="shared" si="19"/>
        <v>0</v>
      </c>
      <c r="S58" s="72">
        <f t="shared" si="18"/>
        <v>-3.7079627435332441E-4</v>
      </c>
    </row>
    <row r="59" spans="2:19">
      <c r="B59" s="11">
        <f t="shared" ref="B59:Q61" si="20">IF(B$41=$B21,IF(B$40="dx",-$K21,-$J21),IF(B$41=$C21,IF(B$40="dx",$K21,$J21),0))</f>
        <v>0</v>
      </c>
      <c r="C59" s="1">
        <f t="shared" si="20"/>
        <v>0</v>
      </c>
      <c r="D59" s="1">
        <f t="shared" si="20"/>
        <v>0</v>
      </c>
      <c r="E59" s="1">
        <f t="shared" si="20"/>
        <v>0</v>
      </c>
      <c r="F59" s="1">
        <f t="shared" si="20"/>
        <v>0.59921385627771317</v>
      </c>
      <c r="G59" s="1">
        <f t="shared" si="20"/>
        <v>0.80058900469891048</v>
      </c>
      <c r="H59" s="1">
        <f t="shared" si="20"/>
        <v>0</v>
      </c>
      <c r="I59" s="1">
        <f t="shared" si="20"/>
        <v>0</v>
      </c>
      <c r="J59" s="1">
        <f t="shared" si="20"/>
        <v>0</v>
      </c>
      <c r="K59" s="1">
        <f t="shared" si="20"/>
        <v>0</v>
      </c>
      <c r="L59" s="1">
        <f t="shared" si="20"/>
        <v>0</v>
      </c>
      <c r="M59" s="1">
        <f t="shared" si="20"/>
        <v>0</v>
      </c>
      <c r="N59" s="1">
        <f t="shared" si="20"/>
        <v>0</v>
      </c>
      <c r="O59" s="1">
        <f t="shared" si="20"/>
        <v>0</v>
      </c>
      <c r="P59" s="1">
        <f t="shared" si="20"/>
        <v>-0.59921385627771317</v>
      </c>
      <c r="Q59" s="12">
        <f t="shared" si="20"/>
        <v>-0.80058900469891048</v>
      </c>
      <c r="S59" s="72">
        <f t="shared" si="18"/>
        <v>-3.0176819657867782E-4</v>
      </c>
    </row>
    <row r="60" spans="2:19">
      <c r="B60" s="11">
        <f t="shared" si="20"/>
        <v>0</v>
      </c>
      <c r="C60" s="1">
        <f t="shared" si="20"/>
        <v>0</v>
      </c>
      <c r="D60" s="1">
        <f t="shared" si="20"/>
        <v>0</v>
      </c>
      <c r="E60" s="1">
        <f t="shared" si="20"/>
        <v>0</v>
      </c>
      <c r="F60" s="1">
        <f t="shared" si="20"/>
        <v>0</v>
      </c>
      <c r="G60" s="1">
        <f t="shared" si="20"/>
        <v>0</v>
      </c>
      <c r="H60" s="1">
        <f t="shared" si="20"/>
        <v>0</v>
      </c>
      <c r="I60" s="1">
        <f t="shared" si="20"/>
        <v>0</v>
      </c>
      <c r="J60" s="1">
        <f t="shared" si="20"/>
        <v>-0.50387102552408569</v>
      </c>
      <c r="K60" s="1">
        <f t="shared" si="20"/>
        <v>0.86377890089843368</v>
      </c>
      <c r="L60" s="1">
        <f t="shared" si="20"/>
        <v>0</v>
      </c>
      <c r="M60" s="1">
        <f t="shared" si="20"/>
        <v>0</v>
      </c>
      <c r="N60" s="1">
        <f t="shared" si="20"/>
        <v>0</v>
      </c>
      <c r="O60" s="1">
        <f t="shared" si="20"/>
        <v>0</v>
      </c>
      <c r="P60" s="1">
        <f t="shared" si="20"/>
        <v>0.50387102552408569</v>
      </c>
      <c r="Q60" s="12">
        <f t="shared" si="20"/>
        <v>-0.86377890089843368</v>
      </c>
      <c r="S60" s="72">
        <f t="shared" si="18"/>
        <v>-7.4425320468662903E-4</v>
      </c>
    </row>
    <row r="61" spans="2:19">
      <c r="B61" s="13">
        <f t="shared" si="20"/>
        <v>0</v>
      </c>
      <c r="C61" s="14">
        <f t="shared" si="20"/>
        <v>0</v>
      </c>
      <c r="D61" s="14">
        <f t="shared" si="20"/>
        <v>0</v>
      </c>
      <c r="E61" s="14">
        <f t="shared" si="20"/>
        <v>0</v>
      </c>
      <c r="F61" s="14">
        <f t="shared" si="20"/>
        <v>0</v>
      </c>
      <c r="G61" s="14">
        <f t="shared" si="20"/>
        <v>0</v>
      </c>
      <c r="H61" s="14">
        <f t="shared" si="20"/>
        <v>0.90618313999526523</v>
      </c>
      <c r="I61" s="14">
        <f t="shared" si="20"/>
        <v>-0.42288546533112437</v>
      </c>
      <c r="J61" s="14">
        <f t="shared" si="20"/>
        <v>-0.90618313999526523</v>
      </c>
      <c r="K61" s="14">
        <f t="shared" si="20"/>
        <v>0.42288546533112437</v>
      </c>
      <c r="L61" s="14">
        <f t="shared" si="20"/>
        <v>0</v>
      </c>
      <c r="M61" s="14">
        <f t="shared" si="20"/>
        <v>0</v>
      </c>
      <c r="N61" s="14">
        <f t="shared" si="20"/>
        <v>0</v>
      </c>
      <c r="O61" s="14">
        <f t="shared" si="20"/>
        <v>0</v>
      </c>
      <c r="P61" s="14">
        <f t="shared" si="20"/>
        <v>0</v>
      </c>
      <c r="Q61" s="15">
        <f t="shared" si="20"/>
        <v>0</v>
      </c>
      <c r="S61" s="72">
        <f t="shared" si="18"/>
        <v>1.4535724685060813E-3</v>
      </c>
    </row>
    <row r="62" spans="2:19">
      <c r="B62" s="8">
        <f t="shared" ref="B62:Q62" si="21">IF(B$41=$C26,IF(B$40="dx",$R26,-$Q26),IF(B$41=$D26,IF(B$40="dx",-$T26,$S26),IF(B$41=$B26,IF(B$40="dx",($T26-$R26),($Q26-$S26)),0)))</f>
        <v>-3403.3062075712155</v>
      </c>
      <c r="C62" s="9">
        <f t="shared" si="21"/>
        <v>1634.4825865309126</v>
      </c>
      <c r="D62" s="9">
        <f t="shared" si="21"/>
        <v>637.25702939697828</v>
      </c>
      <c r="E62" s="9">
        <f t="shared" si="21"/>
        <v>3823.5421763818699</v>
      </c>
      <c r="F62" s="9">
        <f t="shared" si="21"/>
        <v>0</v>
      </c>
      <c r="G62" s="9">
        <f t="shared" si="21"/>
        <v>0</v>
      </c>
      <c r="H62" s="9">
        <f t="shared" si="21"/>
        <v>0</v>
      </c>
      <c r="I62" s="9">
        <f t="shared" si="21"/>
        <v>0</v>
      </c>
      <c r="J62" s="9">
        <f t="shared" si="21"/>
        <v>0</v>
      </c>
      <c r="K62" s="9">
        <f t="shared" si="21"/>
        <v>0</v>
      </c>
      <c r="L62" s="9">
        <f t="shared" si="21"/>
        <v>0</v>
      </c>
      <c r="M62" s="9">
        <f t="shared" si="21"/>
        <v>0</v>
      </c>
      <c r="N62" s="9">
        <f t="shared" si="21"/>
        <v>0</v>
      </c>
      <c r="O62" s="9">
        <f t="shared" si="21"/>
        <v>0</v>
      </c>
      <c r="P62" s="9">
        <f t="shared" si="21"/>
        <v>2766.0491781742371</v>
      </c>
      <c r="Q62" s="10">
        <f t="shared" si="21"/>
        <v>-5458.0247629127825</v>
      </c>
      <c r="S62" s="89">
        <f t="shared" ref="S62:S73" si="22">P26*10000</f>
        <v>6.2975201105075485</v>
      </c>
    </row>
    <row r="63" spans="2:19">
      <c r="B63" s="11">
        <f t="shared" ref="B63:Q63" si="23">IF(B$41=$C27,IF(B$40="dx",$R27,-$Q27),IF(B$41=$D27,IF(B$40="dx",-$T27,$S27),IF(B$41=$B27,IF(B$40="dx",($T27-$R27),($Q27-$S27)),0)))</f>
        <v>0</v>
      </c>
      <c r="C63" s="1">
        <f t="shared" si="23"/>
        <v>0</v>
      </c>
      <c r="D63" s="1">
        <f t="shared" si="23"/>
        <v>-637.25702939697828</v>
      </c>
      <c r="E63" s="1">
        <f t="shared" si="23"/>
        <v>-3823.5421763818699</v>
      </c>
      <c r="F63" s="1">
        <f t="shared" si="23"/>
        <v>-2503.2934382533417</v>
      </c>
      <c r="G63" s="1">
        <f t="shared" si="23"/>
        <v>1873.6306715761204</v>
      </c>
      <c r="H63" s="1">
        <f t="shared" si="23"/>
        <v>0</v>
      </c>
      <c r="I63" s="1">
        <f t="shared" si="23"/>
        <v>0</v>
      </c>
      <c r="J63" s="1">
        <f t="shared" si="23"/>
        <v>0</v>
      </c>
      <c r="K63" s="1">
        <f t="shared" si="23"/>
        <v>0</v>
      </c>
      <c r="L63" s="1">
        <f t="shared" si="23"/>
        <v>0</v>
      </c>
      <c r="M63" s="1">
        <f t="shared" si="23"/>
        <v>0</v>
      </c>
      <c r="N63" s="1">
        <f t="shared" si="23"/>
        <v>0</v>
      </c>
      <c r="O63" s="1">
        <f t="shared" si="23"/>
        <v>0</v>
      </c>
      <c r="P63" s="1">
        <f t="shared" si="23"/>
        <v>3140.5504676503201</v>
      </c>
      <c r="Q63" s="12">
        <f t="shared" si="23"/>
        <v>1949.9115048057495</v>
      </c>
      <c r="S63" s="90">
        <f t="shared" si="22"/>
        <v>3.7470572449649353</v>
      </c>
    </row>
    <row r="64" spans="2:19">
      <c r="B64" s="11">
        <f t="shared" ref="B64:Q64" si="24">IF(B$41=$C28,IF(B$40="dx",$R28,-$Q28),IF(B$41=$D28,IF(B$40="dx",-$T28,$S28),IF(B$41=$B28,IF(B$40="dx",($T28-$R28),($Q28-$S28)),0)))</f>
        <v>0</v>
      </c>
      <c r="C64" s="1">
        <f t="shared" si="24"/>
        <v>0</v>
      </c>
      <c r="D64" s="1">
        <f t="shared" si="24"/>
        <v>0</v>
      </c>
      <c r="E64" s="1">
        <f t="shared" si="24"/>
        <v>0</v>
      </c>
      <c r="F64" s="1">
        <f t="shared" si="24"/>
        <v>2503.2934382533417</v>
      </c>
      <c r="G64" s="1">
        <f t="shared" si="24"/>
        <v>-1873.6306715761204</v>
      </c>
      <c r="H64" s="1">
        <f t="shared" si="24"/>
        <v>-2900.4997152677797</v>
      </c>
      <c r="I64" s="1">
        <f t="shared" si="24"/>
        <v>-239.49080217807358</v>
      </c>
      <c r="J64" s="1">
        <f t="shared" si="24"/>
        <v>0</v>
      </c>
      <c r="K64" s="1">
        <f t="shared" si="24"/>
        <v>0</v>
      </c>
      <c r="L64" s="1">
        <f t="shared" si="24"/>
        <v>0</v>
      </c>
      <c r="M64" s="1">
        <f t="shared" si="24"/>
        <v>0</v>
      </c>
      <c r="N64" s="1">
        <f t="shared" si="24"/>
        <v>0</v>
      </c>
      <c r="O64" s="1">
        <f t="shared" si="24"/>
        <v>0</v>
      </c>
      <c r="P64" s="1">
        <f t="shared" si="24"/>
        <v>397.206277014438</v>
      </c>
      <c r="Q64" s="12">
        <f t="shared" si="24"/>
        <v>2113.1214737541941</v>
      </c>
      <c r="S64" s="90">
        <f t="shared" si="22"/>
        <v>-0.86773425422848049</v>
      </c>
    </row>
    <row r="65" spans="2:19">
      <c r="B65" s="11">
        <f t="shared" ref="B65:Q65" si="25">IF(B$41=$C29,IF(B$40="dx",$R29,-$Q29),IF(B$41=$D29,IF(B$40="dx",-$T29,$S29),IF(B$41=$B29,IF(B$40="dx",($T29-$R29),($Q29-$S29)),0)))</f>
        <v>0</v>
      </c>
      <c r="C65" s="1">
        <f t="shared" si="25"/>
        <v>0</v>
      </c>
      <c r="D65" s="1">
        <f t="shared" si="25"/>
        <v>0</v>
      </c>
      <c r="E65" s="1">
        <f t="shared" si="25"/>
        <v>0</v>
      </c>
      <c r="F65" s="1">
        <f t="shared" si="25"/>
        <v>0</v>
      </c>
      <c r="G65" s="1">
        <f t="shared" si="25"/>
        <v>0</v>
      </c>
      <c r="H65" s="1">
        <f t="shared" si="25"/>
        <v>2900.4997152677797</v>
      </c>
      <c r="I65" s="1">
        <f t="shared" si="25"/>
        <v>239.49080217807358</v>
      </c>
      <c r="J65" s="1">
        <f t="shared" si="25"/>
        <v>0</v>
      </c>
      <c r="K65" s="1">
        <f t="shared" si="25"/>
        <v>0</v>
      </c>
      <c r="L65" s="1">
        <f t="shared" si="25"/>
        <v>-2361.876494764485</v>
      </c>
      <c r="M65" s="1">
        <f t="shared" si="25"/>
        <v>-2779.9077327758987</v>
      </c>
      <c r="N65" s="1">
        <f t="shared" si="25"/>
        <v>0</v>
      </c>
      <c r="O65" s="1">
        <f t="shared" si="25"/>
        <v>0</v>
      </c>
      <c r="P65" s="1">
        <f t="shared" si="25"/>
        <v>-538.62322050329476</v>
      </c>
      <c r="Q65" s="12">
        <f t="shared" si="25"/>
        <v>2540.4169305978253</v>
      </c>
      <c r="S65" s="90">
        <f t="shared" si="22"/>
        <v>-1.8471072947079392</v>
      </c>
    </row>
    <row r="66" spans="2:19">
      <c r="B66" s="11">
        <f t="shared" ref="B66:Q66" si="26">IF(B$41=$C30,IF(B$40="dx",$R30,-$Q30),IF(B$41=$D30,IF(B$40="dx",-$T30,$S30),IF(B$41=$B30,IF(B$40="dx",($T30-$R30),($Q30-$S30)),0)))</f>
        <v>0</v>
      </c>
      <c r="C66" s="1">
        <f t="shared" si="26"/>
        <v>0</v>
      </c>
      <c r="D66" s="1">
        <f t="shared" si="26"/>
        <v>0</v>
      </c>
      <c r="E66" s="1">
        <f t="shared" si="26"/>
        <v>0</v>
      </c>
      <c r="F66" s="1">
        <f t="shared" si="26"/>
        <v>0</v>
      </c>
      <c r="G66" s="1">
        <f t="shared" si="26"/>
        <v>0</v>
      </c>
      <c r="H66" s="1">
        <f t="shared" si="26"/>
        <v>0</v>
      </c>
      <c r="I66" s="1">
        <f t="shared" si="26"/>
        <v>0</v>
      </c>
      <c r="J66" s="1">
        <f t="shared" si="26"/>
        <v>0</v>
      </c>
      <c r="K66" s="1">
        <f t="shared" si="26"/>
        <v>0</v>
      </c>
      <c r="L66" s="1">
        <f t="shared" si="26"/>
        <v>2361.876494764485</v>
      </c>
      <c r="M66" s="1">
        <f t="shared" si="26"/>
        <v>2779.9077327758987</v>
      </c>
      <c r="N66" s="1">
        <f t="shared" si="26"/>
        <v>738.29713027806338</v>
      </c>
      <c r="O66" s="1">
        <f t="shared" si="26"/>
        <v>-3760.7010073538854</v>
      </c>
      <c r="P66" s="1">
        <f t="shared" si="26"/>
        <v>-3100.1736250425483</v>
      </c>
      <c r="Q66" s="12">
        <f t="shared" si="26"/>
        <v>980.79327457798672</v>
      </c>
      <c r="S66" s="90">
        <f t="shared" si="22"/>
        <v>0.95539983654191474</v>
      </c>
    </row>
    <row r="67" spans="2:19">
      <c r="B67" s="11">
        <f t="shared" ref="B67:Q67" si="27">IF(B$41=$C31,IF(B$40="dx",$R31,-$Q31),IF(B$41=$D31,IF(B$40="dx",-$T31,$S31),IF(B$41=$B31,IF(B$40="dx",($T31-$R31),($Q31-$S31)),0)))</f>
        <v>3403.3062075712155</v>
      </c>
      <c r="C67" s="1">
        <f t="shared" si="27"/>
        <v>-1634.4825865309126</v>
      </c>
      <c r="D67" s="1">
        <f t="shared" si="27"/>
        <v>0</v>
      </c>
      <c r="E67" s="1">
        <f t="shared" si="27"/>
        <v>0</v>
      </c>
      <c r="F67" s="1">
        <f t="shared" si="27"/>
        <v>0</v>
      </c>
      <c r="G67" s="1">
        <f t="shared" si="27"/>
        <v>0</v>
      </c>
      <c r="H67" s="1">
        <f t="shared" si="27"/>
        <v>0</v>
      </c>
      <c r="I67" s="1">
        <f t="shared" si="27"/>
        <v>0</v>
      </c>
      <c r="J67" s="1">
        <f t="shared" si="27"/>
        <v>0</v>
      </c>
      <c r="K67" s="1">
        <f t="shared" si="27"/>
        <v>0</v>
      </c>
      <c r="L67" s="1">
        <f t="shared" si="27"/>
        <v>0</v>
      </c>
      <c r="M67" s="1">
        <f t="shared" si="27"/>
        <v>0</v>
      </c>
      <c r="N67" s="1">
        <f t="shared" si="27"/>
        <v>-738.29713027806338</v>
      </c>
      <c r="O67" s="1">
        <f t="shared" si="27"/>
        <v>3760.7010073538854</v>
      </c>
      <c r="P67" s="1">
        <f t="shared" si="27"/>
        <v>-2665.0090772931521</v>
      </c>
      <c r="Q67" s="12">
        <f t="shared" si="27"/>
        <v>-2126.2184208229728</v>
      </c>
      <c r="S67" s="90">
        <f t="shared" si="22"/>
        <v>-2.2851356432340708</v>
      </c>
    </row>
    <row r="68" spans="2:19">
      <c r="B68" s="11">
        <f t="shared" ref="B68:Q68" si="28">IF(B$41=$C32,IF(B$40="dx",$R32,-$Q32),IF(B$41=$D32,IF(B$40="dx",-$T32,$S32),IF(B$41=$B32,IF(B$40="dx",($T32-$R32),($Q32-$S32)),0)))</f>
        <v>0</v>
      </c>
      <c r="C68" s="1">
        <f t="shared" si="28"/>
        <v>0</v>
      </c>
      <c r="D68" s="1">
        <f t="shared" si="28"/>
        <v>0</v>
      </c>
      <c r="E68" s="1">
        <f t="shared" si="28"/>
        <v>0</v>
      </c>
      <c r="F68" s="1">
        <f t="shared" si="28"/>
        <v>0</v>
      </c>
      <c r="G68" s="1">
        <f t="shared" si="28"/>
        <v>0</v>
      </c>
      <c r="H68" s="1">
        <f t="shared" si="28"/>
        <v>0</v>
      </c>
      <c r="I68" s="1">
        <f t="shared" si="28"/>
        <v>0</v>
      </c>
      <c r="J68" s="1">
        <f t="shared" si="28"/>
        <v>-1508.9596323260703</v>
      </c>
      <c r="K68" s="1">
        <f t="shared" si="28"/>
        <v>-668.50480486098945</v>
      </c>
      <c r="L68" s="1">
        <f t="shared" si="28"/>
        <v>3497.9108371845136</v>
      </c>
      <c r="M68" s="1">
        <f t="shared" si="28"/>
        <v>699.58216743690264</v>
      </c>
      <c r="N68" s="1">
        <f t="shared" si="28"/>
        <v>-1988.9512048584434</v>
      </c>
      <c r="O68" s="1">
        <f t="shared" si="28"/>
        <v>-31.077362575913178</v>
      </c>
      <c r="P68" s="1">
        <f t="shared" si="28"/>
        <v>0</v>
      </c>
      <c r="Q68" s="12">
        <f t="shared" si="28"/>
        <v>0</v>
      </c>
      <c r="S68" s="90">
        <f t="shared" si="22"/>
        <v>0.54182010131853531</v>
      </c>
    </row>
    <row r="69" spans="2:19">
      <c r="B69" s="11">
        <f t="shared" ref="B69:Q69" si="29">IF(B$41=$C33,IF(B$40="dx",$R33,-$Q33),IF(B$41=$D33,IF(B$40="dx",-$T33,$S33),IF(B$41=$B33,IF(B$40="dx",($T33-$R33),($Q33-$S33)),0)))</f>
        <v>0</v>
      </c>
      <c r="C69" s="1">
        <f t="shared" si="29"/>
        <v>0</v>
      </c>
      <c r="D69" s="1">
        <f t="shared" si="29"/>
        <v>0</v>
      </c>
      <c r="E69" s="1">
        <f t="shared" si="29"/>
        <v>0</v>
      </c>
      <c r="F69" s="1">
        <f t="shared" si="29"/>
        <v>0</v>
      </c>
      <c r="G69" s="1">
        <f t="shared" si="29"/>
        <v>0</v>
      </c>
      <c r="H69" s="1">
        <f t="shared" si="29"/>
        <v>0</v>
      </c>
      <c r="I69" s="1">
        <f t="shared" si="29"/>
        <v>0</v>
      </c>
      <c r="J69" s="1">
        <f t="shared" si="29"/>
        <v>1848.6368155068417</v>
      </c>
      <c r="K69" s="1">
        <f t="shared" si="29"/>
        <v>-262.49434520840612</v>
      </c>
      <c r="L69" s="1">
        <f t="shared" si="29"/>
        <v>-3497.9108371845136</v>
      </c>
      <c r="M69" s="1">
        <f t="shared" si="29"/>
        <v>-699.58216743690264</v>
      </c>
      <c r="N69" s="1">
        <f t="shared" si="29"/>
        <v>0</v>
      </c>
      <c r="O69" s="1">
        <f t="shared" si="29"/>
        <v>0</v>
      </c>
      <c r="P69" s="1">
        <f t="shared" si="29"/>
        <v>1649.274021677672</v>
      </c>
      <c r="Q69" s="12">
        <f t="shared" si="29"/>
        <v>962.07651264530875</v>
      </c>
      <c r="S69" s="90">
        <f t="shared" si="22"/>
        <v>1.7187723225120521</v>
      </c>
    </row>
    <row r="70" spans="2:19">
      <c r="B70" s="11">
        <f t="shared" ref="B70:Q70" si="30">IF(B$41=$C34,IF(B$40="dx",$R34,-$Q34),IF(B$41=$D34,IF(B$40="dx",-$T34,$S34),IF(B$41=$B34,IF(B$40="dx",($T34-$R34),($Q34-$S34)),0)))</f>
        <v>0</v>
      </c>
      <c r="C70" s="1">
        <f t="shared" si="30"/>
        <v>0</v>
      </c>
      <c r="D70" s="1">
        <f t="shared" si="30"/>
        <v>0</v>
      </c>
      <c r="E70" s="1">
        <f t="shared" si="30"/>
        <v>0</v>
      </c>
      <c r="F70" s="1">
        <f t="shared" si="30"/>
        <v>0</v>
      </c>
      <c r="G70" s="1">
        <f t="shared" si="30"/>
        <v>0</v>
      </c>
      <c r="H70" s="1">
        <f t="shared" si="30"/>
        <v>1626.4008783113393</v>
      </c>
      <c r="I70" s="1">
        <f t="shared" si="30"/>
        <v>3485.144739238584</v>
      </c>
      <c r="J70" s="1">
        <f t="shared" si="30"/>
        <v>22.87314336633267</v>
      </c>
      <c r="K70" s="1">
        <f t="shared" si="30"/>
        <v>-2523.0682265932751</v>
      </c>
      <c r="L70" s="1">
        <f t="shared" si="30"/>
        <v>0</v>
      </c>
      <c r="M70" s="1">
        <f t="shared" si="30"/>
        <v>0</v>
      </c>
      <c r="N70" s="1">
        <f t="shared" si="30"/>
        <v>0</v>
      </c>
      <c r="O70" s="1">
        <f t="shared" si="30"/>
        <v>0</v>
      </c>
      <c r="P70" s="1">
        <f t="shared" si="30"/>
        <v>-1649.274021677672</v>
      </c>
      <c r="Q70" s="12">
        <f t="shared" si="30"/>
        <v>-962.07651264530875</v>
      </c>
      <c r="S70" s="90">
        <f t="shared" si="22"/>
        <v>4.8817596751860037</v>
      </c>
    </row>
    <row r="71" spans="2:19">
      <c r="B71" s="11">
        <f t="shared" ref="B71:Q71" si="31">IF(B$41=$C35,IF(B$40="dx",$R35,-$Q35),IF(B$41=$D35,IF(B$40="dx",-$T35,$S35),IF(B$41=$B35,IF(B$40="dx",($T35-$R35),($Q35-$S35)),0)))</f>
        <v>0</v>
      </c>
      <c r="C71" s="1">
        <f t="shared" si="31"/>
        <v>0</v>
      </c>
      <c r="D71" s="1">
        <f t="shared" si="31"/>
        <v>0</v>
      </c>
      <c r="E71" s="1">
        <f t="shared" si="31"/>
        <v>0</v>
      </c>
      <c r="F71" s="1">
        <f t="shared" si="31"/>
        <v>0</v>
      </c>
      <c r="G71" s="1">
        <f t="shared" si="31"/>
        <v>0</v>
      </c>
      <c r="H71" s="1">
        <f t="shared" si="31"/>
        <v>-4382.8988617585992</v>
      </c>
      <c r="I71" s="1">
        <f t="shared" si="31"/>
        <v>-466.12313832015661</v>
      </c>
      <c r="J71" s="1">
        <f t="shared" si="31"/>
        <v>1626.4008783113393</v>
      </c>
      <c r="K71" s="1">
        <f t="shared" si="31"/>
        <v>3485.144739238584</v>
      </c>
      <c r="L71" s="1">
        <f t="shared" si="31"/>
        <v>2756.4979834472601</v>
      </c>
      <c r="M71" s="1">
        <f t="shared" si="31"/>
        <v>-3019.0216009184273</v>
      </c>
      <c r="N71" s="1">
        <f t="shared" si="31"/>
        <v>0</v>
      </c>
      <c r="O71" s="1">
        <f t="shared" si="31"/>
        <v>0</v>
      </c>
      <c r="P71" s="1">
        <f t="shared" si="31"/>
        <v>0</v>
      </c>
      <c r="Q71" s="12">
        <f t="shared" si="31"/>
        <v>0</v>
      </c>
      <c r="S71" s="90">
        <f t="shared" si="22"/>
        <v>1.1252844468856438</v>
      </c>
    </row>
    <row r="72" spans="2:19">
      <c r="B72" s="11">
        <f t="shared" ref="B72:Q72" si="32">IF(B$41=$C36,IF(B$40="dx",$R36,-$Q36),IF(B$41=$D36,IF(B$40="dx",-$T36,$S36),IF(B$41=$B36,IF(B$40="dx",($T36-$R36),($Q36-$S36)),0)))</f>
        <v>0</v>
      </c>
      <c r="C72" s="1">
        <f t="shared" si="32"/>
        <v>0</v>
      </c>
      <c r="D72" s="1">
        <f t="shared" si="32"/>
        <v>0</v>
      </c>
      <c r="E72" s="1">
        <f t="shared" si="32"/>
        <v>0</v>
      </c>
      <c r="F72" s="1">
        <f t="shared" si="32"/>
        <v>0</v>
      </c>
      <c r="G72" s="1">
        <f t="shared" si="32"/>
        <v>0</v>
      </c>
      <c r="H72" s="1">
        <f t="shared" si="32"/>
        <v>-144.00173182051958</v>
      </c>
      <c r="I72" s="1">
        <f t="shared" si="32"/>
        <v>-3258.5124030965007</v>
      </c>
      <c r="J72" s="1">
        <f t="shared" si="32"/>
        <v>0</v>
      </c>
      <c r="K72" s="1">
        <f t="shared" si="32"/>
        <v>0</v>
      </c>
      <c r="L72" s="1">
        <f t="shared" si="32"/>
        <v>-2756.4979834472601</v>
      </c>
      <c r="M72" s="1">
        <f t="shared" si="32"/>
        <v>3019.0216009184273</v>
      </c>
      <c r="N72" s="1">
        <f t="shared" si="32"/>
        <v>0</v>
      </c>
      <c r="O72" s="1">
        <f t="shared" si="32"/>
        <v>0</v>
      </c>
      <c r="P72" s="1">
        <f t="shared" si="32"/>
        <v>2900.4997152677797</v>
      </c>
      <c r="Q72" s="12">
        <f t="shared" si="32"/>
        <v>239.49080217807358</v>
      </c>
      <c r="S72" s="90">
        <f t="shared" si="22"/>
        <v>-2.6762939627644755</v>
      </c>
    </row>
    <row r="73" spans="2:19">
      <c r="B73" s="13">
        <f t="shared" ref="B73:Q73" si="33">IF(B$41=$C37,IF(B$40="dx",$R37,-$Q37),IF(B$41=$D37,IF(B$40="dx",-$T37,$S37),IF(B$41=$B37,IF(B$40="dx",($T37-$R37),($Q37-$S37)),0)))</f>
        <v>0</v>
      </c>
      <c r="C73" s="14">
        <f t="shared" si="33"/>
        <v>0</v>
      </c>
      <c r="D73" s="14">
        <f t="shared" si="33"/>
        <v>0</v>
      </c>
      <c r="E73" s="14">
        <f t="shared" si="33"/>
        <v>0</v>
      </c>
      <c r="F73" s="14">
        <f t="shared" si="33"/>
        <v>1547.5839770261648</v>
      </c>
      <c r="G73" s="14">
        <f t="shared" si="33"/>
        <v>3939.3046687938736</v>
      </c>
      <c r="H73" s="14">
        <f t="shared" si="33"/>
        <v>1352.9157382416149</v>
      </c>
      <c r="I73" s="14">
        <f t="shared" si="33"/>
        <v>-3699.8138666158002</v>
      </c>
      <c r="J73" s="14">
        <f t="shared" si="33"/>
        <v>0</v>
      </c>
      <c r="K73" s="14">
        <f t="shared" si="33"/>
        <v>0</v>
      </c>
      <c r="L73" s="14">
        <f t="shared" si="33"/>
        <v>0</v>
      </c>
      <c r="M73" s="14">
        <f t="shared" si="33"/>
        <v>0</v>
      </c>
      <c r="N73" s="14">
        <f t="shared" si="33"/>
        <v>0</v>
      </c>
      <c r="O73" s="14">
        <f t="shared" si="33"/>
        <v>0</v>
      </c>
      <c r="P73" s="14">
        <f t="shared" si="33"/>
        <v>-2900.4997152677797</v>
      </c>
      <c r="Q73" s="15">
        <f t="shared" si="33"/>
        <v>-239.49080217807358</v>
      </c>
      <c r="S73" s="91">
        <f t="shared" si="22"/>
        <v>-5.1473127656720408</v>
      </c>
    </row>
    <row r="74" spans="2:19">
      <c r="B74" s="23"/>
      <c r="C74" s="23"/>
      <c r="D74" s="23"/>
      <c r="E74" s="23"/>
      <c r="F74" s="23"/>
      <c r="G74" s="23"/>
      <c r="H74" s="23"/>
      <c r="I74" s="23"/>
      <c r="J74" s="23"/>
      <c r="K74" s="23"/>
      <c r="L74" s="23"/>
      <c r="M74" s="23"/>
      <c r="N74" s="23"/>
      <c r="O74" s="23"/>
      <c r="P74" s="23"/>
      <c r="Q74" s="23"/>
      <c r="R74" s="23"/>
    </row>
    <row r="75" spans="2:19">
      <c r="B75" s="263" t="s">
        <v>45</v>
      </c>
      <c r="C75" s="264"/>
      <c r="D75" s="264"/>
      <c r="E75" s="264"/>
      <c r="F75" s="264"/>
      <c r="G75" s="264"/>
      <c r="H75" s="264"/>
      <c r="I75" s="264"/>
      <c r="J75" s="264"/>
      <c r="K75" s="264"/>
      <c r="L75" s="264"/>
      <c r="M75" s="264"/>
      <c r="N75" s="264"/>
      <c r="O75" s="264"/>
      <c r="P75" s="264"/>
      <c r="Q75" s="265"/>
      <c r="S75" s="69" t="s">
        <v>46</v>
      </c>
    </row>
    <row r="76" spans="2:19">
      <c r="B76" s="73">
        <f>B42/$L4</f>
        <v>173.64518046526368</v>
      </c>
      <c r="C76" s="74">
        <f t="shared" ref="C76:Q76" si="34">C42/$L4</f>
        <v>-766.9328803882496</v>
      </c>
      <c r="D76" s="74">
        <f t="shared" si="34"/>
        <v>0</v>
      </c>
      <c r="E76" s="74">
        <f t="shared" si="34"/>
        <v>0</v>
      </c>
      <c r="F76" s="74">
        <f t="shared" si="34"/>
        <v>0</v>
      </c>
      <c r="G76" s="74">
        <f t="shared" si="34"/>
        <v>0</v>
      </c>
      <c r="H76" s="74">
        <f t="shared" si="34"/>
        <v>0</v>
      </c>
      <c r="I76" s="74">
        <f t="shared" si="34"/>
        <v>0</v>
      </c>
      <c r="J76" s="74">
        <f t="shared" si="34"/>
        <v>0</v>
      </c>
      <c r="K76" s="74">
        <f t="shared" si="34"/>
        <v>0</v>
      </c>
      <c r="L76" s="74">
        <f t="shared" si="34"/>
        <v>-173.64518046526368</v>
      </c>
      <c r="M76" s="74">
        <f t="shared" si="34"/>
        <v>766.9328803882496</v>
      </c>
      <c r="N76" s="74">
        <f t="shared" si="34"/>
        <v>0</v>
      </c>
      <c r="O76" s="74">
        <f t="shared" si="34"/>
        <v>0</v>
      </c>
      <c r="P76" s="74">
        <f t="shared" si="34"/>
        <v>0</v>
      </c>
      <c r="Q76" s="95">
        <f t="shared" si="34"/>
        <v>0</v>
      </c>
      <c r="S76" s="75">
        <f t="shared" ref="S76:S95" si="35">S42/$L4</f>
        <v>1.0720902913385038</v>
      </c>
    </row>
    <row r="77" spans="2:19">
      <c r="B77" s="76">
        <f t="shared" ref="B77:Q91" si="36">B43/$L5</f>
        <v>0</v>
      </c>
      <c r="C77" s="77">
        <f t="shared" si="36"/>
        <v>0</v>
      </c>
      <c r="D77" s="77">
        <f t="shared" si="36"/>
        <v>0</v>
      </c>
      <c r="E77" s="77">
        <f t="shared" si="36"/>
        <v>0</v>
      </c>
      <c r="F77" s="77">
        <f t="shared" si="36"/>
        <v>0</v>
      </c>
      <c r="G77" s="77">
        <f t="shared" si="36"/>
        <v>0</v>
      </c>
      <c r="H77" s="77">
        <f t="shared" si="36"/>
        <v>638.98067551934821</v>
      </c>
      <c r="I77" s="77">
        <f t="shared" si="36"/>
        <v>583.41713851766576</v>
      </c>
      <c r="J77" s="77">
        <f t="shared" si="36"/>
        <v>0</v>
      </c>
      <c r="K77" s="77">
        <f t="shared" si="36"/>
        <v>0</v>
      </c>
      <c r="L77" s="77">
        <f t="shared" si="36"/>
        <v>-638.98067551934821</v>
      </c>
      <c r="M77" s="77">
        <f t="shared" si="36"/>
        <v>-583.41713851766576</v>
      </c>
      <c r="N77" s="77">
        <f t="shared" si="36"/>
        <v>0</v>
      </c>
      <c r="O77" s="77">
        <f t="shared" si="36"/>
        <v>0</v>
      </c>
      <c r="P77" s="77">
        <f t="shared" si="36"/>
        <v>0</v>
      </c>
      <c r="Q77" s="96">
        <f t="shared" si="36"/>
        <v>0</v>
      </c>
      <c r="S77" s="78">
        <f t="shared" si="35"/>
        <v>-0.1600520345743906</v>
      </c>
    </row>
    <row r="78" spans="2:19">
      <c r="B78" s="76">
        <f t="shared" si="36"/>
        <v>0</v>
      </c>
      <c r="C78" s="77">
        <f t="shared" si="36"/>
        <v>0</v>
      </c>
      <c r="D78" s="77">
        <f t="shared" si="36"/>
        <v>0</v>
      </c>
      <c r="E78" s="77">
        <f t="shared" si="36"/>
        <v>0</v>
      </c>
      <c r="F78" s="77">
        <f t="shared" si="36"/>
        <v>0</v>
      </c>
      <c r="G78" s="77">
        <f t="shared" si="36"/>
        <v>0</v>
      </c>
      <c r="H78" s="77">
        <f t="shared" si="36"/>
        <v>0</v>
      </c>
      <c r="I78" s="77">
        <f t="shared" si="36"/>
        <v>0</v>
      </c>
      <c r="J78" s="77">
        <f t="shared" si="36"/>
        <v>-166.41647003802495</v>
      </c>
      <c r="K78" s="77">
        <f t="shared" si="36"/>
        <v>832.08235019012443</v>
      </c>
      <c r="L78" s="77">
        <f t="shared" si="36"/>
        <v>166.41647003802495</v>
      </c>
      <c r="M78" s="77">
        <f t="shared" si="36"/>
        <v>-832.08235019012443</v>
      </c>
      <c r="N78" s="77">
        <f t="shared" si="36"/>
        <v>0</v>
      </c>
      <c r="O78" s="77">
        <f t="shared" si="36"/>
        <v>0</v>
      </c>
      <c r="P78" s="77">
        <f t="shared" si="36"/>
        <v>0</v>
      </c>
      <c r="Q78" s="96">
        <f t="shared" si="36"/>
        <v>0</v>
      </c>
      <c r="S78" s="78">
        <f t="shared" si="35"/>
        <v>-0.18415827946267765</v>
      </c>
    </row>
    <row r="79" spans="2:19">
      <c r="B79" s="76">
        <f t="shared" si="36"/>
        <v>0</v>
      </c>
      <c r="C79" s="77">
        <f t="shared" si="36"/>
        <v>0</v>
      </c>
      <c r="D79" s="77">
        <f t="shared" si="36"/>
        <v>0</v>
      </c>
      <c r="E79" s="77">
        <f t="shared" si="36"/>
        <v>0</v>
      </c>
      <c r="F79" s="77">
        <f t="shared" si="36"/>
        <v>0</v>
      </c>
      <c r="G79" s="77">
        <f t="shared" si="36"/>
        <v>0</v>
      </c>
      <c r="H79" s="77">
        <f t="shared" si="36"/>
        <v>0</v>
      </c>
      <c r="I79" s="77">
        <f t="shared" si="36"/>
        <v>0</v>
      </c>
      <c r="J79" s="77">
        <f t="shared" si="36"/>
        <v>0</v>
      </c>
      <c r="K79" s="77">
        <f t="shared" si="36"/>
        <v>0</v>
      </c>
      <c r="L79" s="77">
        <f t="shared" si="36"/>
        <v>176.47469581904315</v>
      </c>
      <c r="M79" s="77">
        <f t="shared" si="36"/>
        <v>852.9610297920442</v>
      </c>
      <c r="N79" s="77">
        <f t="shared" si="36"/>
        <v>-176.47469581904315</v>
      </c>
      <c r="O79" s="77">
        <f t="shared" si="36"/>
        <v>-852.9610297920442</v>
      </c>
      <c r="P79" s="77">
        <f t="shared" si="36"/>
        <v>0</v>
      </c>
      <c r="Q79" s="96">
        <f t="shared" si="36"/>
        <v>0</v>
      </c>
      <c r="S79" s="78">
        <f t="shared" si="35"/>
        <v>-0.6716047364766502</v>
      </c>
    </row>
    <row r="80" spans="2:19">
      <c r="B80" s="76">
        <f t="shared" si="36"/>
        <v>0</v>
      </c>
      <c r="C80" s="77">
        <f t="shared" si="36"/>
        <v>0</v>
      </c>
      <c r="D80" s="77">
        <f t="shared" si="36"/>
        <v>0</v>
      </c>
      <c r="E80" s="77">
        <f t="shared" si="36"/>
        <v>0</v>
      </c>
      <c r="F80" s="77">
        <f t="shared" si="36"/>
        <v>0</v>
      </c>
      <c r="G80" s="77">
        <f t="shared" si="36"/>
        <v>0</v>
      </c>
      <c r="H80" s="77">
        <f t="shared" si="36"/>
        <v>0</v>
      </c>
      <c r="I80" s="77">
        <f t="shared" si="36"/>
        <v>0</v>
      </c>
      <c r="J80" s="77">
        <f t="shared" si="36"/>
        <v>0</v>
      </c>
      <c r="K80" s="77">
        <f t="shared" si="36"/>
        <v>0</v>
      </c>
      <c r="L80" s="77">
        <f t="shared" si="36"/>
        <v>-648.84292280610339</v>
      </c>
      <c r="M80" s="77">
        <f t="shared" si="36"/>
        <v>551.27255847435902</v>
      </c>
      <c r="N80" s="77">
        <f t="shared" si="36"/>
        <v>0</v>
      </c>
      <c r="O80" s="77">
        <f t="shared" si="36"/>
        <v>0</v>
      </c>
      <c r="P80" s="77">
        <f t="shared" si="36"/>
        <v>648.84292280610339</v>
      </c>
      <c r="Q80" s="96">
        <f t="shared" si="36"/>
        <v>-551.27255847435902</v>
      </c>
      <c r="S80" s="78">
        <f t="shared" si="35"/>
        <v>-0.33639969666472164</v>
      </c>
    </row>
    <row r="81" spans="2:52">
      <c r="B81" s="76">
        <f t="shared" si="36"/>
        <v>521.73990170246316</v>
      </c>
      <c r="C81" s="77">
        <f t="shared" si="36"/>
        <v>-695.65320226995129</v>
      </c>
      <c r="D81" s="77">
        <f t="shared" si="36"/>
        <v>0</v>
      </c>
      <c r="E81" s="77">
        <f t="shared" si="36"/>
        <v>0</v>
      </c>
      <c r="F81" s="77">
        <f t="shared" si="36"/>
        <v>0</v>
      </c>
      <c r="G81" s="77">
        <f t="shared" si="36"/>
        <v>0</v>
      </c>
      <c r="H81" s="77">
        <f t="shared" si="36"/>
        <v>0</v>
      </c>
      <c r="I81" s="77">
        <f t="shared" si="36"/>
        <v>0</v>
      </c>
      <c r="J81" s="77">
        <f t="shared" si="36"/>
        <v>0</v>
      </c>
      <c r="K81" s="77">
        <f t="shared" si="36"/>
        <v>0</v>
      </c>
      <c r="L81" s="77">
        <f t="shared" si="36"/>
        <v>0</v>
      </c>
      <c r="M81" s="77">
        <f t="shared" si="36"/>
        <v>0</v>
      </c>
      <c r="N81" s="77">
        <f t="shared" si="36"/>
        <v>-521.73990170246316</v>
      </c>
      <c r="O81" s="77">
        <f t="shared" si="36"/>
        <v>695.65320226995129</v>
      </c>
      <c r="P81" s="77">
        <f t="shared" si="36"/>
        <v>0</v>
      </c>
      <c r="Q81" s="96">
        <f t="shared" si="36"/>
        <v>0</v>
      </c>
      <c r="S81" s="78">
        <f t="shared" si="35"/>
        <v>1.4782630548232902</v>
      </c>
    </row>
    <row r="82" spans="2:52">
      <c r="B82" s="76">
        <f t="shared" si="36"/>
        <v>0</v>
      </c>
      <c r="C82" s="77">
        <f t="shared" si="36"/>
        <v>0</v>
      </c>
      <c r="D82" s="77">
        <f t="shared" si="36"/>
        <v>0</v>
      </c>
      <c r="E82" s="77">
        <f t="shared" si="36"/>
        <v>0</v>
      </c>
      <c r="F82" s="77">
        <f t="shared" si="36"/>
        <v>0</v>
      </c>
      <c r="G82" s="77">
        <f t="shared" si="36"/>
        <v>0</v>
      </c>
      <c r="H82" s="77">
        <f t="shared" si="36"/>
        <v>0</v>
      </c>
      <c r="I82" s="77">
        <f t="shared" si="36"/>
        <v>0</v>
      </c>
      <c r="J82" s="77">
        <f t="shared" si="36"/>
        <v>0</v>
      </c>
      <c r="K82" s="77">
        <f t="shared" si="36"/>
        <v>0</v>
      </c>
      <c r="L82" s="77">
        <f t="shared" si="36"/>
        <v>0</v>
      </c>
      <c r="M82" s="77">
        <f t="shared" si="36"/>
        <v>0</v>
      </c>
      <c r="N82" s="77">
        <f t="shared" si="36"/>
        <v>-841.48805187020355</v>
      </c>
      <c r="O82" s="77">
        <f t="shared" si="36"/>
        <v>-165.20010834261663</v>
      </c>
      <c r="P82" s="77">
        <f t="shared" si="36"/>
        <v>841.48805187020355</v>
      </c>
      <c r="Q82" s="96">
        <f t="shared" si="36"/>
        <v>165.20010834261663</v>
      </c>
      <c r="S82" s="78">
        <f t="shared" si="35"/>
        <v>-0.33581848764424016</v>
      </c>
    </row>
    <row r="83" spans="2:52">
      <c r="B83" s="76">
        <f t="shared" si="36"/>
        <v>0</v>
      </c>
      <c r="C83" s="77">
        <f t="shared" si="36"/>
        <v>0</v>
      </c>
      <c r="D83" s="77">
        <f t="shared" si="36"/>
        <v>0</v>
      </c>
      <c r="E83" s="77">
        <f t="shared" si="36"/>
        <v>0</v>
      </c>
      <c r="F83" s="77">
        <f t="shared" si="36"/>
        <v>0</v>
      </c>
      <c r="G83" s="77">
        <f t="shared" si="36"/>
        <v>0</v>
      </c>
      <c r="H83" s="77">
        <f t="shared" si="36"/>
        <v>0</v>
      </c>
      <c r="I83" s="77">
        <f t="shared" si="36"/>
        <v>0</v>
      </c>
      <c r="J83" s="77">
        <f t="shared" si="36"/>
        <v>0</v>
      </c>
      <c r="K83" s="77">
        <f t="shared" si="36"/>
        <v>0</v>
      </c>
      <c r="L83" s="77">
        <f t="shared" si="36"/>
        <v>176.47446524834157</v>
      </c>
      <c r="M83" s="77">
        <f t="shared" si="36"/>
        <v>852.95991536698421</v>
      </c>
      <c r="N83" s="77">
        <f t="shared" si="36"/>
        <v>-176.47446524834157</v>
      </c>
      <c r="O83" s="77">
        <f t="shared" si="36"/>
        <v>-852.95991536698421</v>
      </c>
      <c r="P83" s="77">
        <f t="shared" si="36"/>
        <v>0</v>
      </c>
      <c r="Q83" s="96">
        <f t="shared" si="36"/>
        <v>0</v>
      </c>
      <c r="S83" s="78">
        <f t="shared" si="35"/>
        <v>-1.978140759279263</v>
      </c>
    </row>
    <row r="84" spans="2:52">
      <c r="B84" s="76">
        <f t="shared" si="36"/>
        <v>0</v>
      </c>
      <c r="C84" s="77">
        <f t="shared" si="36"/>
        <v>0</v>
      </c>
      <c r="D84" s="77">
        <f t="shared" si="36"/>
        <v>0</v>
      </c>
      <c r="E84" s="77">
        <f t="shared" si="36"/>
        <v>0</v>
      </c>
      <c r="F84" s="77">
        <f t="shared" si="36"/>
        <v>0</v>
      </c>
      <c r="G84" s="77">
        <f t="shared" si="36"/>
        <v>0</v>
      </c>
      <c r="H84" s="77">
        <f t="shared" si="36"/>
        <v>0</v>
      </c>
      <c r="I84" s="77">
        <f t="shared" si="36"/>
        <v>0</v>
      </c>
      <c r="J84" s="77">
        <f t="shared" si="36"/>
        <v>-11.835306213935887</v>
      </c>
      <c r="K84" s="77">
        <f t="shared" si="36"/>
        <v>757.45959769190199</v>
      </c>
      <c r="L84" s="77">
        <f t="shared" si="36"/>
        <v>0</v>
      </c>
      <c r="M84" s="77">
        <f t="shared" si="36"/>
        <v>0</v>
      </c>
      <c r="N84" s="77">
        <f t="shared" si="36"/>
        <v>11.835306213935887</v>
      </c>
      <c r="O84" s="77">
        <f t="shared" si="36"/>
        <v>-757.45959769190199</v>
      </c>
      <c r="P84" s="77">
        <f t="shared" si="36"/>
        <v>0</v>
      </c>
      <c r="Q84" s="96">
        <f t="shared" si="36"/>
        <v>0</v>
      </c>
      <c r="S84" s="78">
        <f t="shared" si="35"/>
        <v>-1.6968286483066162</v>
      </c>
    </row>
    <row r="85" spans="2:52">
      <c r="B85" s="76">
        <f t="shared" si="36"/>
        <v>-697.27484023486136</v>
      </c>
      <c r="C85" s="77">
        <f t="shared" si="36"/>
        <v>-370.89087246535183</v>
      </c>
      <c r="D85" s="77">
        <f t="shared" si="36"/>
        <v>697.27484023486136</v>
      </c>
      <c r="E85" s="77">
        <f t="shared" si="36"/>
        <v>370.89087246535183</v>
      </c>
      <c r="F85" s="77">
        <f t="shared" si="36"/>
        <v>0</v>
      </c>
      <c r="G85" s="77">
        <f t="shared" si="36"/>
        <v>0</v>
      </c>
      <c r="H85" s="77">
        <f t="shared" si="36"/>
        <v>0</v>
      </c>
      <c r="I85" s="77">
        <f t="shared" si="36"/>
        <v>0</v>
      </c>
      <c r="J85" s="77">
        <f t="shared" si="36"/>
        <v>0</v>
      </c>
      <c r="K85" s="77">
        <f t="shared" si="36"/>
        <v>0</v>
      </c>
      <c r="L85" s="77">
        <f t="shared" si="36"/>
        <v>0</v>
      </c>
      <c r="M85" s="77">
        <f t="shared" si="36"/>
        <v>0</v>
      </c>
      <c r="N85" s="77">
        <f t="shared" si="36"/>
        <v>0</v>
      </c>
      <c r="O85" s="77">
        <f t="shared" si="36"/>
        <v>0</v>
      </c>
      <c r="P85" s="77">
        <f t="shared" si="36"/>
        <v>0</v>
      </c>
      <c r="Q85" s="96">
        <f t="shared" si="36"/>
        <v>0</v>
      </c>
      <c r="S85" s="78">
        <f t="shared" si="35"/>
        <v>0.81590904399141762</v>
      </c>
    </row>
    <row r="86" spans="2:52">
      <c r="B86" s="76">
        <f t="shared" si="36"/>
        <v>-370.45686357928031</v>
      </c>
      <c r="C86" s="77">
        <f t="shared" si="36"/>
        <v>-771.36223649384431</v>
      </c>
      <c r="D86" s="77">
        <f t="shared" si="36"/>
        <v>0</v>
      </c>
      <c r="E86" s="77">
        <f t="shared" si="36"/>
        <v>0</v>
      </c>
      <c r="F86" s="77">
        <f t="shared" si="36"/>
        <v>0</v>
      </c>
      <c r="G86" s="77">
        <f t="shared" si="36"/>
        <v>0</v>
      </c>
      <c r="H86" s="77">
        <f t="shared" si="36"/>
        <v>0</v>
      </c>
      <c r="I86" s="77">
        <f t="shared" si="36"/>
        <v>0</v>
      </c>
      <c r="J86" s="77">
        <f t="shared" si="36"/>
        <v>0</v>
      </c>
      <c r="K86" s="77">
        <f t="shared" si="36"/>
        <v>0</v>
      </c>
      <c r="L86" s="77">
        <f t="shared" si="36"/>
        <v>0</v>
      </c>
      <c r="M86" s="77">
        <f t="shared" si="36"/>
        <v>0</v>
      </c>
      <c r="N86" s="77">
        <f t="shared" si="36"/>
        <v>0</v>
      </c>
      <c r="O86" s="77">
        <f t="shared" si="36"/>
        <v>0</v>
      </c>
      <c r="P86" s="77">
        <f t="shared" si="36"/>
        <v>370.45686357928031</v>
      </c>
      <c r="Q86" s="96">
        <f t="shared" si="36"/>
        <v>771.36223649384431</v>
      </c>
      <c r="S86" s="78">
        <f t="shared" si="35"/>
        <v>-0.53351335382268084</v>
      </c>
    </row>
    <row r="87" spans="2:52">
      <c r="B87" s="76">
        <f t="shared" si="36"/>
        <v>173.64492103006583</v>
      </c>
      <c r="C87" s="77">
        <f t="shared" si="36"/>
        <v>-766.93173454945793</v>
      </c>
      <c r="D87" s="77">
        <f t="shared" si="36"/>
        <v>0</v>
      </c>
      <c r="E87" s="77">
        <f t="shared" si="36"/>
        <v>0</v>
      </c>
      <c r="F87" s="77">
        <f t="shared" si="36"/>
        <v>0</v>
      </c>
      <c r="G87" s="77">
        <f t="shared" si="36"/>
        <v>0</v>
      </c>
      <c r="H87" s="77">
        <f t="shared" si="36"/>
        <v>0</v>
      </c>
      <c r="I87" s="77">
        <f t="shared" si="36"/>
        <v>0</v>
      </c>
      <c r="J87" s="77">
        <f t="shared" si="36"/>
        <v>0</v>
      </c>
      <c r="K87" s="77">
        <f t="shared" si="36"/>
        <v>0</v>
      </c>
      <c r="L87" s="77">
        <f t="shared" si="36"/>
        <v>-173.64492103006583</v>
      </c>
      <c r="M87" s="77">
        <f t="shared" si="36"/>
        <v>766.93173454945793</v>
      </c>
      <c r="N87" s="77">
        <f t="shared" si="36"/>
        <v>0</v>
      </c>
      <c r="O87" s="77">
        <f t="shared" si="36"/>
        <v>0</v>
      </c>
      <c r="P87" s="77">
        <f t="shared" si="36"/>
        <v>0</v>
      </c>
      <c r="Q87" s="96">
        <f t="shared" si="36"/>
        <v>0</v>
      </c>
      <c r="S87" s="78">
        <f t="shared" si="35"/>
        <v>-0.42196485932803818</v>
      </c>
    </row>
    <row r="88" spans="2:52">
      <c r="B88" s="76">
        <f t="shared" si="36"/>
        <v>0</v>
      </c>
      <c r="C88" s="77">
        <f t="shared" si="36"/>
        <v>0</v>
      </c>
      <c r="D88" s="77">
        <f t="shared" si="36"/>
        <v>454.04154002104235</v>
      </c>
      <c r="E88" s="77">
        <f t="shared" si="36"/>
        <v>-618.00098502864137</v>
      </c>
      <c r="F88" s="77">
        <f t="shared" si="36"/>
        <v>0</v>
      </c>
      <c r="G88" s="77">
        <f t="shared" si="36"/>
        <v>0</v>
      </c>
      <c r="H88" s="77">
        <f t="shared" si="36"/>
        <v>-454.04154002104235</v>
      </c>
      <c r="I88" s="77">
        <f t="shared" si="36"/>
        <v>618.00098502864137</v>
      </c>
      <c r="J88" s="77">
        <f t="shared" si="36"/>
        <v>0</v>
      </c>
      <c r="K88" s="77">
        <f t="shared" si="36"/>
        <v>0</v>
      </c>
      <c r="L88" s="77">
        <f t="shared" si="36"/>
        <v>0</v>
      </c>
      <c r="M88" s="77">
        <f t="shared" si="36"/>
        <v>0</v>
      </c>
      <c r="N88" s="77">
        <f t="shared" si="36"/>
        <v>0</v>
      </c>
      <c r="O88" s="77">
        <f t="shared" si="36"/>
        <v>0</v>
      </c>
      <c r="P88" s="77">
        <f t="shared" si="36"/>
        <v>0</v>
      </c>
      <c r="Q88" s="96">
        <f t="shared" si="36"/>
        <v>0</v>
      </c>
      <c r="S88" s="78">
        <f t="shared" si="35"/>
        <v>0.76860475342295187</v>
      </c>
    </row>
    <row r="89" spans="2:52">
      <c r="B89" s="76">
        <f t="shared" si="36"/>
        <v>0</v>
      </c>
      <c r="C89" s="77">
        <f t="shared" si="36"/>
        <v>0</v>
      </c>
      <c r="D89" s="77">
        <f t="shared" si="36"/>
        <v>847.24648250292421</v>
      </c>
      <c r="E89" s="77">
        <f t="shared" si="36"/>
        <v>-141.20774708382086</v>
      </c>
      <c r="F89" s="77">
        <f t="shared" si="36"/>
        <v>0</v>
      </c>
      <c r="G89" s="77">
        <f t="shared" si="36"/>
        <v>0</v>
      </c>
      <c r="H89" s="77">
        <f t="shared" si="36"/>
        <v>0</v>
      </c>
      <c r="I89" s="77">
        <f t="shared" si="36"/>
        <v>0</v>
      </c>
      <c r="J89" s="77">
        <f t="shared" si="36"/>
        <v>0</v>
      </c>
      <c r="K89" s="77">
        <f t="shared" si="36"/>
        <v>0</v>
      </c>
      <c r="L89" s="77">
        <f t="shared" si="36"/>
        <v>0</v>
      </c>
      <c r="M89" s="77">
        <f t="shared" si="36"/>
        <v>0</v>
      </c>
      <c r="N89" s="77">
        <f t="shared" si="36"/>
        <v>0</v>
      </c>
      <c r="O89" s="77">
        <f t="shared" si="36"/>
        <v>0</v>
      </c>
      <c r="P89" s="77">
        <f t="shared" si="36"/>
        <v>-847.24648250292421</v>
      </c>
      <c r="Q89" s="96">
        <f t="shared" si="36"/>
        <v>141.20774708382086</v>
      </c>
      <c r="S89" s="78">
        <f t="shared" si="35"/>
        <v>-0.2677139708583175</v>
      </c>
    </row>
    <row r="90" spans="2:52">
      <c r="B90" s="76">
        <f t="shared" si="36"/>
        <v>0</v>
      </c>
      <c r="C90" s="77">
        <f t="shared" si="36"/>
        <v>0</v>
      </c>
      <c r="D90" s="77">
        <f t="shared" si="36"/>
        <v>172.51455479804463</v>
      </c>
      <c r="E90" s="77">
        <f t="shared" si="36"/>
        <v>-819.4441352907121</v>
      </c>
      <c r="F90" s="77">
        <f t="shared" si="36"/>
        <v>-172.51455479804463</v>
      </c>
      <c r="G90" s="77">
        <f t="shared" si="36"/>
        <v>819.4441352907121</v>
      </c>
      <c r="H90" s="77">
        <f t="shared" si="36"/>
        <v>0</v>
      </c>
      <c r="I90" s="77">
        <f t="shared" si="36"/>
        <v>0</v>
      </c>
      <c r="J90" s="77">
        <f t="shared" si="36"/>
        <v>0</v>
      </c>
      <c r="K90" s="77">
        <f t="shared" si="36"/>
        <v>0</v>
      </c>
      <c r="L90" s="77">
        <f t="shared" si="36"/>
        <v>0</v>
      </c>
      <c r="M90" s="77">
        <f t="shared" si="36"/>
        <v>0</v>
      </c>
      <c r="N90" s="77">
        <f t="shared" si="36"/>
        <v>0</v>
      </c>
      <c r="O90" s="77">
        <f t="shared" si="36"/>
        <v>0</v>
      </c>
      <c r="P90" s="77">
        <f t="shared" si="36"/>
        <v>0</v>
      </c>
      <c r="Q90" s="96">
        <f t="shared" si="36"/>
        <v>0</v>
      </c>
      <c r="S90" s="78">
        <f t="shared" si="35"/>
        <v>1.6567165802872754</v>
      </c>
    </row>
    <row r="91" spans="2:52">
      <c r="B91" s="76">
        <f t="shared" si="36"/>
        <v>0</v>
      </c>
      <c r="C91" s="77">
        <f t="shared" si="36"/>
        <v>0</v>
      </c>
      <c r="D91" s="77">
        <f t="shared" si="36"/>
        <v>0</v>
      </c>
      <c r="E91" s="77">
        <f t="shared" si="36"/>
        <v>0</v>
      </c>
      <c r="F91" s="77">
        <f t="shared" si="36"/>
        <v>809.05596506061408</v>
      </c>
      <c r="G91" s="77">
        <f t="shared" si="36"/>
        <v>-317.84341484524151</v>
      </c>
      <c r="H91" s="77">
        <f t="shared" si="36"/>
        <v>-809.05596506061408</v>
      </c>
      <c r="I91" s="77">
        <f t="shared" si="36"/>
        <v>317.84341484524151</v>
      </c>
      <c r="J91" s="77">
        <f t="shared" si="36"/>
        <v>0</v>
      </c>
      <c r="K91" s="77">
        <f t="shared" si="36"/>
        <v>0</v>
      </c>
      <c r="L91" s="77">
        <f t="shared" si="36"/>
        <v>0</v>
      </c>
      <c r="M91" s="77">
        <f t="shared" si="36"/>
        <v>0</v>
      </c>
      <c r="N91" s="77">
        <f t="shared" si="36"/>
        <v>0</v>
      </c>
      <c r="O91" s="77">
        <f t="shared" si="36"/>
        <v>0</v>
      </c>
      <c r="P91" s="77">
        <f t="shared" si="36"/>
        <v>0</v>
      </c>
      <c r="Q91" s="96">
        <f t="shared" si="36"/>
        <v>0</v>
      </c>
      <c r="S91" s="78">
        <f t="shared" si="35"/>
        <v>-0.53062084961924394</v>
      </c>
      <c r="U91" s="257" t="s">
        <v>47</v>
      </c>
      <c r="V91" s="258"/>
      <c r="W91" s="258"/>
      <c r="X91" s="258"/>
      <c r="Y91" s="258"/>
      <c r="Z91" s="258"/>
      <c r="AA91" s="258"/>
      <c r="AB91" s="258"/>
      <c r="AC91" s="258"/>
      <c r="AD91" s="258"/>
      <c r="AE91" s="258"/>
      <c r="AF91" s="258"/>
      <c r="AG91" s="258"/>
      <c r="AH91" s="258"/>
      <c r="AI91" s="258"/>
      <c r="AJ91" s="258"/>
      <c r="AK91" s="258"/>
      <c r="AL91" s="258"/>
      <c r="AM91" s="258"/>
      <c r="AN91" s="258"/>
      <c r="AO91" s="258"/>
      <c r="AP91" s="258"/>
      <c r="AQ91" s="258"/>
      <c r="AR91" s="258"/>
      <c r="AS91" s="258"/>
      <c r="AT91" s="258"/>
      <c r="AU91" s="258"/>
      <c r="AV91" s="258"/>
      <c r="AW91" s="258"/>
      <c r="AX91" s="258"/>
      <c r="AY91" s="258"/>
      <c r="AZ91" s="259"/>
    </row>
    <row r="92" spans="2:52">
      <c r="B92" s="76">
        <f t="shared" ref="B92:Q95" si="37">B58/$L20</f>
        <v>0</v>
      </c>
      <c r="C92" s="77">
        <f t="shared" si="37"/>
        <v>0</v>
      </c>
      <c r="D92" s="77">
        <f t="shared" si="37"/>
        <v>0</v>
      </c>
      <c r="E92" s="77">
        <f t="shared" si="37"/>
        <v>0</v>
      </c>
      <c r="F92" s="77">
        <f t="shared" si="37"/>
        <v>778.90939264980921</v>
      </c>
      <c r="G92" s="77">
        <f t="shared" si="37"/>
        <v>152.72733189211928</v>
      </c>
      <c r="H92" s="77">
        <f t="shared" si="37"/>
        <v>0</v>
      </c>
      <c r="I92" s="77">
        <f t="shared" si="37"/>
        <v>0</v>
      </c>
      <c r="J92" s="77">
        <f t="shared" si="37"/>
        <v>0</v>
      </c>
      <c r="K92" s="77">
        <f t="shared" si="37"/>
        <v>0</v>
      </c>
      <c r="L92" s="77">
        <f t="shared" si="37"/>
        <v>-778.90939264980921</v>
      </c>
      <c r="M92" s="77">
        <f t="shared" si="37"/>
        <v>-152.72733189211928</v>
      </c>
      <c r="N92" s="77">
        <f t="shared" si="37"/>
        <v>0</v>
      </c>
      <c r="O92" s="77">
        <f t="shared" si="37"/>
        <v>0</v>
      </c>
      <c r="P92" s="77">
        <f t="shared" si="37"/>
        <v>0</v>
      </c>
      <c r="Q92" s="96">
        <f t="shared" si="37"/>
        <v>0</v>
      </c>
      <c r="S92" s="78">
        <f t="shared" si="35"/>
        <v>-0.29431637022142798</v>
      </c>
      <c r="U92" s="8" cm="1">
        <f t="array" ref="U92:AZ107">TRANSPOSE(B76:Q107)</f>
        <v>173.64518046526368</v>
      </c>
      <c r="V92" s="9">
        <v>0</v>
      </c>
      <c r="W92" s="9">
        <v>0</v>
      </c>
      <c r="X92" s="9">
        <v>0</v>
      </c>
      <c r="Y92" s="9">
        <v>0</v>
      </c>
      <c r="Z92" s="9">
        <v>521.73990170246316</v>
      </c>
      <c r="AA92" s="9">
        <v>0</v>
      </c>
      <c r="AB92" s="9">
        <v>0</v>
      </c>
      <c r="AC92" s="9">
        <v>0</v>
      </c>
      <c r="AD92" s="9">
        <v>-697.27484023486136</v>
      </c>
      <c r="AE92" s="9">
        <v>-370.45686357928031</v>
      </c>
      <c r="AF92" s="9">
        <v>173.64492103006583</v>
      </c>
      <c r="AG92" s="9">
        <v>0</v>
      </c>
      <c r="AH92" s="9">
        <v>0</v>
      </c>
      <c r="AI92" s="9">
        <v>0</v>
      </c>
      <c r="AJ92" s="9">
        <v>0</v>
      </c>
      <c r="AK92" s="9">
        <v>0</v>
      </c>
      <c r="AL92" s="9">
        <v>0</v>
      </c>
      <c r="AM92" s="9">
        <v>0</v>
      </c>
      <c r="AN92" s="9">
        <v>0</v>
      </c>
      <c r="AO92" s="65">
        <v>-1134.4354025237385</v>
      </c>
      <c r="AP92" s="65">
        <v>0</v>
      </c>
      <c r="AQ92" s="65">
        <v>0</v>
      </c>
      <c r="AR92" s="65">
        <v>0</v>
      </c>
      <c r="AS92" s="65">
        <v>0</v>
      </c>
      <c r="AT92" s="65">
        <v>1134.4354025237385</v>
      </c>
      <c r="AU92" s="65">
        <v>0</v>
      </c>
      <c r="AV92" s="65">
        <v>0</v>
      </c>
      <c r="AW92" s="65">
        <v>0</v>
      </c>
      <c r="AX92" s="65">
        <v>0</v>
      </c>
      <c r="AY92" s="65">
        <v>0</v>
      </c>
      <c r="AZ92" s="66">
        <v>0</v>
      </c>
    </row>
    <row r="93" spans="2:52">
      <c r="B93" s="76">
        <f t="shared" si="37"/>
        <v>0</v>
      </c>
      <c r="C93" s="77">
        <f t="shared" si="37"/>
        <v>0</v>
      </c>
      <c r="D93" s="77">
        <f t="shared" si="37"/>
        <v>0</v>
      </c>
      <c r="E93" s="77">
        <f t="shared" si="37"/>
        <v>0</v>
      </c>
      <c r="F93" s="77">
        <f t="shared" si="37"/>
        <v>497.85116079864474</v>
      </c>
      <c r="G93" s="77">
        <f t="shared" si="37"/>
        <v>665.16179680474545</v>
      </c>
      <c r="H93" s="77">
        <f t="shared" si="37"/>
        <v>0</v>
      </c>
      <c r="I93" s="77">
        <f t="shared" si="37"/>
        <v>0</v>
      </c>
      <c r="J93" s="77">
        <f t="shared" si="37"/>
        <v>0</v>
      </c>
      <c r="K93" s="77">
        <f t="shared" si="37"/>
        <v>0</v>
      </c>
      <c r="L93" s="77">
        <f t="shared" si="37"/>
        <v>0</v>
      </c>
      <c r="M93" s="77">
        <f t="shared" si="37"/>
        <v>0</v>
      </c>
      <c r="N93" s="77">
        <f t="shared" si="37"/>
        <v>0</v>
      </c>
      <c r="O93" s="77">
        <f t="shared" si="37"/>
        <v>0</v>
      </c>
      <c r="P93" s="77">
        <f t="shared" si="37"/>
        <v>-497.85116079864474</v>
      </c>
      <c r="Q93" s="96">
        <f t="shared" si="37"/>
        <v>-665.16179680474545</v>
      </c>
      <c r="S93" s="78">
        <f t="shared" si="35"/>
        <v>-0.25072124982567118</v>
      </c>
      <c r="U93" s="11">
        <v>-766.9328803882496</v>
      </c>
      <c r="V93" s="1">
        <v>0</v>
      </c>
      <c r="W93" s="1">
        <v>0</v>
      </c>
      <c r="X93" s="1">
        <v>0</v>
      </c>
      <c r="Y93" s="1">
        <v>0</v>
      </c>
      <c r="Z93" s="1">
        <v>-695.65320226995129</v>
      </c>
      <c r="AA93" s="1">
        <v>0</v>
      </c>
      <c r="AB93" s="1">
        <v>0</v>
      </c>
      <c r="AC93" s="1">
        <v>0</v>
      </c>
      <c r="AD93" s="1">
        <v>-370.89087246535183</v>
      </c>
      <c r="AE93" s="1">
        <v>-771.36223649384431</v>
      </c>
      <c r="AF93" s="1">
        <v>-766.93173454945793</v>
      </c>
      <c r="AG93" s="1">
        <v>0</v>
      </c>
      <c r="AH93" s="1">
        <v>0</v>
      </c>
      <c r="AI93" s="1">
        <v>0</v>
      </c>
      <c r="AJ93" s="1">
        <v>0</v>
      </c>
      <c r="AK93" s="1">
        <v>0</v>
      </c>
      <c r="AL93" s="1">
        <v>0</v>
      </c>
      <c r="AM93" s="1">
        <v>0</v>
      </c>
      <c r="AN93" s="1">
        <v>0</v>
      </c>
      <c r="AO93" s="25">
        <v>544.82752884363754</v>
      </c>
      <c r="AP93" s="25">
        <v>0</v>
      </c>
      <c r="AQ93" s="25">
        <v>0</v>
      </c>
      <c r="AR93" s="25">
        <v>0</v>
      </c>
      <c r="AS93" s="25">
        <v>0</v>
      </c>
      <c r="AT93" s="25">
        <v>-544.82752884363754</v>
      </c>
      <c r="AU93" s="25">
        <v>0</v>
      </c>
      <c r="AV93" s="25">
        <v>0</v>
      </c>
      <c r="AW93" s="25">
        <v>0</v>
      </c>
      <c r="AX93" s="25">
        <v>0</v>
      </c>
      <c r="AY93" s="25">
        <v>0</v>
      </c>
      <c r="AZ93" s="45">
        <v>0</v>
      </c>
    </row>
    <row r="94" spans="2:52">
      <c r="B94" s="76">
        <f t="shared" si="37"/>
        <v>0</v>
      </c>
      <c r="C94" s="77">
        <f t="shared" si="37"/>
        <v>0</v>
      </c>
      <c r="D94" s="77">
        <f t="shared" si="37"/>
        <v>0</v>
      </c>
      <c r="E94" s="77">
        <f t="shared" si="37"/>
        <v>0</v>
      </c>
      <c r="F94" s="77">
        <f t="shared" si="37"/>
        <v>0</v>
      </c>
      <c r="G94" s="77">
        <f t="shared" si="37"/>
        <v>0</v>
      </c>
      <c r="H94" s="77">
        <f t="shared" si="37"/>
        <v>0</v>
      </c>
      <c r="I94" s="77">
        <f t="shared" si="37"/>
        <v>0</v>
      </c>
      <c r="J94" s="77">
        <f t="shared" si="37"/>
        <v>-377.87887706154999</v>
      </c>
      <c r="K94" s="77">
        <f t="shared" si="37"/>
        <v>647.79236067694364</v>
      </c>
      <c r="L94" s="77">
        <f t="shared" si="37"/>
        <v>0</v>
      </c>
      <c r="M94" s="77">
        <f t="shared" si="37"/>
        <v>0</v>
      </c>
      <c r="N94" s="77">
        <f t="shared" si="37"/>
        <v>0</v>
      </c>
      <c r="O94" s="77">
        <f t="shared" si="37"/>
        <v>0</v>
      </c>
      <c r="P94" s="77">
        <f t="shared" si="37"/>
        <v>377.87887706154999</v>
      </c>
      <c r="Q94" s="96">
        <f t="shared" si="37"/>
        <v>-647.79236067694364</v>
      </c>
      <c r="S94" s="78">
        <f t="shared" si="35"/>
        <v>-0.55815387468236111</v>
      </c>
      <c r="U94" s="11">
        <v>0</v>
      </c>
      <c r="V94" s="1">
        <v>0</v>
      </c>
      <c r="W94" s="1">
        <v>0</v>
      </c>
      <c r="X94" s="1">
        <v>0</v>
      </c>
      <c r="Y94" s="1">
        <v>0</v>
      </c>
      <c r="Z94" s="1">
        <v>0</v>
      </c>
      <c r="AA94" s="1">
        <v>0</v>
      </c>
      <c r="AB94" s="1">
        <v>0</v>
      </c>
      <c r="AC94" s="1">
        <v>0</v>
      </c>
      <c r="AD94" s="1">
        <v>697.27484023486136</v>
      </c>
      <c r="AE94" s="1">
        <v>0</v>
      </c>
      <c r="AF94" s="1">
        <v>0</v>
      </c>
      <c r="AG94" s="1">
        <v>454.04154002104235</v>
      </c>
      <c r="AH94" s="1">
        <v>847.24648250292421</v>
      </c>
      <c r="AI94" s="1">
        <v>172.51455479804463</v>
      </c>
      <c r="AJ94" s="1">
        <v>0</v>
      </c>
      <c r="AK94" s="1">
        <v>0</v>
      </c>
      <c r="AL94" s="1">
        <v>0</v>
      </c>
      <c r="AM94" s="1">
        <v>0</v>
      </c>
      <c r="AN94" s="1">
        <v>0</v>
      </c>
      <c r="AO94" s="25">
        <v>212.41900979899276</v>
      </c>
      <c r="AP94" s="25">
        <v>-212.41900979899276</v>
      </c>
      <c r="AQ94" s="25">
        <v>0</v>
      </c>
      <c r="AR94" s="25">
        <v>0</v>
      </c>
      <c r="AS94" s="25">
        <v>0</v>
      </c>
      <c r="AT94" s="25">
        <v>0</v>
      </c>
      <c r="AU94" s="25">
        <v>0</v>
      </c>
      <c r="AV94" s="25">
        <v>0</v>
      </c>
      <c r="AW94" s="25">
        <v>0</v>
      </c>
      <c r="AX94" s="25">
        <v>0</v>
      </c>
      <c r="AY94" s="25">
        <v>0</v>
      </c>
      <c r="AZ94" s="45">
        <v>0</v>
      </c>
    </row>
    <row r="95" spans="2:52">
      <c r="B95" s="79">
        <f t="shared" si="37"/>
        <v>0</v>
      </c>
      <c r="C95" s="80">
        <f t="shared" si="37"/>
        <v>0</v>
      </c>
      <c r="D95" s="80">
        <f t="shared" si="37"/>
        <v>0</v>
      </c>
      <c r="E95" s="80">
        <f t="shared" si="37"/>
        <v>0</v>
      </c>
      <c r="F95" s="80">
        <f t="shared" si="37"/>
        <v>0</v>
      </c>
      <c r="G95" s="80">
        <f t="shared" si="37"/>
        <v>0</v>
      </c>
      <c r="H95" s="80">
        <f t="shared" si="37"/>
        <v>777.48723324987918</v>
      </c>
      <c r="I95" s="80">
        <f t="shared" si="37"/>
        <v>-362.8273755166108</v>
      </c>
      <c r="J95" s="80">
        <f t="shared" si="37"/>
        <v>-777.48723324987918</v>
      </c>
      <c r="K95" s="80">
        <f t="shared" si="37"/>
        <v>362.8273755166108</v>
      </c>
      <c r="L95" s="80">
        <f t="shared" si="37"/>
        <v>0</v>
      </c>
      <c r="M95" s="80">
        <f t="shared" si="37"/>
        <v>0</v>
      </c>
      <c r="N95" s="80">
        <f t="shared" si="37"/>
        <v>0</v>
      </c>
      <c r="O95" s="80">
        <f t="shared" si="37"/>
        <v>0</v>
      </c>
      <c r="P95" s="80">
        <f t="shared" si="37"/>
        <v>0</v>
      </c>
      <c r="Q95" s="97">
        <f t="shared" si="37"/>
        <v>0</v>
      </c>
      <c r="S95" s="81">
        <f t="shared" si="35"/>
        <v>1.2471364639082727</v>
      </c>
      <c r="U95" s="11">
        <v>0</v>
      </c>
      <c r="V95" s="1">
        <v>0</v>
      </c>
      <c r="W95" s="1">
        <v>0</v>
      </c>
      <c r="X95" s="1">
        <v>0</v>
      </c>
      <c r="Y95" s="1">
        <v>0</v>
      </c>
      <c r="Z95" s="1">
        <v>0</v>
      </c>
      <c r="AA95" s="1">
        <v>0</v>
      </c>
      <c r="AB95" s="1">
        <v>0</v>
      </c>
      <c r="AC95" s="1">
        <v>0</v>
      </c>
      <c r="AD95" s="1">
        <v>370.89087246535183</v>
      </c>
      <c r="AE95" s="1">
        <v>0</v>
      </c>
      <c r="AF95" s="1">
        <v>0</v>
      </c>
      <c r="AG95" s="1">
        <v>-618.00098502864137</v>
      </c>
      <c r="AH95" s="1">
        <v>-141.20774708382086</v>
      </c>
      <c r="AI95" s="1">
        <v>-819.4441352907121</v>
      </c>
      <c r="AJ95" s="1">
        <v>0</v>
      </c>
      <c r="AK95" s="1">
        <v>0</v>
      </c>
      <c r="AL95" s="1">
        <v>0</v>
      </c>
      <c r="AM95" s="1">
        <v>0</v>
      </c>
      <c r="AN95" s="1">
        <v>0</v>
      </c>
      <c r="AO95" s="25">
        <v>1274.5140587939566</v>
      </c>
      <c r="AP95" s="25">
        <v>-1274.5140587939566</v>
      </c>
      <c r="AQ95" s="25">
        <v>0</v>
      </c>
      <c r="AR95" s="25">
        <v>0</v>
      </c>
      <c r="AS95" s="25">
        <v>0</v>
      </c>
      <c r="AT95" s="25">
        <v>0</v>
      </c>
      <c r="AU95" s="25">
        <v>0</v>
      </c>
      <c r="AV95" s="25">
        <v>0</v>
      </c>
      <c r="AW95" s="25">
        <v>0</v>
      </c>
      <c r="AX95" s="25">
        <v>0</v>
      </c>
      <c r="AY95" s="25">
        <v>0</v>
      </c>
      <c r="AZ95" s="45">
        <v>0</v>
      </c>
    </row>
    <row r="96" spans="2:52">
      <c r="B96" s="82">
        <f t="shared" ref="B96:Q96" si="38">B62/$O26</f>
        <v>-1134.4354025237385</v>
      </c>
      <c r="C96" s="83">
        <f t="shared" si="38"/>
        <v>544.82752884363754</v>
      </c>
      <c r="D96" s="83">
        <f t="shared" si="38"/>
        <v>212.41900979899276</v>
      </c>
      <c r="E96" s="83">
        <f t="shared" si="38"/>
        <v>1274.5140587939566</v>
      </c>
      <c r="F96" s="83">
        <f t="shared" si="38"/>
        <v>0</v>
      </c>
      <c r="G96" s="83">
        <f t="shared" si="38"/>
        <v>0</v>
      </c>
      <c r="H96" s="83">
        <f t="shared" si="38"/>
        <v>0</v>
      </c>
      <c r="I96" s="83">
        <f t="shared" si="38"/>
        <v>0</v>
      </c>
      <c r="J96" s="83">
        <f t="shared" si="38"/>
        <v>0</v>
      </c>
      <c r="K96" s="83">
        <f t="shared" si="38"/>
        <v>0</v>
      </c>
      <c r="L96" s="83">
        <f t="shared" si="38"/>
        <v>0</v>
      </c>
      <c r="M96" s="83">
        <f t="shared" si="38"/>
        <v>0</v>
      </c>
      <c r="N96" s="83">
        <f t="shared" si="38"/>
        <v>0</v>
      </c>
      <c r="O96" s="83">
        <f t="shared" si="38"/>
        <v>0</v>
      </c>
      <c r="P96" s="83">
        <f t="shared" si="38"/>
        <v>922.01639272474574</v>
      </c>
      <c r="Q96" s="120">
        <f t="shared" si="38"/>
        <v>-1819.3415876375941</v>
      </c>
      <c r="S96" s="75">
        <f t="shared" ref="S96:S107" si="39">S62/$O26</f>
        <v>2.0991733701691828</v>
      </c>
      <c r="U96" s="11">
        <v>0</v>
      </c>
      <c r="V96" s="1">
        <v>0</v>
      </c>
      <c r="W96" s="1">
        <v>0</v>
      </c>
      <c r="X96" s="1">
        <v>0</v>
      </c>
      <c r="Y96" s="1">
        <v>0</v>
      </c>
      <c r="Z96" s="1">
        <v>0</v>
      </c>
      <c r="AA96" s="1">
        <v>0</v>
      </c>
      <c r="AB96" s="1">
        <v>0</v>
      </c>
      <c r="AC96" s="1">
        <v>0</v>
      </c>
      <c r="AD96" s="1">
        <v>0</v>
      </c>
      <c r="AE96" s="1">
        <v>0</v>
      </c>
      <c r="AF96" s="1">
        <v>0</v>
      </c>
      <c r="AG96" s="1">
        <v>0</v>
      </c>
      <c r="AH96" s="1">
        <v>0</v>
      </c>
      <c r="AI96" s="1">
        <v>-172.51455479804463</v>
      </c>
      <c r="AJ96" s="1">
        <v>809.05596506061408</v>
      </c>
      <c r="AK96" s="1">
        <v>778.90939264980921</v>
      </c>
      <c r="AL96" s="1">
        <v>497.85116079864474</v>
      </c>
      <c r="AM96" s="1">
        <v>0</v>
      </c>
      <c r="AN96" s="1">
        <v>0</v>
      </c>
      <c r="AO96" s="25">
        <v>0</v>
      </c>
      <c r="AP96" s="25">
        <v>-834.43114608444728</v>
      </c>
      <c r="AQ96" s="25">
        <v>834.43114608444728</v>
      </c>
      <c r="AR96" s="25">
        <v>0</v>
      </c>
      <c r="AS96" s="25">
        <v>0</v>
      </c>
      <c r="AT96" s="25">
        <v>0</v>
      </c>
      <c r="AU96" s="25">
        <v>0</v>
      </c>
      <c r="AV96" s="25">
        <v>0</v>
      </c>
      <c r="AW96" s="25">
        <v>0</v>
      </c>
      <c r="AX96" s="25">
        <v>0</v>
      </c>
      <c r="AY96" s="25">
        <v>0</v>
      </c>
      <c r="AZ96" s="45">
        <v>515.86132567538823</v>
      </c>
    </row>
    <row r="97" spans="1:52">
      <c r="B97" s="76">
        <f t="shared" ref="B97:Q97" si="40">B63/$O27</f>
        <v>0</v>
      </c>
      <c r="C97" s="77">
        <f t="shared" si="40"/>
        <v>0</v>
      </c>
      <c r="D97" s="77">
        <f t="shared" si="40"/>
        <v>-212.41900979899276</v>
      </c>
      <c r="E97" s="77">
        <f t="shared" si="40"/>
        <v>-1274.5140587939566</v>
      </c>
      <c r="F97" s="77">
        <f t="shared" si="40"/>
        <v>-834.43114608444728</v>
      </c>
      <c r="G97" s="77">
        <f t="shared" si="40"/>
        <v>624.54355719204011</v>
      </c>
      <c r="H97" s="77">
        <f t="shared" si="40"/>
        <v>0</v>
      </c>
      <c r="I97" s="77">
        <f t="shared" si="40"/>
        <v>0</v>
      </c>
      <c r="J97" s="77">
        <f t="shared" si="40"/>
        <v>0</v>
      </c>
      <c r="K97" s="77">
        <f t="shared" si="40"/>
        <v>0</v>
      </c>
      <c r="L97" s="77">
        <f t="shared" si="40"/>
        <v>0</v>
      </c>
      <c r="M97" s="77">
        <f t="shared" si="40"/>
        <v>0</v>
      </c>
      <c r="N97" s="77">
        <f t="shared" si="40"/>
        <v>0</v>
      </c>
      <c r="O97" s="77">
        <f t="shared" si="40"/>
        <v>0</v>
      </c>
      <c r="P97" s="77">
        <f t="shared" si="40"/>
        <v>1046.85015588344</v>
      </c>
      <c r="Q97" s="96">
        <f t="shared" si="40"/>
        <v>649.97050160191645</v>
      </c>
      <c r="S97" s="84">
        <f t="shared" si="39"/>
        <v>1.2490190816549784</v>
      </c>
      <c r="U97" s="11">
        <v>0</v>
      </c>
      <c r="V97" s="1">
        <v>0</v>
      </c>
      <c r="W97" s="1">
        <v>0</v>
      </c>
      <c r="X97" s="1">
        <v>0</v>
      </c>
      <c r="Y97" s="1">
        <v>0</v>
      </c>
      <c r="Z97" s="1">
        <v>0</v>
      </c>
      <c r="AA97" s="1">
        <v>0</v>
      </c>
      <c r="AB97" s="1">
        <v>0</v>
      </c>
      <c r="AC97" s="1">
        <v>0</v>
      </c>
      <c r="AD97" s="1">
        <v>0</v>
      </c>
      <c r="AE97" s="1">
        <v>0</v>
      </c>
      <c r="AF97" s="1">
        <v>0</v>
      </c>
      <c r="AG97" s="1">
        <v>0</v>
      </c>
      <c r="AH97" s="1">
        <v>0</v>
      </c>
      <c r="AI97" s="1">
        <v>819.4441352907121</v>
      </c>
      <c r="AJ97" s="1">
        <v>-317.84341484524151</v>
      </c>
      <c r="AK97" s="1">
        <v>152.72733189211928</v>
      </c>
      <c r="AL97" s="1">
        <v>665.16179680474545</v>
      </c>
      <c r="AM97" s="1">
        <v>0</v>
      </c>
      <c r="AN97" s="1">
        <v>0</v>
      </c>
      <c r="AO97" s="25">
        <v>0</v>
      </c>
      <c r="AP97" s="25">
        <v>624.54355719204011</v>
      </c>
      <c r="AQ97" s="25">
        <v>-624.54355719204011</v>
      </c>
      <c r="AR97" s="25">
        <v>0</v>
      </c>
      <c r="AS97" s="25">
        <v>0</v>
      </c>
      <c r="AT97" s="25">
        <v>0</v>
      </c>
      <c r="AU97" s="25">
        <v>0</v>
      </c>
      <c r="AV97" s="25">
        <v>0</v>
      </c>
      <c r="AW97" s="25">
        <v>0</v>
      </c>
      <c r="AX97" s="25">
        <v>0</v>
      </c>
      <c r="AY97" s="25">
        <v>0</v>
      </c>
      <c r="AZ97" s="45">
        <v>1313.1015562646246</v>
      </c>
    </row>
    <row r="98" spans="1:52">
      <c r="B98" s="76">
        <f t="shared" ref="B98:Q98" si="41">B64/$O28</f>
        <v>0</v>
      </c>
      <c r="C98" s="77">
        <f t="shared" si="41"/>
        <v>0</v>
      </c>
      <c r="D98" s="77">
        <f t="shared" si="41"/>
        <v>0</v>
      </c>
      <c r="E98" s="77">
        <f t="shared" si="41"/>
        <v>0</v>
      </c>
      <c r="F98" s="77">
        <f t="shared" si="41"/>
        <v>834.43114608444728</v>
      </c>
      <c r="G98" s="77">
        <f t="shared" si="41"/>
        <v>-624.54355719204011</v>
      </c>
      <c r="H98" s="77">
        <f t="shared" si="41"/>
        <v>-966.83323842259324</v>
      </c>
      <c r="I98" s="77">
        <f t="shared" si="41"/>
        <v>-79.830267392691198</v>
      </c>
      <c r="J98" s="77">
        <f t="shared" si="41"/>
        <v>0</v>
      </c>
      <c r="K98" s="77">
        <f t="shared" si="41"/>
        <v>0</v>
      </c>
      <c r="L98" s="77">
        <f t="shared" si="41"/>
        <v>0</v>
      </c>
      <c r="M98" s="77">
        <f t="shared" si="41"/>
        <v>0</v>
      </c>
      <c r="N98" s="77">
        <f t="shared" si="41"/>
        <v>0</v>
      </c>
      <c r="O98" s="77">
        <f t="shared" si="41"/>
        <v>0</v>
      </c>
      <c r="P98" s="77">
        <f t="shared" si="41"/>
        <v>132.40209233814599</v>
      </c>
      <c r="Q98" s="96">
        <f t="shared" si="41"/>
        <v>704.37382458473132</v>
      </c>
      <c r="S98" s="84">
        <f t="shared" si="39"/>
        <v>-0.28924475140949352</v>
      </c>
      <c r="U98" s="11">
        <v>0</v>
      </c>
      <c r="V98" s="1">
        <v>638.98067551934821</v>
      </c>
      <c r="W98" s="1">
        <v>0</v>
      </c>
      <c r="X98" s="1">
        <v>0</v>
      </c>
      <c r="Y98" s="1">
        <v>0</v>
      </c>
      <c r="Z98" s="1">
        <v>0</v>
      </c>
      <c r="AA98" s="1">
        <v>0</v>
      </c>
      <c r="AB98" s="1">
        <v>0</v>
      </c>
      <c r="AC98" s="1">
        <v>0</v>
      </c>
      <c r="AD98" s="1">
        <v>0</v>
      </c>
      <c r="AE98" s="1">
        <v>0</v>
      </c>
      <c r="AF98" s="1">
        <v>0</v>
      </c>
      <c r="AG98" s="1">
        <v>-454.04154002104235</v>
      </c>
      <c r="AH98" s="1">
        <v>0</v>
      </c>
      <c r="AI98" s="1">
        <v>0</v>
      </c>
      <c r="AJ98" s="1">
        <v>-809.05596506061408</v>
      </c>
      <c r="AK98" s="1">
        <v>0</v>
      </c>
      <c r="AL98" s="1">
        <v>0</v>
      </c>
      <c r="AM98" s="1">
        <v>0</v>
      </c>
      <c r="AN98" s="1">
        <v>777.48723324987918</v>
      </c>
      <c r="AO98" s="25">
        <v>0</v>
      </c>
      <c r="AP98" s="25">
        <v>0</v>
      </c>
      <c r="AQ98" s="25">
        <v>-966.83323842259324</v>
      </c>
      <c r="AR98" s="25">
        <v>966.83323842259324</v>
      </c>
      <c r="AS98" s="25">
        <v>0</v>
      </c>
      <c r="AT98" s="25">
        <v>0</v>
      </c>
      <c r="AU98" s="25">
        <v>0</v>
      </c>
      <c r="AV98" s="25">
        <v>0</v>
      </c>
      <c r="AW98" s="25">
        <v>542.13362610377976</v>
      </c>
      <c r="AX98" s="25">
        <v>-1460.9662872528663</v>
      </c>
      <c r="AY98" s="25">
        <v>-48.000577273506529</v>
      </c>
      <c r="AZ98" s="45">
        <v>450.97191274720495</v>
      </c>
    </row>
    <row r="99" spans="1:52">
      <c r="B99" s="76">
        <f t="shared" ref="B99:Q99" si="42">B65/$O29</f>
        <v>0</v>
      </c>
      <c r="C99" s="77">
        <f t="shared" si="42"/>
        <v>0</v>
      </c>
      <c r="D99" s="77">
        <f t="shared" si="42"/>
        <v>0</v>
      </c>
      <c r="E99" s="77">
        <f t="shared" si="42"/>
        <v>0</v>
      </c>
      <c r="F99" s="77">
        <f t="shared" si="42"/>
        <v>0</v>
      </c>
      <c r="G99" s="77">
        <f t="shared" si="42"/>
        <v>0</v>
      </c>
      <c r="H99" s="77">
        <f t="shared" si="42"/>
        <v>966.83323842259324</v>
      </c>
      <c r="I99" s="77">
        <f t="shared" si="42"/>
        <v>79.830267392691198</v>
      </c>
      <c r="J99" s="77">
        <f t="shared" si="42"/>
        <v>0</v>
      </c>
      <c r="K99" s="77">
        <f t="shared" si="42"/>
        <v>0</v>
      </c>
      <c r="L99" s="77">
        <f t="shared" si="42"/>
        <v>-787.29216492149499</v>
      </c>
      <c r="M99" s="77">
        <f t="shared" si="42"/>
        <v>-926.63591092529953</v>
      </c>
      <c r="N99" s="77">
        <f t="shared" si="42"/>
        <v>0</v>
      </c>
      <c r="O99" s="77">
        <f t="shared" si="42"/>
        <v>0</v>
      </c>
      <c r="P99" s="77">
        <f t="shared" si="42"/>
        <v>-179.54107350109825</v>
      </c>
      <c r="Q99" s="96">
        <f t="shared" si="42"/>
        <v>846.80564353260843</v>
      </c>
      <c r="S99" s="84">
        <f t="shared" si="39"/>
        <v>-0.61570243156931304</v>
      </c>
      <c r="U99" s="11">
        <v>0</v>
      </c>
      <c r="V99" s="1">
        <v>583.41713851766576</v>
      </c>
      <c r="W99" s="1">
        <v>0</v>
      </c>
      <c r="X99" s="1">
        <v>0</v>
      </c>
      <c r="Y99" s="1">
        <v>0</v>
      </c>
      <c r="Z99" s="1">
        <v>0</v>
      </c>
      <c r="AA99" s="1">
        <v>0</v>
      </c>
      <c r="AB99" s="1">
        <v>0</v>
      </c>
      <c r="AC99" s="1">
        <v>0</v>
      </c>
      <c r="AD99" s="1">
        <v>0</v>
      </c>
      <c r="AE99" s="1">
        <v>0</v>
      </c>
      <c r="AF99" s="1">
        <v>0</v>
      </c>
      <c r="AG99" s="1">
        <v>618.00098502864137</v>
      </c>
      <c r="AH99" s="1">
        <v>0</v>
      </c>
      <c r="AI99" s="1">
        <v>0</v>
      </c>
      <c r="AJ99" s="1">
        <v>317.84341484524151</v>
      </c>
      <c r="AK99" s="1">
        <v>0</v>
      </c>
      <c r="AL99" s="1">
        <v>0</v>
      </c>
      <c r="AM99" s="1">
        <v>0</v>
      </c>
      <c r="AN99" s="1">
        <v>-362.8273755166108</v>
      </c>
      <c r="AO99" s="25">
        <v>0</v>
      </c>
      <c r="AP99" s="25">
        <v>0</v>
      </c>
      <c r="AQ99" s="25">
        <v>-79.830267392691198</v>
      </c>
      <c r="AR99" s="25">
        <v>79.830267392691198</v>
      </c>
      <c r="AS99" s="25">
        <v>0</v>
      </c>
      <c r="AT99" s="25">
        <v>0</v>
      </c>
      <c r="AU99" s="25">
        <v>0</v>
      </c>
      <c r="AV99" s="25">
        <v>0</v>
      </c>
      <c r="AW99" s="25">
        <v>1161.7149130795281</v>
      </c>
      <c r="AX99" s="25">
        <v>-155.37437944005219</v>
      </c>
      <c r="AY99" s="25">
        <v>-1086.170801032167</v>
      </c>
      <c r="AZ99" s="45">
        <v>-1233.2712888719334</v>
      </c>
    </row>
    <row r="100" spans="1:52">
      <c r="B100" s="76">
        <f t="shared" ref="B100:Q100" si="43">B66/$O30</f>
        <v>0</v>
      </c>
      <c r="C100" s="77">
        <f t="shared" si="43"/>
        <v>0</v>
      </c>
      <c r="D100" s="77">
        <f t="shared" si="43"/>
        <v>0</v>
      </c>
      <c r="E100" s="77">
        <f t="shared" si="43"/>
        <v>0</v>
      </c>
      <c r="F100" s="77">
        <f t="shared" si="43"/>
        <v>0</v>
      </c>
      <c r="G100" s="77">
        <f t="shared" si="43"/>
        <v>0</v>
      </c>
      <c r="H100" s="77">
        <f t="shared" si="43"/>
        <v>0</v>
      </c>
      <c r="I100" s="77">
        <f t="shared" si="43"/>
        <v>0</v>
      </c>
      <c r="J100" s="77">
        <f t="shared" si="43"/>
        <v>0</v>
      </c>
      <c r="K100" s="77">
        <f t="shared" si="43"/>
        <v>0</v>
      </c>
      <c r="L100" s="77">
        <f t="shared" si="43"/>
        <v>787.29216492149499</v>
      </c>
      <c r="M100" s="77">
        <f t="shared" si="43"/>
        <v>926.63591092529953</v>
      </c>
      <c r="N100" s="77">
        <f t="shared" si="43"/>
        <v>246.09904342602113</v>
      </c>
      <c r="O100" s="77">
        <f t="shared" si="43"/>
        <v>-1253.5670024512951</v>
      </c>
      <c r="P100" s="77">
        <f t="shared" si="43"/>
        <v>-1033.3912083475161</v>
      </c>
      <c r="Q100" s="96">
        <f t="shared" si="43"/>
        <v>326.93109152599556</v>
      </c>
      <c r="S100" s="84">
        <f t="shared" si="39"/>
        <v>0.31846661218063826</v>
      </c>
      <c r="U100" s="11">
        <v>0</v>
      </c>
      <c r="V100" s="1">
        <v>0</v>
      </c>
      <c r="W100" s="1">
        <v>-166.41647003802495</v>
      </c>
      <c r="X100" s="1">
        <v>0</v>
      </c>
      <c r="Y100" s="1">
        <v>0</v>
      </c>
      <c r="Z100" s="1">
        <v>0</v>
      </c>
      <c r="AA100" s="1">
        <v>0</v>
      </c>
      <c r="AB100" s="1">
        <v>0</v>
      </c>
      <c r="AC100" s="1">
        <v>-11.835306213935887</v>
      </c>
      <c r="AD100" s="1">
        <v>0</v>
      </c>
      <c r="AE100" s="1">
        <v>0</v>
      </c>
      <c r="AF100" s="1">
        <v>0</v>
      </c>
      <c r="AG100" s="1">
        <v>0</v>
      </c>
      <c r="AH100" s="1">
        <v>0</v>
      </c>
      <c r="AI100" s="1">
        <v>0</v>
      </c>
      <c r="AJ100" s="1">
        <v>0</v>
      </c>
      <c r="AK100" s="1">
        <v>0</v>
      </c>
      <c r="AL100" s="1">
        <v>0</v>
      </c>
      <c r="AM100" s="1">
        <v>-377.87887706154999</v>
      </c>
      <c r="AN100" s="1">
        <v>-777.48723324987918</v>
      </c>
      <c r="AO100" s="25">
        <v>0</v>
      </c>
      <c r="AP100" s="25">
        <v>0</v>
      </c>
      <c r="AQ100" s="25">
        <v>0</v>
      </c>
      <c r="AR100" s="25">
        <v>0</v>
      </c>
      <c r="AS100" s="25">
        <v>0</v>
      </c>
      <c r="AT100" s="25">
        <v>0</v>
      </c>
      <c r="AU100" s="25">
        <v>-502.98654410869011</v>
      </c>
      <c r="AV100" s="25">
        <v>616.21227183561393</v>
      </c>
      <c r="AW100" s="25">
        <v>7.6243811221108899</v>
      </c>
      <c r="AX100" s="25">
        <v>542.13362610377976</v>
      </c>
      <c r="AY100" s="25">
        <v>0</v>
      </c>
      <c r="AZ100" s="45">
        <v>0</v>
      </c>
    </row>
    <row r="101" spans="1:52">
      <c r="B101" s="76">
        <f t="shared" ref="B101:Q101" si="44">B67/$O31</f>
        <v>1134.4354025237385</v>
      </c>
      <c r="C101" s="77">
        <f t="shared" si="44"/>
        <v>-544.82752884363754</v>
      </c>
      <c r="D101" s="77">
        <f t="shared" si="44"/>
        <v>0</v>
      </c>
      <c r="E101" s="77">
        <f t="shared" si="44"/>
        <v>0</v>
      </c>
      <c r="F101" s="77">
        <f t="shared" si="44"/>
        <v>0</v>
      </c>
      <c r="G101" s="77">
        <f t="shared" si="44"/>
        <v>0</v>
      </c>
      <c r="H101" s="77">
        <f t="shared" si="44"/>
        <v>0</v>
      </c>
      <c r="I101" s="77">
        <f t="shared" si="44"/>
        <v>0</v>
      </c>
      <c r="J101" s="77">
        <f t="shared" si="44"/>
        <v>0</v>
      </c>
      <c r="K101" s="77">
        <f t="shared" si="44"/>
        <v>0</v>
      </c>
      <c r="L101" s="77">
        <f t="shared" si="44"/>
        <v>0</v>
      </c>
      <c r="M101" s="77">
        <f t="shared" si="44"/>
        <v>0</v>
      </c>
      <c r="N101" s="77">
        <f t="shared" si="44"/>
        <v>-246.09904342602113</v>
      </c>
      <c r="O101" s="77">
        <f t="shared" si="44"/>
        <v>1253.5670024512951</v>
      </c>
      <c r="P101" s="77">
        <f t="shared" si="44"/>
        <v>-888.33635909771738</v>
      </c>
      <c r="Q101" s="96">
        <f t="shared" si="44"/>
        <v>-708.7394736076576</v>
      </c>
      <c r="S101" s="84">
        <f t="shared" si="39"/>
        <v>-0.76171188107802357</v>
      </c>
      <c r="U101" s="11">
        <v>0</v>
      </c>
      <c r="V101" s="1">
        <v>0</v>
      </c>
      <c r="W101" s="1">
        <v>832.08235019012443</v>
      </c>
      <c r="X101" s="1">
        <v>0</v>
      </c>
      <c r="Y101" s="1">
        <v>0</v>
      </c>
      <c r="Z101" s="1">
        <v>0</v>
      </c>
      <c r="AA101" s="1">
        <v>0</v>
      </c>
      <c r="AB101" s="1">
        <v>0</v>
      </c>
      <c r="AC101" s="1">
        <v>757.45959769190199</v>
      </c>
      <c r="AD101" s="1">
        <v>0</v>
      </c>
      <c r="AE101" s="1">
        <v>0</v>
      </c>
      <c r="AF101" s="1">
        <v>0</v>
      </c>
      <c r="AG101" s="1">
        <v>0</v>
      </c>
      <c r="AH101" s="1">
        <v>0</v>
      </c>
      <c r="AI101" s="1">
        <v>0</v>
      </c>
      <c r="AJ101" s="1">
        <v>0</v>
      </c>
      <c r="AK101" s="1">
        <v>0</v>
      </c>
      <c r="AL101" s="1">
        <v>0</v>
      </c>
      <c r="AM101" s="1">
        <v>647.79236067694364</v>
      </c>
      <c r="AN101" s="1">
        <v>362.8273755166108</v>
      </c>
      <c r="AO101" s="25">
        <v>0</v>
      </c>
      <c r="AP101" s="25">
        <v>0</v>
      </c>
      <c r="AQ101" s="25">
        <v>0</v>
      </c>
      <c r="AR101" s="25">
        <v>0</v>
      </c>
      <c r="AS101" s="25">
        <v>0</v>
      </c>
      <c r="AT101" s="25">
        <v>0</v>
      </c>
      <c r="AU101" s="25">
        <v>-222.83493495366315</v>
      </c>
      <c r="AV101" s="25">
        <v>-87.49811506946871</v>
      </c>
      <c r="AW101" s="25">
        <v>-841.02274219775836</v>
      </c>
      <c r="AX101" s="25">
        <v>1161.7149130795281</v>
      </c>
      <c r="AY101" s="25">
        <v>0</v>
      </c>
      <c r="AZ101" s="45">
        <v>0</v>
      </c>
    </row>
    <row r="102" spans="1:52">
      <c r="B102" s="76">
        <f t="shared" ref="B102:Q102" si="45">B68/$O32</f>
        <v>0</v>
      </c>
      <c r="C102" s="77">
        <f t="shared" si="45"/>
        <v>0</v>
      </c>
      <c r="D102" s="77">
        <f t="shared" si="45"/>
        <v>0</v>
      </c>
      <c r="E102" s="77">
        <f t="shared" si="45"/>
        <v>0</v>
      </c>
      <c r="F102" s="77">
        <f t="shared" si="45"/>
        <v>0</v>
      </c>
      <c r="G102" s="77">
        <f t="shared" si="45"/>
        <v>0</v>
      </c>
      <c r="H102" s="77">
        <f t="shared" si="45"/>
        <v>0</v>
      </c>
      <c r="I102" s="77">
        <f t="shared" si="45"/>
        <v>0</v>
      </c>
      <c r="J102" s="77">
        <f t="shared" si="45"/>
        <v>-502.98654410869011</v>
      </c>
      <c r="K102" s="77">
        <f t="shared" si="45"/>
        <v>-222.83493495366315</v>
      </c>
      <c r="L102" s="77">
        <f t="shared" si="45"/>
        <v>1165.9702790615045</v>
      </c>
      <c r="M102" s="77">
        <f t="shared" si="45"/>
        <v>233.19405581230089</v>
      </c>
      <c r="N102" s="77">
        <f t="shared" si="45"/>
        <v>-662.98373495281442</v>
      </c>
      <c r="O102" s="77">
        <f t="shared" si="45"/>
        <v>-10.359120858637725</v>
      </c>
      <c r="P102" s="77">
        <f t="shared" si="45"/>
        <v>0</v>
      </c>
      <c r="Q102" s="96">
        <f t="shared" si="45"/>
        <v>0</v>
      </c>
      <c r="S102" s="84">
        <f t="shared" si="39"/>
        <v>0.18060670043951177</v>
      </c>
      <c r="U102" s="11">
        <v>-173.64518046526368</v>
      </c>
      <c r="V102" s="1">
        <v>-638.98067551934821</v>
      </c>
      <c r="W102" s="1">
        <v>166.41647003802495</v>
      </c>
      <c r="X102" s="1">
        <v>176.47469581904315</v>
      </c>
      <c r="Y102" s="1">
        <v>-648.84292280610339</v>
      </c>
      <c r="Z102" s="1">
        <v>0</v>
      </c>
      <c r="AA102" s="1">
        <v>0</v>
      </c>
      <c r="AB102" s="1">
        <v>176.47446524834157</v>
      </c>
      <c r="AC102" s="1">
        <v>0</v>
      </c>
      <c r="AD102" s="1">
        <v>0</v>
      </c>
      <c r="AE102" s="1">
        <v>0</v>
      </c>
      <c r="AF102" s="1">
        <v>-173.64492103006583</v>
      </c>
      <c r="AG102" s="1">
        <v>0</v>
      </c>
      <c r="AH102" s="1">
        <v>0</v>
      </c>
      <c r="AI102" s="1">
        <v>0</v>
      </c>
      <c r="AJ102" s="1">
        <v>0</v>
      </c>
      <c r="AK102" s="1">
        <v>-778.90939264980921</v>
      </c>
      <c r="AL102" s="1">
        <v>0</v>
      </c>
      <c r="AM102" s="1">
        <v>0</v>
      </c>
      <c r="AN102" s="1">
        <v>0</v>
      </c>
      <c r="AO102" s="25">
        <v>0</v>
      </c>
      <c r="AP102" s="25">
        <v>0</v>
      </c>
      <c r="AQ102" s="25">
        <v>0</v>
      </c>
      <c r="AR102" s="25">
        <v>-787.29216492149499</v>
      </c>
      <c r="AS102" s="25">
        <v>787.29216492149499</v>
      </c>
      <c r="AT102" s="25">
        <v>0</v>
      </c>
      <c r="AU102" s="25">
        <v>1165.9702790615045</v>
      </c>
      <c r="AV102" s="25">
        <v>-1165.9702790615045</v>
      </c>
      <c r="AW102" s="25">
        <v>0</v>
      </c>
      <c r="AX102" s="25">
        <v>918.83266114908668</v>
      </c>
      <c r="AY102" s="25">
        <v>-918.83266114908668</v>
      </c>
      <c r="AZ102" s="45">
        <v>0</v>
      </c>
    </row>
    <row r="103" spans="1:52">
      <c r="B103" s="76">
        <f t="shared" ref="B103:Q103" si="46">B69/$O33</f>
        <v>0</v>
      </c>
      <c r="C103" s="77">
        <f t="shared" si="46"/>
        <v>0</v>
      </c>
      <c r="D103" s="77">
        <f t="shared" si="46"/>
        <v>0</v>
      </c>
      <c r="E103" s="77">
        <f t="shared" si="46"/>
        <v>0</v>
      </c>
      <c r="F103" s="77">
        <f t="shared" si="46"/>
        <v>0</v>
      </c>
      <c r="G103" s="77">
        <f t="shared" si="46"/>
        <v>0</v>
      </c>
      <c r="H103" s="77">
        <f t="shared" si="46"/>
        <v>0</v>
      </c>
      <c r="I103" s="77">
        <f t="shared" si="46"/>
        <v>0</v>
      </c>
      <c r="J103" s="77">
        <f t="shared" si="46"/>
        <v>616.21227183561393</v>
      </c>
      <c r="K103" s="77">
        <f t="shared" si="46"/>
        <v>-87.49811506946871</v>
      </c>
      <c r="L103" s="77">
        <f t="shared" si="46"/>
        <v>-1165.9702790615045</v>
      </c>
      <c r="M103" s="77">
        <f t="shared" si="46"/>
        <v>-233.19405581230089</v>
      </c>
      <c r="N103" s="77">
        <f t="shared" si="46"/>
        <v>0</v>
      </c>
      <c r="O103" s="77">
        <f t="shared" si="46"/>
        <v>0</v>
      </c>
      <c r="P103" s="77">
        <f t="shared" si="46"/>
        <v>549.75800722589065</v>
      </c>
      <c r="Q103" s="96">
        <f t="shared" si="46"/>
        <v>320.69217088176958</v>
      </c>
      <c r="S103" s="84">
        <f t="shared" si="39"/>
        <v>0.57292410750401734</v>
      </c>
      <c r="U103" s="11">
        <v>766.9328803882496</v>
      </c>
      <c r="V103" s="1">
        <v>-583.41713851766576</v>
      </c>
      <c r="W103" s="1">
        <v>-832.08235019012443</v>
      </c>
      <c r="X103" s="1">
        <v>852.9610297920442</v>
      </c>
      <c r="Y103" s="1">
        <v>551.27255847435902</v>
      </c>
      <c r="Z103" s="1">
        <v>0</v>
      </c>
      <c r="AA103" s="1">
        <v>0</v>
      </c>
      <c r="AB103" s="1">
        <v>852.95991536698421</v>
      </c>
      <c r="AC103" s="1">
        <v>0</v>
      </c>
      <c r="AD103" s="1">
        <v>0</v>
      </c>
      <c r="AE103" s="1">
        <v>0</v>
      </c>
      <c r="AF103" s="1">
        <v>766.93173454945793</v>
      </c>
      <c r="AG103" s="1">
        <v>0</v>
      </c>
      <c r="AH103" s="1">
        <v>0</v>
      </c>
      <c r="AI103" s="1">
        <v>0</v>
      </c>
      <c r="AJ103" s="1">
        <v>0</v>
      </c>
      <c r="AK103" s="1">
        <v>-152.72733189211928</v>
      </c>
      <c r="AL103" s="1">
        <v>0</v>
      </c>
      <c r="AM103" s="1">
        <v>0</v>
      </c>
      <c r="AN103" s="1">
        <v>0</v>
      </c>
      <c r="AO103" s="25">
        <v>0</v>
      </c>
      <c r="AP103" s="25">
        <v>0</v>
      </c>
      <c r="AQ103" s="25">
        <v>0</v>
      </c>
      <c r="AR103" s="25">
        <v>-926.63591092529953</v>
      </c>
      <c r="AS103" s="25">
        <v>926.63591092529953</v>
      </c>
      <c r="AT103" s="25">
        <v>0</v>
      </c>
      <c r="AU103" s="25">
        <v>233.19405581230089</v>
      </c>
      <c r="AV103" s="25">
        <v>-233.19405581230089</v>
      </c>
      <c r="AW103" s="25">
        <v>0</v>
      </c>
      <c r="AX103" s="25">
        <v>-1006.3405336394758</v>
      </c>
      <c r="AY103" s="25">
        <v>1006.3405336394758</v>
      </c>
      <c r="AZ103" s="45">
        <v>0</v>
      </c>
    </row>
    <row r="104" spans="1:52">
      <c r="B104" s="76">
        <f t="shared" ref="B104:Q104" si="47">B70/$O34</f>
        <v>0</v>
      </c>
      <c r="C104" s="77">
        <f t="shared" si="47"/>
        <v>0</v>
      </c>
      <c r="D104" s="77">
        <f t="shared" si="47"/>
        <v>0</v>
      </c>
      <c r="E104" s="77">
        <f t="shared" si="47"/>
        <v>0</v>
      </c>
      <c r="F104" s="77">
        <f t="shared" si="47"/>
        <v>0</v>
      </c>
      <c r="G104" s="77">
        <f t="shared" si="47"/>
        <v>0</v>
      </c>
      <c r="H104" s="77">
        <f t="shared" si="47"/>
        <v>542.13362610377976</v>
      </c>
      <c r="I104" s="77">
        <f t="shared" si="47"/>
        <v>1161.7149130795281</v>
      </c>
      <c r="J104" s="77">
        <f t="shared" si="47"/>
        <v>7.6243811221108899</v>
      </c>
      <c r="K104" s="77">
        <f t="shared" si="47"/>
        <v>-841.02274219775836</v>
      </c>
      <c r="L104" s="77">
        <f t="shared" si="47"/>
        <v>0</v>
      </c>
      <c r="M104" s="77">
        <f t="shared" si="47"/>
        <v>0</v>
      </c>
      <c r="N104" s="77">
        <f t="shared" si="47"/>
        <v>0</v>
      </c>
      <c r="O104" s="77">
        <f t="shared" si="47"/>
        <v>0</v>
      </c>
      <c r="P104" s="77">
        <f t="shared" si="47"/>
        <v>-549.75800722589065</v>
      </c>
      <c r="Q104" s="96">
        <f t="shared" si="47"/>
        <v>-320.69217088176958</v>
      </c>
      <c r="S104" s="84">
        <f t="shared" si="39"/>
        <v>1.6272532250620013</v>
      </c>
      <c r="U104" s="11">
        <v>0</v>
      </c>
      <c r="V104" s="1">
        <v>0</v>
      </c>
      <c r="W104" s="1">
        <v>0</v>
      </c>
      <c r="X104" s="1">
        <v>-176.47469581904315</v>
      </c>
      <c r="Y104" s="1">
        <v>0</v>
      </c>
      <c r="Z104" s="1">
        <v>-521.73990170246316</v>
      </c>
      <c r="AA104" s="1">
        <v>-841.48805187020355</v>
      </c>
      <c r="AB104" s="1">
        <v>-176.47446524834157</v>
      </c>
      <c r="AC104" s="1">
        <v>11.835306213935887</v>
      </c>
      <c r="AD104" s="1">
        <v>0</v>
      </c>
      <c r="AE104" s="1">
        <v>0</v>
      </c>
      <c r="AF104" s="1">
        <v>0</v>
      </c>
      <c r="AG104" s="1">
        <v>0</v>
      </c>
      <c r="AH104" s="1">
        <v>0</v>
      </c>
      <c r="AI104" s="1">
        <v>0</v>
      </c>
      <c r="AJ104" s="1">
        <v>0</v>
      </c>
      <c r="AK104" s="1">
        <v>0</v>
      </c>
      <c r="AL104" s="1">
        <v>0</v>
      </c>
      <c r="AM104" s="1">
        <v>0</v>
      </c>
      <c r="AN104" s="1">
        <v>0</v>
      </c>
      <c r="AO104" s="25">
        <v>0</v>
      </c>
      <c r="AP104" s="25">
        <v>0</v>
      </c>
      <c r="AQ104" s="25">
        <v>0</v>
      </c>
      <c r="AR104" s="25">
        <v>0</v>
      </c>
      <c r="AS104" s="25">
        <v>246.09904342602113</v>
      </c>
      <c r="AT104" s="25">
        <v>-246.09904342602113</v>
      </c>
      <c r="AU104" s="25">
        <v>-662.98373495281442</v>
      </c>
      <c r="AV104" s="25">
        <v>0</v>
      </c>
      <c r="AW104" s="25">
        <v>0</v>
      </c>
      <c r="AX104" s="25">
        <v>0</v>
      </c>
      <c r="AY104" s="25">
        <v>0</v>
      </c>
      <c r="AZ104" s="45">
        <v>0</v>
      </c>
    </row>
    <row r="105" spans="1:52">
      <c r="B105" s="76">
        <f t="shared" ref="B105:Q105" si="48">B71/$O35</f>
        <v>0</v>
      </c>
      <c r="C105" s="77">
        <f t="shared" si="48"/>
        <v>0</v>
      </c>
      <c r="D105" s="77">
        <f t="shared" si="48"/>
        <v>0</v>
      </c>
      <c r="E105" s="77">
        <f t="shared" si="48"/>
        <v>0</v>
      </c>
      <c r="F105" s="77">
        <f t="shared" si="48"/>
        <v>0</v>
      </c>
      <c r="G105" s="77">
        <f t="shared" si="48"/>
        <v>0</v>
      </c>
      <c r="H105" s="77">
        <f t="shared" si="48"/>
        <v>-1460.9662872528663</v>
      </c>
      <c r="I105" s="77">
        <f t="shared" si="48"/>
        <v>-155.37437944005219</v>
      </c>
      <c r="J105" s="77">
        <f t="shared" si="48"/>
        <v>542.13362610377976</v>
      </c>
      <c r="K105" s="77">
        <f t="shared" si="48"/>
        <v>1161.7149130795281</v>
      </c>
      <c r="L105" s="77">
        <f t="shared" si="48"/>
        <v>918.83266114908668</v>
      </c>
      <c r="M105" s="77">
        <f t="shared" si="48"/>
        <v>-1006.3405336394758</v>
      </c>
      <c r="N105" s="77">
        <f t="shared" si="48"/>
        <v>0</v>
      </c>
      <c r="O105" s="77">
        <f t="shared" si="48"/>
        <v>0</v>
      </c>
      <c r="P105" s="77">
        <f t="shared" si="48"/>
        <v>0</v>
      </c>
      <c r="Q105" s="96">
        <f t="shared" si="48"/>
        <v>0</v>
      </c>
      <c r="S105" s="84">
        <f t="shared" si="39"/>
        <v>0.37509481562854791</v>
      </c>
      <c r="U105" s="11">
        <v>0</v>
      </c>
      <c r="V105" s="1">
        <v>0</v>
      </c>
      <c r="W105" s="1">
        <v>0</v>
      </c>
      <c r="X105" s="1">
        <v>-852.9610297920442</v>
      </c>
      <c r="Y105" s="1">
        <v>0</v>
      </c>
      <c r="Z105" s="1">
        <v>695.65320226995129</v>
      </c>
      <c r="AA105" s="1">
        <v>-165.20010834261663</v>
      </c>
      <c r="AB105" s="1">
        <v>-852.95991536698421</v>
      </c>
      <c r="AC105" s="1">
        <v>-757.45959769190199</v>
      </c>
      <c r="AD105" s="1">
        <v>0</v>
      </c>
      <c r="AE105" s="1">
        <v>0</v>
      </c>
      <c r="AF105" s="1">
        <v>0</v>
      </c>
      <c r="AG105" s="1">
        <v>0</v>
      </c>
      <c r="AH105" s="1">
        <v>0</v>
      </c>
      <c r="AI105" s="1">
        <v>0</v>
      </c>
      <c r="AJ105" s="1">
        <v>0</v>
      </c>
      <c r="AK105" s="1">
        <v>0</v>
      </c>
      <c r="AL105" s="1">
        <v>0</v>
      </c>
      <c r="AM105" s="1">
        <v>0</v>
      </c>
      <c r="AN105" s="1">
        <v>0</v>
      </c>
      <c r="AO105" s="25">
        <v>0</v>
      </c>
      <c r="AP105" s="25">
        <v>0</v>
      </c>
      <c r="AQ105" s="25">
        <v>0</v>
      </c>
      <c r="AR105" s="25">
        <v>0</v>
      </c>
      <c r="AS105" s="25">
        <v>-1253.5670024512951</v>
      </c>
      <c r="AT105" s="25">
        <v>1253.5670024512951</v>
      </c>
      <c r="AU105" s="25">
        <v>-10.359120858637725</v>
      </c>
      <c r="AV105" s="25">
        <v>0</v>
      </c>
      <c r="AW105" s="25">
        <v>0</v>
      </c>
      <c r="AX105" s="25">
        <v>0</v>
      </c>
      <c r="AY105" s="25">
        <v>0</v>
      </c>
      <c r="AZ105" s="45">
        <v>0</v>
      </c>
    </row>
    <row r="106" spans="1:52">
      <c r="B106" s="76">
        <f t="shared" ref="B106:Q106" si="49">B72/$O36</f>
        <v>0</v>
      </c>
      <c r="C106" s="77">
        <f t="shared" si="49"/>
        <v>0</v>
      </c>
      <c r="D106" s="77">
        <f t="shared" si="49"/>
        <v>0</v>
      </c>
      <c r="E106" s="77">
        <f t="shared" si="49"/>
        <v>0</v>
      </c>
      <c r="F106" s="77">
        <f t="shared" si="49"/>
        <v>0</v>
      </c>
      <c r="G106" s="77">
        <f t="shared" si="49"/>
        <v>0</v>
      </c>
      <c r="H106" s="77">
        <f t="shared" si="49"/>
        <v>-48.000577273506529</v>
      </c>
      <c r="I106" s="77">
        <f t="shared" si="49"/>
        <v>-1086.170801032167</v>
      </c>
      <c r="J106" s="77">
        <f t="shared" si="49"/>
        <v>0</v>
      </c>
      <c r="K106" s="77">
        <f t="shared" si="49"/>
        <v>0</v>
      </c>
      <c r="L106" s="77">
        <f t="shared" si="49"/>
        <v>-918.83266114908668</v>
      </c>
      <c r="M106" s="77">
        <f t="shared" si="49"/>
        <v>1006.3405336394758</v>
      </c>
      <c r="N106" s="77">
        <f t="shared" si="49"/>
        <v>0</v>
      </c>
      <c r="O106" s="77">
        <f t="shared" si="49"/>
        <v>0</v>
      </c>
      <c r="P106" s="77">
        <f t="shared" si="49"/>
        <v>966.83323842259324</v>
      </c>
      <c r="Q106" s="96">
        <f t="shared" si="49"/>
        <v>79.830267392691198</v>
      </c>
      <c r="S106" s="84">
        <f t="shared" si="39"/>
        <v>-0.8920979875881585</v>
      </c>
      <c r="U106" s="11">
        <v>0</v>
      </c>
      <c r="V106" s="1">
        <v>0</v>
      </c>
      <c r="W106" s="1">
        <v>0</v>
      </c>
      <c r="X106" s="1">
        <v>0</v>
      </c>
      <c r="Y106" s="1">
        <v>648.84292280610339</v>
      </c>
      <c r="Z106" s="1">
        <v>0</v>
      </c>
      <c r="AA106" s="1">
        <v>841.48805187020355</v>
      </c>
      <c r="AB106" s="1">
        <v>0</v>
      </c>
      <c r="AC106" s="1">
        <v>0</v>
      </c>
      <c r="AD106" s="1">
        <v>0</v>
      </c>
      <c r="AE106" s="1">
        <v>370.45686357928031</v>
      </c>
      <c r="AF106" s="1">
        <v>0</v>
      </c>
      <c r="AG106" s="1">
        <v>0</v>
      </c>
      <c r="AH106" s="1">
        <v>-847.24648250292421</v>
      </c>
      <c r="AI106" s="1">
        <v>0</v>
      </c>
      <c r="AJ106" s="1">
        <v>0</v>
      </c>
      <c r="AK106" s="1">
        <v>0</v>
      </c>
      <c r="AL106" s="1">
        <v>-497.85116079864474</v>
      </c>
      <c r="AM106" s="1">
        <v>377.87887706154999</v>
      </c>
      <c r="AN106" s="1">
        <v>0</v>
      </c>
      <c r="AO106" s="25">
        <v>922.01639272474574</v>
      </c>
      <c r="AP106" s="25">
        <v>1046.85015588344</v>
      </c>
      <c r="AQ106" s="25">
        <v>132.40209233814599</v>
      </c>
      <c r="AR106" s="25">
        <v>-179.54107350109825</v>
      </c>
      <c r="AS106" s="25">
        <v>-1033.3912083475161</v>
      </c>
      <c r="AT106" s="25">
        <v>-888.33635909771738</v>
      </c>
      <c r="AU106" s="25">
        <v>0</v>
      </c>
      <c r="AV106" s="25">
        <v>549.75800722589065</v>
      </c>
      <c r="AW106" s="25">
        <v>-549.75800722589065</v>
      </c>
      <c r="AX106" s="25">
        <v>0</v>
      </c>
      <c r="AY106" s="25">
        <v>966.83323842259324</v>
      </c>
      <c r="AZ106" s="45">
        <v>-966.83323842259324</v>
      </c>
    </row>
    <row r="107" spans="1:52">
      <c r="B107" s="79">
        <f t="shared" ref="B107:Q107" si="50">B73/$O37</f>
        <v>0</v>
      </c>
      <c r="C107" s="80">
        <f t="shared" si="50"/>
        <v>0</v>
      </c>
      <c r="D107" s="80">
        <f t="shared" si="50"/>
        <v>0</v>
      </c>
      <c r="E107" s="80">
        <f t="shared" si="50"/>
        <v>0</v>
      </c>
      <c r="F107" s="80">
        <f t="shared" si="50"/>
        <v>515.86132567538823</v>
      </c>
      <c r="G107" s="80">
        <f t="shared" si="50"/>
        <v>1313.1015562646246</v>
      </c>
      <c r="H107" s="80">
        <f t="shared" si="50"/>
        <v>450.97191274720495</v>
      </c>
      <c r="I107" s="80">
        <f t="shared" si="50"/>
        <v>-1233.2712888719334</v>
      </c>
      <c r="J107" s="80">
        <f t="shared" si="50"/>
        <v>0</v>
      </c>
      <c r="K107" s="80">
        <f t="shared" si="50"/>
        <v>0</v>
      </c>
      <c r="L107" s="80">
        <f t="shared" si="50"/>
        <v>0</v>
      </c>
      <c r="M107" s="80">
        <f t="shared" si="50"/>
        <v>0</v>
      </c>
      <c r="N107" s="80">
        <f t="shared" si="50"/>
        <v>0</v>
      </c>
      <c r="O107" s="80">
        <f t="shared" si="50"/>
        <v>0</v>
      </c>
      <c r="P107" s="80">
        <f t="shared" si="50"/>
        <v>-966.83323842259324</v>
      </c>
      <c r="Q107" s="97">
        <f t="shared" si="50"/>
        <v>-79.830267392691198</v>
      </c>
      <c r="S107" s="85">
        <f t="shared" si="39"/>
        <v>-1.7157709218906803</v>
      </c>
      <c r="U107" s="13">
        <v>0</v>
      </c>
      <c r="V107" s="14">
        <v>0</v>
      </c>
      <c r="W107" s="14">
        <v>0</v>
      </c>
      <c r="X107" s="14">
        <v>0</v>
      </c>
      <c r="Y107" s="14">
        <v>-551.27255847435902</v>
      </c>
      <c r="Z107" s="14">
        <v>0</v>
      </c>
      <c r="AA107" s="14">
        <v>165.20010834261663</v>
      </c>
      <c r="AB107" s="14">
        <v>0</v>
      </c>
      <c r="AC107" s="14">
        <v>0</v>
      </c>
      <c r="AD107" s="14">
        <v>0</v>
      </c>
      <c r="AE107" s="14">
        <v>771.36223649384431</v>
      </c>
      <c r="AF107" s="14">
        <v>0</v>
      </c>
      <c r="AG107" s="14">
        <v>0</v>
      </c>
      <c r="AH107" s="14">
        <v>141.20774708382086</v>
      </c>
      <c r="AI107" s="14">
        <v>0</v>
      </c>
      <c r="AJ107" s="14">
        <v>0</v>
      </c>
      <c r="AK107" s="14">
        <v>0</v>
      </c>
      <c r="AL107" s="14">
        <v>-665.16179680474545</v>
      </c>
      <c r="AM107" s="14">
        <v>-647.79236067694364</v>
      </c>
      <c r="AN107" s="14">
        <v>0</v>
      </c>
      <c r="AO107" s="32">
        <v>-1819.3415876375941</v>
      </c>
      <c r="AP107" s="32">
        <v>649.97050160191645</v>
      </c>
      <c r="AQ107" s="32">
        <v>704.37382458473132</v>
      </c>
      <c r="AR107" s="32">
        <v>846.80564353260843</v>
      </c>
      <c r="AS107" s="32">
        <v>326.93109152599556</v>
      </c>
      <c r="AT107" s="32">
        <v>-708.7394736076576</v>
      </c>
      <c r="AU107" s="32">
        <v>0</v>
      </c>
      <c r="AV107" s="32">
        <v>320.69217088176958</v>
      </c>
      <c r="AW107" s="32">
        <v>-320.69217088176958</v>
      </c>
      <c r="AX107" s="32">
        <v>0</v>
      </c>
      <c r="AY107" s="32">
        <v>79.830267392691198</v>
      </c>
      <c r="AZ107" s="49">
        <v>-79.830267392691198</v>
      </c>
    </row>
    <row r="109" spans="1:52">
      <c r="A109" s="23"/>
      <c r="B109" s="266" t="s">
        <v>48</v>
      </c>
      <c r="C109" s="267"/>
      <c r="D109" s="267"/>
      <c r="E109" s="267"/>
      <c r="F109" s="267"/>
      <c r="G109" s="267"/>
      <c r="H109" s="267"/>
      <c r="I109" s="267"/>
      <c r="J109" s="267"/>
      <c r="K109" s="267"/>
      <c r="L109" s="267"/>
      <c r="M109" s="267"/>
      <c r="N109" s="267"/>
      <c r="O109" s="267"/>
      <c r="P109" s="267"/>
      <c r="Q109" s="268"/>
      <c r="R109" s="257" t="s">
        <v>49</v>
      </c>
      <c r="S109" s="258"/>
      <c r="T109" s="259"/>
      <c r="V109" s="69" t="s">
        <v>50</v>
      </c>
    </row>
    <row r="110" spans="1:52">
      <c r="A110" s="23"/>
      <c r="B110" s="73" cm="1">
        <f t="array" ref="B110:Q125">MMULT(_xlfn.ANCHORARRAY(U92),B76:Q107)</f>
        <v>3529835.5879227901</v>
      </c>
      <c r="C110" s="9">
        <v>-1321071.9975940185</v>
      </c>
      <c r="D110" s="9">
        <v>-727167.84770956577</v>
      </c>
      <c r="E110" s="9">
        <v>-1704466.7431529325</v>
      </c>
      <c r="F110" s="9">
        <v>0</v>
      </c>
      <c r="G110" s="9">
        <v>0</v>
      </c>
      <c r="H110" s="9">
        <v>0</v>
      </c>
      <c r="I110" s="9">
        <v>0</v>
      </c>
      <c r="J110" s="9">
        <v>0</v>
      </c>
      <c r="K110" s="9">
        <v>0</v>
      </c>
      <c r="L110" s="9">
        <v>-60305.207298351786</v>
      </c>
      <c r="M110" s="9">
        <v>266347.99890105415</v>
      </c>
      <c r="N110" s="9">
        <v>-551395.99241820117</v>
      </c>
      <c r="O110" s="9">
        <v>1785040.8203876393</v>
      </c>
      <c r="P110" s="9">
        <v>-2190966.5404966711</v>
      </c>
      <c r="Q110" s="10">
        <v>974149.92145825725</v>
      </c>
      <c r="R110" s="8">
        <v>0</v>
      </c>
      <c r="S110" s="9">
        <v>0</v>
      </c>
      <c r="T110" s="10">
        <v>0</v>
      </c>
      <c r="V110" s="2" cm="1">
        <f t="array" ref="V110:V125">MMULT(_xlfn.ANCHORARRAY(U92),S76:S107)</f>
        <v>-2732.5985977803944</v>
      </c>
    </row>
    <row r="111" spans="1:52">
      <c r="A111" s="23"/>
      <c r="B111" s="11">
        <v>-1321071.9975940185</v>
      </c>
      <c r="C111" s="1">
        <v>2986537.5178467203</v>
      </c>
      <c r="D111" s="1">
        <v>-142881.14965464891</v>
      </c>
      <c r="E111" s="1">
        <v>556830.30585107603</v>
      </c>
      <c r="F111" s="1">
        <v>0</v>
      </c>
      <c r="G111" s="1">
        <v>0</v>
      </c>
      <c r="H111" s="1">
        <v>0</v>
      </c>
      <c r="I111" s="1">
        <v>0</v>
      </c>
      <c r="J111" s="1">
        <v>0</v>
      </c>
      <c r="K111" s="1">
        <v>0</v>
      </c>
      <c r="L111" s="1">
        <v>266347.99890105415</v>
      </c>
      <c r="M111" s="1">
        <v>-1176370.3284796574</v>
      </c>
      <c r="N111" s="1">
        <v>497031.56705191021</v>
      </c>
      <c r="O111" s="1">
        <v>-1166911.190013903</v>
      </c>
      <c r="P111" s="1">
        <v>700573.58129570296</v>
      </c>
      <c r="Q111" s="12">
        <v>-1200086.3052042355</v>
      </c>
      <c r="R111" s="11">
        <v>0</v>
      </c>
      <c r="S111" s="1">
        <v>0</v>
      </c>
      <c r="T111" s="12">
        <v>0</v>
      </c>
      <c r="V111" s="3">
        <v>140.64639679354275</v>
      </c>
      <c r="Y111" s="23"/>
      <c r="Z111" s="152" t="s">
        <v>51</v>
      </c>
      <c r="AA111" s="153" t="s">
        <v>52</v>
      </c>
      <c r="AB111" s="153" t="s">
        <v>53</v>
      </c>
      <c r="AC111" s="154" t="s">
        <v>54</v>
      </c>
      <c r="AD111" s="154" t="s">
        <v>55</v>
      </c>
      <c r="AE111" s="153" t="s">
        <v>56</v>
      </c>
      <c r="AF111" s="153" t="s">
        <v>45</v>
      </c>
      <c r="AG111" s="155" t="s">
        <v>57</v>
      </c>
    </row>
    <row r="112" spans="1:52">
      <c r="A112" s="23"/>
      <c r="B112" s="11">
        <v>-727167.84770956577</v>
      </c>
      <c r="C112" s="1">
        <v>-142881.14965464891</v>
      </c>
      <c r="D112" s="1">
        <v>1530177.4680679459</v>
      </c>
      <c r="E112" s="1">
        <v>258472.97635326046</v>
      </c>
      <c r="F112" s="1">
        <v>147487.76617952943</v>
      </c>
      <c r="G112" s="1">
        <v>8701.1161864720925</v>
      </c>
      <c r="H112" s="1">
        <v>-206153.7200646798</v>
      </c>
      <c r="I112" s="1">
        <v>280598.11897692544</v>
      </c>
      <c r="J112" s="1">
        <v>0</v>
      </c>
      <c r="K112" s="1">
        <v>0</v>
      </c>
      <c r="L112" s="1">
        <v>0</v>
      </c>
      <c r="M112" s="1">
        <v>0</v>
      </c>
      <c r="N112" s="1">
        <v>0</v>
      </c>
      <c r="O112" s="1">
        <v>0</v>
      </c>
      <c r="P112" s="1">
        <v>-744343.66647322965</v>
      </c>
      <c r="Q112" s="12">
        <v>-404891.06186200911</v>
      </c>
      <c r="R112" s="11">
        <v>0</v>
      </c>
      <c r="S112" s="1">
        <v>0</v>
      </c>
      <c r="T112" s="12">
        <v>0</v>
      </c>
      <c r="V112" s="3">
        <v>1157.4682694976977</v>
      </c>
      <c r="Y112" s="149" t="s">
        <v>58</v>
      </c>
      <c r="Z112" s="151">
        <v>9</v>
      </c>
      <c r="AA112" s="35">
        <f>VLOOKUP(Z112,$P$5:$R$13,2,FALSE)</f>
        <v>314</v>
      </c>
      <c r="AB112" s="35">
        <f>VLOOKUP(Z112,$P$5:$R$13,3,FALSE)</f>
        <v>271</v>
      </c>
      <c r="AC112" s="35">
        <f>AA113-AA112</f>
        <v>-169</v>
      </c>
      <c r="AD112" s="35">
        <f>AB113-AB112</f>
        <v>289</v>
      </c>
      <c r="AE112" s="35">
        <f>AC112^2+AD112^2</f>
        <v>112082</v>
      </c>
      <c r="AF112" s="111">
        <f>AD112/AE112*(200/PI()*10000)</f>
        <v>1641.5045610734196</v>
      </c>
      <c r="AG112" s="36">
        <f>-AC112/AE112*200/PI()*10000</f>
        <v>959.91097170037347</v>
      </c>
    </row>
    <row r="113" spans="1:33">
      <c r="A113" s="23"/>
      <c r="B113" s="11">
        <v>-1704466.7431529325</v>
      </c>
      <c r="C113" s="1">
        <v>556830.30585107603</v>
      </c>
      <c r="D113" s="1">
        <v>258472.97635326046</v>
      </c>
      <c r="E113" s="1">
        <v>4459685.7476002015</v>
      </c>
      <c r="F113" s="1">
        <v>1204860.2669617275</v>
      </c>
      <c r="G113" s="1">
        <v>-1467478.2348327856</v>
      </c>
      <c r="H113" s="1">
        <v>280598.11897692544</v>
      </c>
      <c r="I113" s="1">
        <v>-381925.21749637101</v>
      </c>
      <c r="J113" s="1">
        <v>0</v>
      </c>
      <c r="K113" s="1">
        <v>0</v>
      </c>
      <c r="L113" s="1">
        <v>0</v>
      </c>
      <c r="M113" s="1">
        <v>0</v>
      </c>
      <c r="N113" s="1">
        <v>0</v>
      </c>
      <c r="O113" s="1">
        <v>0</v>
      </c>
      <c r="P113" s="1">
        <v>-39464.619138981216</v>
      </c>
      <c r="Q113" s="12">
        <v>-3167112.6011221213</v>
      </c>
      <c r="R113" s="11">
        <v>0</v>
      </c>
      <c r="S113" s="1">
        <v>0</v>
      </c>
      <c r="T113" s="12">
        <v>0</v>
      </c>
      <c r="V113" s="3">
        <v>-408.63508354693045</v>
      </c>
      <c r="Y113" s="150" t="s">
        <v>59</v>
      </c>
      <c r="Z113" s="148">
        <v>6</v>
      </c>
      <c r="AA113" s="1">
        <f>VLOOKUP(Z113,$P$5:$R$13,2,FALSE)</f>
        <v>145</v>
      </c>
      <c r="AB113" s="1">
        <f>VLOOKUP(Z113,$P$5:$R$13,3,FALSE)</f>
        <v>560</v>
      </c>
      <c r="AC113" s="23"/>
      <c r="AD113" s="23"/>
      <c r="AE113" s="23"/>
      <c r="AF113" s="23"/>
      <c r="AG113" s="23"/>
    </row>
    <row r="114" spans="1:33">
      <c r="A114" s="23"/>
      <c r="B114" s="11">
        <v>0</v>
      </c>
      <c r="C114" s="1">
        <v>0</v>
      </c>
      <c r="D114" s="1">
        <v>147487.76617952943</v>
      </c>
      <c r="E114" s="1">
        <v>1204860.2669617275</v>
      </c>
      <c r="F114" s="1">
        <v>3197552.0289231595</v>
      </c>
      <c r="G114" s="1">
        <v>-313305.70778779115</v>
      </c>
      <c r="H114" s="1">
        <v>-1228688.3530575251</v>
      </c>
      <c r="I114" s="1">
        <v>-445656.71277180343</v>
      </c>
      <c r="J114" s="1">
        <v>0</v>
      </c>
      <c r="K114" s="1">
        <v>0</v>
      </c>
      <c r="L114" s="1">
        <v>-606699.84195809462</v>
      </c>
      <c r="M114" s="1">
        <v>-118960.75332511647</v>
      </c>
      <c r="N114" s="1">
        <v>0</v>
      </c>
      <c r="O114" s="1">
        <v>0</v>
      </c>
      <c r="P114" s="1">
        <v>-1509651.600087069</v>
      </c>
      <c r="Q114" s="12">
        <v>-326937.09307701665</v>
      </c>
      <c r="R114" s="11">
        <v>0</v>
      </c>
      <c r="S114" s="1">
        <v>0</v>
      </c>
      <c r="T114" s="12">
        <v>0</v>
      </c>
      <c r="V114" s="3">
        <v>-3237.8524528094963</v>
      </c>
    </row>
    <row r="115" spans="1:33">
      <c r="A115" s="23"/>
      <c r="B115" s="11">
        <v>0</v>
      </c>
      <c r="C115" s="1">
        <v>0</v>
      </c>
      <c r="D115" s="1">
        <v>8701.1161864720925</v>
      </c>
      <c r="E115" s="1">
        <v>-1467478.2348327856</v>
      </c>
      <c r="F115" s="1">
        <v>-313305.70778779115</v>
      </c>
      <c r="G115" s="1">
        <v>3742623.9877829831</v>
      </c>
      <c r="H115" s="1">
        <v>1453154.5011317134</v>
      </c>
      <c r="I115" s="1">
        <v>-1670577.4059056763</v>
      </c>
      <c r="J115" s="1">
        <v>0</v>
      </c>
      <c r="K115" s="1">
        <v>0</v>
      </c>
      <c r="L115" s="1">
        <v>-118960.75332511647</v>
      </c>
      <c r="M115" s="1">
        <v>-23325.637906885557</v>
      </c>
      <c r="N115" s="1">
        <v>0</v>
      </c>
      <c r="O115" s="1">
        <v>0</v>
      </c>
      <c r="P115" s="1">
        <v>-1029589.156205278</v>
      </c>
      <c r="Q115" s="12">
        <v>-581242.709137636</v>
      </c>
      <c r="R115" s="11">
        <v>0</v>
      </c>
      <c r="S115" s="1">
        <v>0</v>
      </c>
      <c r="T115" s="12">
        <v>0</v>
      </c>
      <c r="V115" s="3">
        <v>22.251975872794901</v>
      </c>
    </row>
    <row r="116" spans="1:33">
      <c r="A116" s="23"/>
      <c r="B116" s="11">
        <v>0</v>
      </c>
      <c r="C116" s="1">
        <v>0</v>
      </c>
      <c r="D116" s="1">
        <v>-206153.7200646798</v>
      </c>
      <c r="E116" s="1">
        <v>280598.11897692544</v>
      </c>
      <c r="F116" s="1">
        <v>-1228688.3530575251</v>
      </c>
      <c r="G116" s="1">
        <v>1453154.5011317134</v>
      </c>
      <c r="H116" s="1">
        <v>6377052.0806033146</v>
      </c>
      <c r="I116" s="1">
        <v>60080.069103766815</v>
      </c>
      <c r="J116" s="1">
        <v>-1392391.9154057975</v>
      </c>
      <c r="K116" s="1">
        <v>-1871079.3799337749</v>
      </c>
      <c r="L116" s="1">
        <v>-2467755.5804956895</v>
      </c>
      <c r="M116" s="1">
        <v>153229.9907167496</v>
      </c>
      <c r="N116" s="1">
        <v>0</v>
      </c>
      <c r="O116" s="1">
        <v>0</v>
      </c>
      <c r="P116" s="1">
        <v>-1082062.5115796223</v>
      </c>
      <c r="Q116" s="12">
        <v>-75983.299995380643</v>
      </c>
      <c r="R116" s="11">
        <v>0</v>
      </c>
      <c r="S116" s="1">
        <v>0</v>
      </c>
      <c r="T116" s="12">
        <v>0</v>
      </c>
      <c r="V116" s="3">
        <v>235.30039842295946</v>
      </c>
    </row>
    <row r="117" spans="1:33">
      <c r="A117" s="23"/>
      <c r="B117" s="11">
        <v>0</v>
      </c>
      <c r="C117" s="1">
        <v>0</v>
      </c>
      <c r="D117" s="1">
        <v>280598.11897692544</v>
      </c>
      <c r="E117" s="1">
        <v>-381925.21749637101</v>
      </c>
      <c r="F117" s="1">
        <v>-445656.71277180343</v>
      </c>
      <c r="G117" s="1">
        <v>-1670577.4059056763</v>
      </c>
      <c r="H117" s="1">
        <v>60080.069103766815</v>
      </c>
      <c r="I117" s="1">
        <v>5042162.4770097015</v>
      </c>
      <c r="J117" s="1">
        <v>206717.33386082284</v>
      </c>
      <c r="K117" s="1">
        <v>-1289173.0999804328</v>
      </c>
      <c r="L117" s="1">
        <v>419604.13171809318</v>
      </c>
      <c r="M117" s="1">
        <v>-1351047.3176757013</v>
      </c>
      <c r="N117" s="1">
        <v>0</v>
      </c>
      <c r="O117" s="1">
        <v>0</v>
      </c>
      <c r="P117" s="1">
        <v>-521342.94088780507</v>
      </c>
      <c r="Q117" s="12">
        <v>-349439.43595151976</v>
      </c>
      <c r="R117" s="11">
        <v>0</v>
      </c>
      <c r="S117" s="1">
        <v>0</v>
      </c>
      <c r="T117" s="12">
        <v>0</v>
      </c>
      <c r="V117" s="3">
        <v>4651.5166145749708</v>
      </c>
    </row>
    <row r="118" spans="1:33">
      <c r="A118" s="23"/>
      <c r="B118" s="11">
        <v>0</v>
      </c>
      <c r="C118" s="1">
        <v>0</v>
      </c>
      <c r="D118" s="1">
        <v>0</v>
      </c>
      <c r="E118" s="1">
        <v>0</v>
      </c>
      <c r="F118" s="1">
        <v>0</v>
      </c>
      <c r="G118" s="1">
        <v>0</v>
      </c>
      <c r="H118" s="1">
        <v>-1392391.9154057975</v>
      </c>
      <c r="I118" s="1">
        <v>206717.33386082284</v>
      </c>
      <c r="J118" s="1">
        <v>1701793.3868240844</v>
      </c>
      <c r="K118" s="1">
        <v>7240.3260361686116</v>
      </c>
      <c r="L118" s="1">
        <v>-834516.91488046269</v>
      </c>
      <c r="M118" s="1">
        <v>-668089.34624797455</v>
      </c>
      <c r="N118" s="1">
        <v>333331.8231710103</v>
      </c>
      <c r="O118" s="1">
        <v>14175.26468405878</v>
      </c>
      <c r="P118" s="1">
        <v>191783.62029116554</v>
      </c>
      <c r="Q118" s="12">
        <v>439956.42166692443</v>
      </c>
      <c r="R118" s="11">
        <v>0</v>
      </c>
      <c r="S118" s="1">
        <v>0</v>
      </c>
      <c r="T118" s="96">
        <f>J128</f>
        <v>-1641.5045610734196</v>
      </c>
      <c r="V118" s="3">
        <v>-230.03022489782555</v>
      </c>
      <c r="Y118" s="21" t="s">
        <v>60</v>
      </c>
    </row>
    <row r="119" spans="1:33">
      <c r="A119" s="23"/>
      <c r="B119" s="11">
        <v>0</v>
      </c>
      <c r="C119" s="1">
        <v>0</v>
      </c>
      <c r="D119" s="1">
        <v>0</v>
      </c>
      <c r="E119" s="1">
        <v>0</v>
      </c>
      <c r="F119" s="1">
        <v>0</v>
      </c>
      <c r="G119" s="1">
        <v>0</v>
      </c>
      <c r="H119" s="1">
        <v>-1871079.3799337749</v>
      </c>
      <c r="I119" s="1">
        <v>-1289173.0999804328</v>
      </c>
      <c r="J119" s="1">
        <v>7240.3260361686116</v>
      </c>
      <c r="K119" s="1">
        <v>3931596.8471509041</v>
      </c>
      <c r="L119" s="1">
        <v>1048095.1029333562</v>
      </c>
      <c r="M119" s="1">
        <v>-1893001.5849928446</v>
      </c>
      <c r="N119" s="1">
        <v>156700.7037369154</v>
      </c>
      <c r="O119" s="1">
        <v>-571436.66811286635</v>
      </c>
      <c r="P119" s="1">
        <v>659043.24722733488</v>
      </c>
      <c r="Q119" s="12">
        <v>-177985.49406476028</v>
      </c>
      <c r="R119" s="11">
        <v>0</v>
      </c>
      <c r="S119" s="1">
        <v>0</v>
      </c>
      <c r="T119" s="96">
        <f>K128</f>
        <v>-959.91097170037347</v>
      </c>
      <c r="V119" s="3">
        <v>-2370.7655555576466</v>
      </c>
      <c r="Y119" s="75" cm="1">
        <f t="array" ref="Y119:Y150">MMULT(B76:Q107,_xlfn.ANCHORARRAY(V131))+S76:S107</f>
        <v>1.1096535842044701</v>
      </c>
    </row>
    <row r="120" spans="1:33">
      <c r="A120" s="23"/>
      <c r="B120" s="11">
        <v>-60305.207298351786</v>
      </c>
      <c r="C120" s="1">
        <v>266347.99890105415</v>
      </c>
      <c r="D120" s="1">
        <v>0</v>
      </c>
      <c r="E120" s="1">
        <v>0</v>
      </c>
      <c r="F120" s="1">
        <v>-606699.84195809462</v>
      </c>
      <c r="G120" s="1">
        <v>-118960.75332511647</v>
      </c>
      <c r="H120" s="1">
        <v>-2467755.5804956895</v>
      </c>
      <c r="I120" s="1">
        <v>419604.13171809318</v>
      </c>
      <c r="J120" s="1">
        <v>-834516.91488046269</v>
      </c>
      <c r="K120" s="1">
        <v>1048095.1029333562</v>
      </c>
      <c r="L120" s="1">
        <v>7233417.6956599038</v>
      </c>
      <c r="M120" s="1">
        <v>183839.16970383108</v>
      </c>
      <c r="N120" s="1">
        <v>-641554.03692130232</v>
      </c>
      <c r="O120" s="1">
        <v>-1300053.589493115</v>
      </c>
      <c r="P120" s="1">
        <v>-2622586.1141060032</v>
      </c>
      <c r="Q120" s="12">
        <v>-498872.0604381031</v>
      </c>
      <c r="R120" s="11">
        <v>0</v>
      </c>
      <c r="S120" s="1">
        <v>0</v>
      </c>
      <c r="T120" s="12">
        <v>0</v>
      </c>
      <c r="V120" s="3">
        <v>1381.0073700955072</v>
      </c>
      <c r="Y120" s="3">
        <v>-0.30866690578846046</v>
      </c>
    </row>
    <row r="121" spans="1:33">
      <c r="A121" s="23"/>
      <c r="B121" s="11">
        <v>266347.99890105415</v>
      </c>
      <c r="C121" s="1">
        <v>-1176370.3284796574</v>
      </c>
      <c r="D121" s="1">
        <v>0</v>
      </c>
      <c r="E121" s="1">
        <v>0</v>
      </c>
      <c r="F121" s="1">
        <v>-118960.75332511647</v>
      </c>
      <c r="G121" s="1">
        <v>-23325.637906885557</v>
      </c>
      <c r="H121" s="1">
        <v>153229.9907167496</v>
      </c>
      <c r="I121" s="1">
        <v>-1351047.3176757013</v>
      </c>
      <c r="J121" s="1">
        <v>-668089.34624797455</v>
      </c>
      <c r="K121" s="1">
        <v>-1893001.5849928446</v>
      </c>
      <c r="L121" s="1">
        <v>183839.16970383108</v>
      </c>
      <c r="M121" s="1">
        <v>7842926.8281508982</v>
      </c>
      <c r="N121" s="1">
        <v>-227611.33802902643</v>
      </c>
      <c r="O121" s="1">
        <v>-2619099.022196786</v>
      </c>
      <c r="P121" s="1">
        <v>411244.27828048274</v>
      </c>
      <c r="Q121" s="12">
        <v>-780082.93689902383</v>
      </c>
      <c r="R121" s="11">
        <v>0</v>
      </c>
      <c r="S121" s="1">
        <v>0</v>
      </c>
      <c r="T121" s="12">
        <v>0</v>
      </c>
      <c r="V121" s="3">
        <v>-2156.4891883735745</v>
      </c>
      <c r="Y121" s="3">
        <v>8.2019896589878738E-2</v>
      </c>
    </row>
    <row r="122" spans="1:33">
      <c r="A122" s="23"/>
      <c r="B122" s="11">
        <v>-551395.99241820117</v>
      </c>
      <c r="C122" s="1">
        <v>497031.56705191021</v>
      </c>
      <c r="D122" s="1">
        <v>0</v>
      </c>
      <c r="E122" s="1">
        <v>0</v>
      </c>
      <c r="F122" s="1">
        <v>0</v>
      </c>
      <c r="G122" s="1">
        <v>0</v>
      </c>
      <c r="H122" s="1">
        <v>0</v>
      </c>
      <c r="I122" s="1">
        <v>0</v>
      </c>
      <c r="J122" s="1">
        <v>333331.8231710103</v>
      </c>
      <c r="K122" s="1">
        <v>156700.7037369154</v>
      </c>
      <c r="L122" s="1">
        <v>-641554.03692130232</v>
      </c>
      <c r="M122" s="1">
        <v>-227611.33802902643</v>
      </c>
      <c r="N122" s="1">
        <v>1603418.2072534848</v>
      </c>
      <c r="O122" s="1">
        <v>-541984.55080570292</v>
      </c>
      <c r="P122" s="1">
        <v>-743800.0010849915</v>
      </c>
      <c r="Q122" s="12">
        <v>115863.61804590373</v>
      </c>
      <c r="R122" s="11">
        <v>0</v>
      </c>
      <c r="S122" s="1">
        <v>0</v>
      </c>
      <c r="T122" s="12">
        <v>0</v>
      </c>
      <c r="V122" s="3">
        <v>104.94010075610322</v>
      </c>
      <c r="Y122" s="3">
        <v>0.11707856230371494</v>
      </c>
    </row>
    <row r="123" spans="1:33">
      <c r="A123" s="23"/>
      <c r="B123" s="11">
        <v>1785040.8203876393</v>
      </c>
      <c r="C123" s="1">
        <v>-1166911.190013903</v>
      </c>
      <c r="D123" s="1">
        <v>0</v>
      </c>
      <c r="E123" s="1">
        <v>0</v>
      </c>
      <c r="F123" s="1">
        <v>0</v>
      </c>
      <c r="G123" s="1">
        <v>0</v>
      </c>
      <c r="H123" s="1">
        <v>0</v>
      </c>
      <c r="I123" s="1">
        <v>0</v>
      </c>
      <c r="J123" s="1">
        <v>14175.26468405878</v>
      </c>
      <c r="K123" s="1">
        <v>-571436.66811286635</v>
      </c>
      <c r="L123" s="1">
        <v>-1300053.589493115</v>
      </c>
      <c r="M123" s="1">
        <v>-2619099.022196786</v>
      </c>
      <c r="N123" s="1">
        <v>-541984.55080570292</v>
      </c>
      <c r="O123" s="1">
        <v>5683020.4019816006</v>
      </c>
      <c r="P123" s="1">
        <v>42822.055227119708</v>
      </c>
      <c r="Q123" s="12">
        <v>-1325573.5216580448</v>
      </c>
      <c r="R123" s="11">
        <v>0</v>
      </c>
      <c r="S123" s="1">
        <v>0</v>
      </c>
      <c r="T123" s="12">
        <v>0</v>
      </c>
      <c r="V123" s="3">
        <v>3273.295223438698</v>
      </c>
      <c r="Y123" s="3">
        <v>-0.38494389272437546</v>
      </c>
    </row>
    <row r="124" spans="1:33">
      <c r="A124" s="23"/>
      <c r="B124" s="11">
        <v>-2190966.5404966711</v>
      </c>
      <c r="C124" s="1">
        <v>700573.58129570296</v>
      </c>
      <c r="D124" s="1">
        <v>-744343.66647322965</v>
      </c>
      <c r="E124" s="1">
        <v>-39464.619138981216</v>
      </c>
      <c r="F124" s="1">
        <v>-1509651.600087069</v>
      </c>
      <c r="G124" s="1">
        <v>-1029589.156205278</v>
      </c>
      <c r="H124" s="1">
        <v>-1082062.5115796223</v>
      </c>
      <c r="I124" s="1">
        <v>-521342.94088780507</v>
      </c>
      <c r="J124" s="1">
        <v>191783.62029116554</v>
      </c>
      <c r="K124" s="1">
        <v>659043.24722733488</v>
      </c>
      <c r="L124" s="1">
        <v>-2622586.1141060032</v>
      </c>
      <c r="M124" s="1">
        <v>411244.27828048274</v>
      </c>
      <c r="N124" s="1">
        <v>-743800.0010849915</v>
      </c>
      <c r="O124" s="1">
        <v>42822.055227119708</v>
      </c>
      <c r="P124" s="1">
        <v>8701626.8135364205</v>
      </c>
      <c r="Q124" s="12">
        <v>-223286.44579857611</v>
      </c>
      <c r="R124" s="11">
        <v>1</v>
      </c>
      <c r="S124" s="1">
        <v>0</v>
      </c>
      <c r="T124" s="96">
        <f>P128</f>
        <v>1641.5045610734196</v>
      </c>
      <c r="V124" s="3">
        <v>3321.765136715449</v>
      </c>
      <c r="Y124" s="3">
        <v>1.473813179381696</v>
      </c>
    </row>
    <row r="125" spans="1:33">
      <c r="A125" s="23"/>
      <c r="B125" s="13">
        <v>974149.92145825725</v>
      </c>
      <c r="C125" s="14">
        <v>-1200086.3052042355</v>
      </c>
      <c r="D125" s="14">
        <v>-404891.06186200911</v>
      </c>
      <c r="E125" s="14">
        <v>-3167112.6011221213</v>
      </c>
      <c r="F125" s="14">
        <v>-326937.09307701665</v>
      </c>
      <c r="G125" s="14">
        <v>-581242.709137636</v>
      </c>
      <c r="H125" s="14">
        <v>-75983.299995380643</v>
      </c>
      <c r="I125" s="14">
        <v>-349439.43595151976</v>
      </c>
      <c r="J125" s="14">
        <v>439956.42166692443</v>
      </c>
      <c r="K125" s="14">
        <v>-177985.49406476028</v>
      </c>
      <c r="L125" s="14">
        <v>-498872.0604381031</v>
      </c>
      <c r="M125" s="14">
        <v>-780082.93689902383</v>
      </c>
      <c r="N125" s="14">
        <v>115863.61804590373</v>
      </c>
      <c r="O125" s="14">
        <v>-1325573.5216580448</v>
      </c>
      <c r="P125" s="14">
        <v>-223286.44579857611</v>
      </c>
      <c r="Q125" s="15">
        <v>7581523.004037343</v>
      </c>
      <c r="R125" s="13">
        <v>0</v>
      </c>
      <c r="S125" s="14">
        <v>1</v>
      </c>
      <c r="T125" s="97">
        <f>Q128</f>
        <v>959.91097170037347</v>
      </c>
      <c r="V125" s="4">
        <v>-3151.8203832018557</v>
      </c>
      <c r="Y125" s="3">
        <v>2.0682107123926041E-3</v>
      </c>
    </row>
    <row r="126" spans="1:33" ht="25.75" customHeight="1">
      <c r="A126" s="260" t="s">
        <v>61</v>
      </c>
      <c r="B126" s="8">
        <v>0</v>
      </c>
      <c r="C126" s="9">
        <v>0</v>
      </c>
      <c r="D126" s="9">
        <v>0</v>
      </c>
      <c r="E126" s="9">
        <v>0</v>
      </c>
      <c r="F126" s="9">
        <v>0</v>
      </c>
      <c r="G126" s="9">
        <v>0</v>
      </c>
      <c r="H126" s="9">
        <v>0</v>
      </c>
      <c r="I126" s="9">
        <v>0</v>
      </c>
      <c r="J126" s="9">
        <v>0</v>
      </c>
      <c r="K126" s="9">
        <v>0</v>
      </c>
      <c r="L126" s="9">
        <v>0</v>
      </c>
      <c r="M126" s="9">
        <v>0</v>
      </c>
      <c r="N126" s="9">
        <v>0</v>
      </c>
      <c r="O126" s="9">
        <v>0</v>
      </c>
      <c r="P126" s="9">
        <v>1</v>
      </c>
      <c r="Q126" s="10">
        <v>0</v>
      </c>
      <c r="R126" s="23">
        <v>0</v>
      </c>
      <c r="S126" s="23">
        <v>0</v>
      </c>
      <c r="T126" s="23">
        <v>0</v>
      </c>
      <c r="Y126" s="3">
        <v>-1.1894584909427306</v>
      </c>
    </row>
    <row r="127" spans="1:33">
      <c r="A127" s="261"/>
      <c r="B127" s="11">
        <v>0</v>
      </c>
      <c r="C127" s="1">
        <v>0</v>
      </c>
      <c r="D127" s="1">
        <v>0</v>
      </c>
      <c r="E127" s="1">
        <v>0</v>
      </c>
      <c r="F127" s="1">
        <v>0</v>
      </c>
      <c r="G127" s="1">
        <v>0</v>
      </c>
      <c r="H127" s="1">
        <v>0</v>
      </c>
      <c r="I127" s="1">
        <v>0</v>
      </c>
      <c r="J127" s="1">
        <v>0</v>
      </c>
      <c r="K127" s="1">
        <v>0</v>
      </c>
      <c r="L127" s="1">
        <v>0</v>
      </c>
      <c r="M127" s="1">
        <v>0</v>
      </c>
      <c r="N127" s="1">
        <v>0</v>
      </c>
      <c r="O127" s="1">
        <v>0</v>
      </c>
      <c r="P127" s="1">
        <v>0</v>
      </c>
      <c r="Q127" s="12">
        <v>1</v>
      </c>
      <c r="R127" s="23">
        <v>0</v>
      </c>
      <c r="S127" s="23">
        <v>0</v>
      </c>
      <c r="T127" s="23">
        <v>0</v>
      </c>
      <c r="Y127" s="3">
        <v>-0.68269565053967174</v>
      </c>
    </row>
    <row r="128" spans="1:33">
      <c r="A128" s="262"/>
      <c r="B128" s="13">
        <v>0</v>
      </c>
      <c r="C128" s="14">
        <v>0</v>
      </c>
      <c r="D128" s="14">
        <v>0</v>
      </c>
      <c r="E128" s="14">
        <v>0</v>
      </c>
      <c r="F128" s="14">
        <v>0</v>
      </c>
      <c r="G128" s="14">
        <v>0</v>
      </c>
      <c r="H128" s="14">
        <v>0</v>
      </c>
      <c r="I128" s="14">
        <v>0</v>
      </c>
      <c r="J128" s="80">
        <f>-AF112</f>
        <v>-1641.5045610734196</v>
      </c>
      <c r="K128" s="80">
        <f>-AG112</f>
        <v>-959.91097170037347</v>
      </c>
      <c r="L128" s="31">
        <v>0</v>
      </c>
      <c r="M128" s="31">
        <v>0</v>
      </c>
      <c r="N128" s="31">
        <v>0</v>
      </c>
      <c r="O128" s="31">
        <v>0</v>
      </c>
      <c r="P128" s="80">
        <f>AF112</f>
        <v>1641.5045610734196</v>
      </c>
      <c r="Q128" s="97">
        <f>AG112</f>
        <v>959.91097170037347</v>
      </c>
      <c r="R128" s="23">
        <v>0</v>
      </c>
      <c r="S128" s="23">
        <v>0</v>
      </c>
      <c r="T128" s="23">
        <v>0</v>
      </c>
      <c r="Y128" s="3">
        <v>-0.12232426692849008</v>
      </c>
    </row>
    <row r="129" spans="2:31">
      <c r="V129" s="23"/>
      <c r="W129" s="23"/>
      <c r="X129" s="23"/>
      <c r="Y129" s="3">
        <v>-1.1222947226809956</v>
      </c>
      <c r="Z129" s="23"/>
      <c r="AA129" s="21" t="s">
        <v>62</v>
      </c>
      <c r="AB129" s="87" cm="1">
        <f t="array" ref="AB129">MMULT(TRANSPOSE(_xlfn.ANCHORARRAY(Y119)),S76:S107)</f>
        <v>16.225205536485568</v>
      </c>
      <c r="AC129" s="23"/>
      <c r="AD129" s="23"/>
      <c r="AE129" s="23"/>
    </row>
    <row r="130" spans="2:31">
      <c r="B130" s="269" t="s">
        <v>63</v>
      </c>
      <c r="C130" s="270"/>
      <c r="D130" s="270"/>
      <c r="E130" s="270"/>
      <c r="F130" s="270"/>
      <c r="G130" s="270"/>
      <c r="H130" s="270"/>
      <c r="I130" s="270"/>
      <c r="J130" s="270"/>
      <c r="K130" s="270"/>
      <c r="L130" s="270"/>
      <c r="M130" s="270"/>
      <c r="N130" s="270"/>
      <c r="O130" s="270"/>
      <c r="P130" s="270"/>
      <c r="Q130" s="271"/>
      <c r="R130" s="257" t="s">
        <v>64</v>
      </c>
      <c r="S130" s="258"/>
      <c r="T130" s="259"/>
      <c r="V130" s="69" t="s">
        <v>52</v>
      </c>
      <c r="W130" s="69" t="s">
        <v>65</v>
      </c>
      <c r="X130" s="23"/>
      <c r="Y130" s="3">
        <v>-0.3844016225836423</v>
      </c>
      <c r="Z130" s="23"/>
      <c r="AA130" s="21" t="s">
        <v>66</v>
      </c>
      <c r="AB130" s="88" cm="1">
        <f t="array" ref="AB130">MMULT(TRANSPOSE(_xlfn.ANCHORARRAY(Y119)),_xlfn.ANCHORARRAY(Y119))</f>
        <v>16.225205536485568</v>
      </c>
      <c r="AC130" s="23"/>
      <c r="AD130" s="23"/>
      <c r="AE130" s="23"/>
    </row>
    <row r="131" spans="2:31">
      <c r="B131" s="64" cm="1">
        <f t="array" ref="B131:T149">MINVERSE(B110:T128)</f>
        <v>7.0937256432491892E-7</v>
      </c>
      <c r="C131" s="65">
        <v>1.121397068893093E-7</v>
      </c>
      <c r="D131" s="65">
        <v>2.8500866876614593E-7</v>
      </c>
      <c r="E131" s="65">
        <v>3.6070100325988149E-7</v>
      </c>
      <c r="F131" s="65">
        <v>-1.9613534351050533E-7</v>
      </c>
      <c r="G131" s="65">
        <v>1.7622201642534499E-7</v>
      </c>
      <c r="H131" s="65">
        <v>-1.2385263718289503E-7</v>
      </c>
      <c r="I131" s="65">
        <v>1.5580359537025929E-8</v>
      </c>
      <c r="J131" s="65">
        <v>3.7491582730050704E-8</v>
      </c>
      <c r="K131" s="65">
        <v>-6.4112824905234563E-8</v>
      </c>
      <c r="L131" s="65">
        <v>-7.9873979939339601E-8</v>
      </c>
      <c r="M131" s="65">
        <v>-1.0123000956984421E-7</v>
      </c>
      <c r="N131" s="65">
        <v>7.1956857248335553E-8</v>
      </c>
      <c r="O131" s="65">
        <v>-2.6439147490238449E-7</v>
      </c>
      <c r="P131" s="65">
        <v>0</v>
      </c>
      <c r="Q131" s="66">
        <v>0</v>
      </c>
      <c r="R131" s="64">
        <v>1.0000000000000002</v>
      </c>
      <c r="S131" s="65">
        <v>3.2980380793158127E-17</v>
      </c>
      <c r="T131" s="66">
        <v>2.3974069261783757E-4</v>
      </c>
      <c r="V131" s="92" cm="1">
        <f t="array" ref="V131:V146">-MMULT(B131:Q146,_xlfn.ANCHORARRAY(V110))</f>
        <v>1.6643697514593884E-3</v>
      </c>
      <c r="W131" s="89">
        <f>$AB$131*SQRT(INDEX($B$131:$Q$146,1,1))</f>
        <v>7.7831517287142466E-4</v>
      </c>
      <c r="X131" s="23"/>
      <c r="Y131" s="3">
        <v>-7.3301297134774512E-2</v>
      </c>
      <c r="Z131" s="23"/>
      <c r="AA131" s="21" t="s">
        <v>67</v>
      </c>
      <c r="AB131" s="88">
        <f>SQRT(AB130/(32-16+3))</f>
        <v>0.9240985803099252</v>
      </c>
      <c r="AC131" s="23"/>
      <c r="AD131" s="23"/>
      <c r="AE131" s="23"/>
    </row>
    <row r="132" spans="2:31">
      <c r="B132" s="67">
        <v>1.1213970688930933E-7</v>
      </c>
      <c r="C132" s="25">
        <v>5.191789604301037E-7</v>
      </c>
      <c r="D132" s="25">
        <v>8.9342713566951484E-8</v>
      </c>
      <c r="E132" s="25">
        <v>-1.6710103119932919E-8</v>
      </c>
      <c r="F132" s="25">
        <v>1.7713321356590608E-8</v>
      </c>
      <c r="G132" s="25">
        <v>2.7249009979005816E-8</v>
      </c>
      <c r="H132" s="25">
        <v>3.6049359117109693E-9</v>
      </c>
      <c r="I132" s="25">
        <v>7.5651807369609969E-8</v>
      </c>
      <c r="J132" s="25">
        <v>-5.9345234088007678E-8</v>
      </c>
      <c r="K132" s="25">
        <v>1.0148386184280598E-7</v>
      </c>
      <c r="L132" s="25">
        <v>-2.4967957595758246E-8</v>
      </c>
      <c r="M132" s="25">
        <v>1.525678939595194E-7</v>
      </c>
      <c r="N132" s="25">
        <v>-6.0781615129687045E-8</v>
      </c>
      <c r="O132" s="25">
        <v>1.4053841171907271E-7</v>
      </c>
      <c r="P132" s="25">
        <v>0</v>
      </c>
      <c r="Q132" s="45">
        <v>0</v>
      </c>
      <c r="R132" s="67">
        <v>-1.7517550661276619E-17</v>
      </c>
      <c r="S132" s="25">
        <v>1.0000000000000002</v>
      </c>
      <c r="T132" s="45">
        <v>-1.1513862211251405E-4</v>
      </c>
      <c r="V132" s="93">
        <v>-3.6034728936044339E-5</v>
      </c>
      <c r="W132" s="90">
        <f>$AB$131*SQRT(INDEX($B$131:$Q$146,2,2))</f>
        <v>6.6585067644793733E-4</v>
      </c>
      <c r="X132" s="23"/>
      <c r="Y132" s="3">
        <v>-0.22474638111545608</v>
      </c>
      <c r="Z132" s="23"/>
      <c r="AA132" s="23"/>
      <c r="AB132" s="23"/>
      <c r="AC132" s="23"/>
      <c r="AD132" s="23"/>
      <c r="AE132" s="23"/>
    </row>
    <row r="133" spans="2:31">
      <c r="B133" s="67">
        <v>2.8500866876614598E-7</v>
      </c>
      <c r="C133" s="25">
        <v>8.934271356695151E-8</v>
      </c>
      <c r="D133" s="25">
        <v>8.1352374013997067E-7</v>
      </c>
      <c r="E133" s="25">
        <v>5.0805393440267219E-8</v>
      </c>
      <c r="F133" s="25">
        <v>-7.0703083788514662E-8</v>
      </c>
      <c r="G133" s="25">
        <v>-3.2227601660549351E-8</v>
      </c>
      <c r="H133" s="25">
        <v>1.0172957566373852E-8</v>
      </c>
      <c r="I133" s="25">
        <v>-8.9621196798398872E-8</v>
      </c>
      <c r="J133" s="25">
        <v>3.3391002893170691E-8</v>
      </c>
      <c r="K133" s="25">
        <v>-5.7100590746309624E-8</v>
      </c>
      <c r="L133" s="25">
        <v>-9.3391231973262145E-10</v>
      </c>
      <c r="M133" s="25">
        <v>-5.6943153701596498E-8</v>
      </c>
      <c r="N133" s="25">
        <v>2.6377810494167719E-8</v>
      </c>
      <c r="O133" s="25">
        <v>-1.0094233017430282E-7</v>
      </c>
      <c r="P133" s="25">
        <v>0</v>
      </c>
      <c r="Q133" s="45">
        <v>0</v>
      </c>
      <c r="R133" s="67">
        <v>1.0000000000000002</v>
      </c>
      <c r="S133" s="25">
        <v>-1.3317205879620127E-16</v>
      </c>
      <c r="T133" s="45">
        <v>4.2585517767642244E-5</v>
      </c>
      <c r="V133" s="93">
        <v>1.1010049564701439E-4</v>
      </c>
      <c r="W133" s="90">
        <f>$AB$131*SQRT(INDEX($B$131:$Q$146,3,3))</f>
        <v>8.3349580533095022E-4</v>
      </c>
      <c r="X133" s="23"/>
      <c r="Y133" s="3">
        <v>1.0167600693987231</v>
      </c>
      <c r="Z133" s="23"/>
      <c r="AA133" s="69" t="s">
        <v>68</v>
      </c>
      <c r="AB133" s="23"/>
      <c r="AC133" s="23"/>
      <c r="AD133" s="23"/>
      <c r="AE133" s="23"/>
    </row>
    <row r="134" spans="2:31">
      <c r="B134" s="67">
        <v>3.6070100325988149E-7</v>
      </c>
      <c r="C134" s="25">
        <v>-1.6710103119932889E-8</v>
      </c>
      <c r="D134" s="25">
        <v>5.0805393440267186E-8</v>
      </c>
      <c r="E134" s="25">
        <v>5.5948295359226873E-7</v>
      </c>
      <c r="F134" s="25">
        <v>-2.5978881157323606E-7</v>
      </c>
      <c r="G134" s="25">
        <v>3.2142083262299329E-7</v>
      </c>
      <c r="H134" s="25">
        <v>-1.8924598264020933E-7</v>
      </c>
      <c r="I134" s="25">
        <v>1.2136684741000072E-7</v>
      </c>
      <c r="J134" s="25">
        <v>2.5426291305167339E-9</v>
      </c>
      <c r="K134" s="25">
        <v>-4.3480462646114161E-9</v>
      </c>
      <c r="L134" s="25">
        <v>-1.0897211721223727E-7</v>
      </c>
      <c r="M134" s="25">
        <v>-4.4128145393864146E-8</v>
      </c>
      <c r="N134" s="25">
        <v>2.5155511183169962E-8</v>
      </c>
      <c r="O134" s="25">
        <v>-1.6003771030711067E-7</v>
      </c>
      <c r="P134" s="25">
        <v>0</v>
      </c>
      <c r="Q134" s="45">
        <v>0</v>
      </c>
      <c r="R134" s="67">
        <v>2.5688753421001923E-16</v>
      </c>
      <c r="S134" s="25">
        <v>1.0000000000000004</v>
      </c>
      <c r="T134" s="45">
        <v>2.5551310660585318E-4</v>
      </c>
      <c r="V134" s="93">
        <v>3.5631662536215721E-4</v>
      </c>
      <c r="W134" s="90">
        <f>$AB$131*SQRT(INDEX($B$131:$Q$146,4,4))</f>
        <v>6.9121273731085654E-4</v>
      </c>
      <c r="X134" s="23"/>
      <c r="Y134" s="3">
        <v>-0.28345222906185358</v>
      </c>
      <c r="Z134" s="23"/>
      <c r="AA134" s="2" cm="1">
        <f t="array" ref="AA134:AA149">MMULT(_xlfn.ANCHORARRAY(U92),_xlfn.ANCHORARRAY(Y119))</f>
        <v>-1.3642420526593924E-12</v>
      </c>
      <c r="AB134" s="23"/>
      <c r="AC134" s="23"/>
      <c r="AD134" s="23"/>
      <c r="AE134" s="23"/>
    </row>
    <row r="135" spans="2:31">
      <c r="B135" s="67">
        <v>-1.9613534351050525E-7</v>
      </c>
      <c r="C135" s="25">
        <v>1.7713321356590608E-8</v>
      </c>
      <c r="D135" s="25">
        <v>-7.0703083788514675E-8</v>
      </c>
      <c r="E135" s="25">
        <v>-2.5978881157323606E-7</v>
      </c>
      <c r="F135" s="25">
        <v>4.9624086539613551E-7</v>
      </c>
      <c r="G135" s="25">
        <v>-1.2580986643780005E-7</v>
      </c>
      <c r="H135" s="25">
        <v>1.8299937429699552E-7</v>
      </c>
      <c r="I135" s="25">
        <v>3.1200085412936559E-9</v>
      </c>
      <c r="J135" s="25">
        <v>-2.4649935296154007E-8</v>
      </c>
      <c r="K135" s="25">
        <v>4.2152847932476345E-8</v>
      </c>
      <c r="L135" s="25">
        <v>1.1396569079809804E-7</v>
      </c>
      <c r="M135" s="25">
        <v>6.181248109110056E-8</v>
      </c>
      <c r="N135" s="25">
        <v>2.5200488708248181E-8</v>
      </c>
      <c r="O135" s="25">
        <v>1.2650480001970841E-7</v>
      </c>
      <c r="P135" s="25">
        <v>0</v>
      </c>
      <c r="Q135" s="45">
        <v>0</v>
      </c>
      <c r="R135" s="67">
        <v>0.99999999999999978</v>
      </c>
      <c r="S135" s="25">
        <v>-1.2596487068953562E-16</v>
      </c>
      <c r="T135" s="45">
        <v>-2.5709034800465463E-4</v>
      </c>
      <c r="V135" s="93">
        <v>6.4265157647772455E-4</v>
      </c>
      <c r="W135" s="90">
        <f>$AB$131*SQRT(INDEX($B$131:$Q$146,5,5))</f>
        <v>6.5097538301972058E-4</v>
      </c>
      <c r="X135" s="23"/>
      <c r="Y135" s="3">
        <v>0.45015207732512974</v>
      </c>
      <c r="Z135" s="23"/>
      <c r="AA135" s="3">
        <v>9.0949470177292824E-13</v>
      </c>
      <c r="AB135" s="23"/>
      <c r="AC135" s="23"/>
      <c r="AD135" s="23"/>
      <c r="AE135" s="23"/>
    </row>
    <row r="136" spans="2:31">
      <c r="B136" s="67">
        <v>1.7622201642534496E-7</v>
      </c>
      <c r="C136" s="25">
        <v>2.7249009979005893E-8</v>
      </c>
      <c r="D136" s="25">
        <v>-3.2227601660549364E-8</v>
      </c>
      <c r="E136" s="25">
        <v>3.2142083262299319E-7</v>
      </c>
      <c r="F136" s="25">
        <v>-1.2580986643780002E-7</v>
      </c>
      <c r="G136" s="25">
        <v>5.6972827704011951E-7</v>
      </c>
      <c r="H136" s="25">
        <v>-2.0233167172066459E-7</v>
      </c>
      <c r="I136" s="25">
        <v>2.5003169155707336E-7</v>
      </c>
      <c r="J136" s="25">
        <v>-4.5858610604402817E-8</v>
      </c>
      <c r="K136" s="25">
        <v>7.8420937660783526E-8</v>
      </c>
      <c r="L136" s="25">
        <v>-1.1002984038615327E-7</v>
      </c>
      <c r="M136" s="25">
        <v>4.7584197442608144E-8</v>
      </c>
      <c r="N136" s="25">
        <v>1.5948538389219645E-9</v>
      </c>
      <c r="O136" s="25">
        <v>-4.4845209170725307E-8</v>
      </c>
      <c r="P136" s="25">
        <v>0</v>
      </c>
      <c r="Q136" s="45">
        <v>0</v>
      </c>
      <c r="R136" s="67">
        <v>1.4840811952950657E-16</v>
      </c>
      <c r="S136" s="25">
        <v>1.0000000000000007</v>
      </c>
      <c r="T136" s="45">
        <v>1.924234506537907E-4</v>
      </c>
      <c r="V136" s="93">
        <v>-3.1253152995154544E-4</v>
      </c>
      <c r="W136" s="90">
        <f>$AB$131*SQRT(INDEX($B$131:$Q$146,6,6))</f>
        <v>6.9751281425405899E-4</v>
      </c>
      <c r="X136" s="23"/>
      <c r="Y136" s="3">
        <v>-0.13866045050786305</v>
      </c>
      <c r="Z136" s="23"/>
      <c r="AA136" s="3">
        <v>5.5067062021407764E-13</v>
      </c>
      <c r="AB136" s="23"/>
      <c r="AC136" s="23"/>
      <c r="AD136" s="23"/>
      <c r="AE136" s="23"/>
    </row>
    <row r="137" spans="2:31">
      <c r="B137" s="67">
        <v>-1.2385263718289492E-7</v>
      </c>
      <c r="C137" s="25">
        <v>3.6049359117109296E-9</v>
      </c>
      <c r="D137" s="25">
        <v>1.0172957566373881E-8</v>
      </c>
      <c r="E137" s="25">
        <v>-1.8924598264020933E-7</v>
      </c>
      <c r="F137" s="25">
        <v>1.8299937429699552E-7</v>
      </c>
      <c r="G137" s="25">
        <v>-2.0233167172066467E-7</v>
      </c>
      <c r="H137" s="25">
        <v>3.0155982452265231E-7</v>
      </c>
      <c r="I137" s="25">
        <v>-6.8639142158201663E-8</v>
      </c>
      <c r="J137" s="25">
        <v>-1.3129158495584633E-8</v>
      </c>
      <c r="K137" s="25">
        <v>2.2451637900733441E-8</v>
      </c>
      <c r="L137" s="25">
        <v>1.3138065084709259E-7</v>
      </c>
      <c r="M137" s="25">
        <v>2.0048124794478423E-8</v>
      </c>
      <c r="N137" s="25">
        <v>4.1018278910758644E-8</v>
      </c>
      <c r="O137" s="25">
        <v>8.5138817320200573E-8</v>
      </c>
      <c r="P137" s="25">
        <v>0</v>
      </c>
      <c r="Q137" s="45">
        <v>0</v>
      </c>
      <c r="R137" s="67">
        <v>1</v>
      </c>
      <c r="S137" s="25">
        <v>-4.3119821473272822E-16</v>
      </c>
      <c r="T137" s="45">
        <v>-3.4383862493874063E-4</v>
      </c>
      <c r="V137" s="93">
        <v>4.6306665639868501E-5</v>
      </c>
      <c r="W137" s="90">
        <f>$AB$131*SQRT(INDEX($B$131:$Q$146,7,7))</f>
        <v>5.0746377285407511E-4</v>
      </c>
      <c r="X137" s="23"/>
      <c r="Y137" s="3">
        <v>-0.59833934090979035</v>
      </c>
      <c r="Z137" s="23"/>
      <c r="AA137" s="3">
        <v>8.5265128291212022E-13</v>
      </c>
      <c r="AB137" s="23"/>
      <c r="AC137" s="23"/>
      <c r="AD137" s="23"/>
      <c r="AE137" s="23"/>
    </row>
    <row r="138" spans="2:31">
      <c r="B138" s="67">
        <v>1.5580359537025939E-8</v>
      </c>
      <c r="C138" s="25">
        <v>7.5651807369609983E-8</v>
      </c>
      <c r="D138" s="25">
        <v>-8.9621196798398832E-8</v>
      </c>
      <c r="E138" s="25">
        <v>1.2136684741000064E-7</v>
      </c>
      <c r="F138" s="25">
        <v>3.1200085412936447E-9</v>
      </c>
      <c r="G138" s="25">
        <v>2.5003169155707326E-7</v>
      </c>
      <c r="H138" s="25">
        <v>-6.8639142158201623E-8</v>
      </c>
      <c r="I138" s="25">
        <v>3.9600802550441108E-7</v>
      </c>
      <c r="J138" s="25">
        <v>-1.1275928335748359E-7</v>
      </c>
      <c r="K138" s="25">
        <v>1.9282504668824113E-7</v>
      </c>
      <c r="L138" s="25">
        <v>-7.4200049498309478E-8</v>
      </c>
      <c r="M138" s="25">
        <v>1.47290035340504E-7</v>
      </c>
      <c r="N138" s="25">
        <v>5.3487344893401013E-9</v>
      </c>
      <c r="O138" s="25">
        <v>8.172681129849808E-8</v>
      </c>
      <c r="P138" s="25">
        <v>0</v>
      </c>
      <c r="Q138" s="45">
        <v>0</v>
      </c>
      <c r="R138" s="67">
        <v>-6.2832621708416389E-17</v>
      </c>
      <c r="S138" s="25">
        <v>1.0000000000000004</v>
      </c>
      <c r="T138" s="45">
        <v>-2.839034517842801E-5</v>
      </c>
      <c r="V138" s="93">
        <v>-1.0528576647688703E-3</v>
      </c>
      <c r="W138" s="90">
        <f>$AB$131*SQRT(INDEX($B$131:$Q$146,8,8))</f>
        <v>5.8152755321910082E-4</v>
      </c>
      <c r="X138" s="23"/>
      <c r="Y138" s="3">
        <v>1.6273316021706468</v>
      </c>
      <c r="Z138" s="23"/>
      <c r="AA138" s="3">
        <v>-2.5579538487363607E-13</v>
      </c>
      <c r="AB138" s="23"/>
      <c r="AC138" s="23"/>
      <c r="AD138" s="23"/>
      <c r="AE138" s="23"/>
    </row>
    <row r="139" spans="2:31">
      <c r="B139" s="67">
        <v>3.7491582730050757E-8</v>
      </c>
      <c r="C139" s="25">
        <v>-5.9345234088007737E-8</v>
      </c>
      <c r="D139" s="25">
        <v>3.3391002893170718E-8</v>
      </c>
      <c r="E139" s="25">
        <v>2.5426291305168013E-9</v>
      </c>
      <c r="F139" s="25">
        <v>-2.4649935296153967E-8</v>
      </c>
      <c r="G139" s="25">
        <v>-4.5858610604402836E-8</v>
      </c>
      <c r="H139" s="25">
        <v>-1.3129158495584631E-8</v>
      </c>
      <c r="I139" s="25">
        <v>-1.127592833574836E-7</v>
      </c>
      <c r="J139" s="25">
        <v>1.3223831760974496E-7</v>
      </c>
      <c r="K139" s="25">
        <v>-2.2613534786518523E-7</v>
      </c>
      <c r="L139" s="25">
        <v>3.654554129359286E-8</v>
      </c>
      <c r="M139" s="25">
        <v>-1.0299201228423239E-7</v>
      </c>
      <c r="N139" s="25">
        <v>-3.3217725197820758E-9</v>
      </c>
      <c r="O139" s="25">
        <v>-8.645167487876666E-8</v>
      </c>
      <c r="P139" s="25">
        <v>0</v>
      </c>
      <c r="Q139" s="45">
        <v>0</v>
      </c>
      <c r="R139" s="67">
        <v>1.0000000000000004</v>
      </c>
      <c r="S139" s="25">
        <v>-1.159925568328092E-15</v>
      </c>
      <c r="T139" s="45">
        <v>-4.5424552285485011E-4</v>
      </c>
      <c r="V139" s="93">
        <v>2.7049223374573685E-5</v>
      </c>
      <c r="W139" s="90">
        <f>$AB$131*SQRT(INDEX($B$131:$Q$146,9,9))</f>
        <v>3.3604463073081379E-4</v>
      </c>
      <c r="X139" s="23"/>
      <c r="Y139" s="3">
        <v>0.66893867557504749</v>
      </c>
      <c r="Z139" s="23"/>
      <c r="AA139" s="3">
        <v>-1.1368683772161603E-13</v>
      </c>
      <c r="AB139" s="23"/>
      <c r="AC139" s="23"/>
      <c r="AD139" s="23"/>
      <c r="AE139" s="23"/>
    </row>
    <row r="140" spans="2:31">
      <c r="B140" s="67">
        <v>-6.4112824905234457E-8</v>
      </c>
      <c r="C140" s="25">
        <v>1.01483861842806E-7</v>
      </c>
      <c r="D140" s="25">
        <v>-5.7100590746309591E-8</v>
      </c>
      <c r="E140" s="25">
        <v>-4.3480462646114517E-9</v>
      </c>
      <c r="F140" s="25">
        <v>4.2152847932476292E-8</v>
      </c>
      <c r="G140" s="25">
        <v>7.8420937660783473E-8</v>
      </c>
      <c r="H140" s="25">
        <v>2.2451637900733461E-8</v>
      </c>
      <c r="I140" s="25">
        <v>1.9282504668824118E-7</v>
      </c>
      <c r="J140" s="25">
        <v>-2.2613534786518523E-7</v>
      </c>
      <c r="K140" s="25">
        <v>3.8670482563928109E-7</v>
      </c>
      <c r="L140" s="25">
        <v>-6.2495038070108385E-8</v>
      </c>
      <c r="M140" s="25">
        <v>1.7612243520794755E-7</v>
      </c>
      <c r="N140" s="25">
        <v>5.680427563414278E-9</v>
      </c>
      <c r="O140" s="25">
        <v>1.4783747952641149E-7</v>
      </c>
      <c r="P140" s="25">
        <v>0</v>
      </c>
      <c r="Q140" s="45">
        <v>0</v>
      </c>
      <c r="R140" s="67">
        <v>-1.7905960866071474E-16</v>
      </c>
      <c r="S140" s="25">
        <v>1</v>
      </c>
      <c r="T140" s="45">
        <v>-2.6497655499866231E-4</v>
      </c>
      <c r="V140" s="93">
        <v>-4.6255772516282426E-5</v>
      </c>
      <c r="W140" s="90">
        <f>$AB$131*SQRT(INDEX($B$131:$Q$146,10,10))</f>
        <v>5.7465620284736791E-4</v>
      </c>
      <c r="X140" s="23"/>
      <c r="Y140" s="3">
        <v>4.0063050041279524E-2</v>
      </c>
      <c r="Z140" s="23"/>
      <c r="AA140" s="3">
        <v>5.6843418860808015E-14</v>
      </c>
      <c r="AB140" s="23"/>
      <c r="AC140" s="23"/>
      <c r="AD140" s="23"/>
      <c r="AE140" s="23"/>
    </row>
    <row r="141" spans="2:31">
      <c r="B141" s="67">
        <v>-7.9873979939339535E-8</v>
      </c>
      <c r="C141" s="25">
        <v>-2.496795759575826E-8</v>
      </c>
      <c r="D141" s="25">
        <v>-9.3391231973262082E-10</v>
      </c>
      <c r="E141" s="25">
        <v>-1.0897211721223719E-7</v>
      </c>
      <c r="F141" s="25">
        <v>1.1396569079809803E-7</v>
      </c>
      <c r="G141" s="25">
        <v>-1.1002984038615322E-7</v>
      </c>
      <c r="H141" s="25">
        <v>1.3138065084709259E-7</v>
      </c>
      <c r="I141" s="25">
        <v>-7.4200049498309478E-8</v>
      </c>
      <c r="J141" s="25">
        <v>3.6545541293592794E-8</v>
      </c>
      <c r="K141" s="25">
        <v>-6.2495038070108371E-8</v>
      </c>
      <c r="L141" s="25">
        <v>2.3029095575688752E-7</v>
      </c>
      <c r="M141" s="25">
        <v>-5.2565558735817771E-9</v>
      </c>
      <c r="N141" s="25">
        <v>9.4816702118623085E-8</v>
      </c>
      <c r="O141" s="25">
        <v>7.2888222852791297E-8</v>
      </c>
      <c r="P141" s="25">
        <v>0</v>
      </c>
      <c r="Q141" s="45">
        <v>0</v>
      </c>
      <c r="R141" s="67">
        <v>1.0000000000000002</v>
      </c>
      <c r="S141" s="25">
        <v>-1.6253652108273714E-16</v>
      </c>
      <c r="T141" s="45">
        <v>-1.7822827806457674E-4</v>
      </c>
      <c r="V141" s="93">
        <v>-2.9017787588619893E-4</v>
      </c>
      <c r="W141" s="90">
        <f>$AB$131*SQRT(INDEX($B$131:$Q$146,11,11))</f>
        <v>4.4346233984464162E-4</v>
      </c>
      <c r="X141" s="23"/>
      <c r="Y141" s="3">
        <v>0.48147237893819689</v>
      </c>
      <c r="Z141" s="23"/>
      <c r="AA141" s="3">
        <v>0</v>
      </c>
      <c r="AB141" s="23"/>
      <c r="AC141" s="23"/>
      <c r="AD141" s="23"/>
      <c r="AE141" s="23"/>
    </row>
    <row r="142" spans="2:31">
      <c r="B142" s="67">
        <v>-1.0123000956984419E-7</v>
      </c>
      <c r="C142" s="25">
        <v>1.5256789395951945E-7</v>
      </c>
      <c r="D142" s="25">
        <v>-5.6943153701596479E-8</v>
      </c>
      <c r="E142" s="25">
        <v>-4.4128145393864232E-8</v>
      </c>
      <c r="F142" s="25">
        <v>6.181248109110056E-8</v>
      </c>
      <c r="G142" s="25">
        <v>4.7584197442608025E-8</v>
      </c>
      <c r="H142" s="25">
        <v>2.0048124794478492E-8</v>
      </c>
      <c r="I142" s="25">
        <v>1.4729003534050403E-7</v>
      </c>
      <c r="J142" s="25">
        <v>-1.0299201228423235E-7</v>
      </c>
      <c r="K142" s="25">
        <v>1.7612243520794758E-7</v>
      </c>
      <c r="L142" s="25">
        <v>-5.2565558735817904E-9</v>
      </c>
      <c r="M142" s="25">
        <v>2.865568378083478E-7</v>
      </c>
      <c r="N142" s="25">
        <v>3.3387633843939186E-8</v>
      </c>
      <c r="O142" s="25">
        <v>2.1513527371802759E-7</v>
      </c>
      <c r="P142" s="25">
        <v>0</v>
      </c>
      <c r="Q142" s="45">
        <v>0</v>
      </c>
      <c r="R142" s="67">
        <v>-5.8364793765784898E-17</v>
      </c>
      <c r="S142" s="25">
        <v>1.0000000000000004</v>
      </c>
      <c r="T142" s="45">
        <v>-2.0977310604060781E-4</v>
      </c>
      <c r="V142" s="93">
        <v>-4.2959522207804048E-4</v>
      </c>
      <c r="W142" s="90">
        <f>$AB$131*SQRT(INDEX($B$131:$Q$146,12,12))</f>
        <v>4.9467924702598965E-4</v>
      </c>
      <c r="X142" s="23"/>
      <c r="Y142" s="3">
        <v>-2.8448388914902201E-2</v>
      </c>
      <c r="Z142" s="23"/>
      <c r="AA142" s="3">
        <v>2.2168933355715126E-12</v>
      </c>
      <c r="AB142" s="23"/>
      <c r="AC142" s="23"/>
      <c r="AD142" s="23"/>
      <c r="AE142" s="23"/>
    </row>
    <row r="143" spans="2:31">
      <c r="B143" s="67">
        <v>7.1956857248335433E-8</v>
      </c>
      <c r="C143" s="25">
        <v>-6.0781615129687019E-8</v>
      </c>
      <c r="D143" s="25">
        <v>2.6377810494167563E-8</v>
      </c>
      <c r="E143" s="25">
        <v>2.5155511183169919E-8</v>
      </c>
      <c r="F143" s="25">
        <v>2.5200488708248151E-8</v>
      </c>
      <c r="G143" s="25">
        <v>1.5948538389219823E-9</v>
      </c>
      <c r="H143" s="25">
        <v>4.1018278910758677E-8</v>
      </c>
      <c r="I143" s="25">
        <v>5.3487344893400905E-9</v>
      </c>
      <c r="J143" s="25">
        <v>-3.3217725197819087E-9</v>
      </c>
      <c r="K143" s="25">
        <v>5.6804275634142888E-9</v>
      </c>
      <c r="L143" s="25">
        <v>9.4816702118622966E-8</v>
      </c>
      <c r="M143" s="25">
        <v>3.3387633843939311E-8</v>
      </c>
      <c r="N143" s="25">
        <v>7.3461842952434099E-7</v>
      </c>
      <c r="O143" s="25">
        <v>7.2634715467622842E-8</v>
      </c>
      <c r="P143" s="25">
        <v>0</v>
      </c>
      <c r="Q143" s="45">
        <v>0</v>
      </c>
      <c r="R143" s="67">
        <v>1.0000000000000002</v>
      </c>
      <c r="S143" s="25">
        <v>3.2761577449279055E-16</v>
      </c>
      <c r="T143" s="45">
        <v>5.0471724761649931E-5</v>
      </c>
      <c r="V143" s="93">
        <v>-1.2913093936595365E-4</v>
      </c>
      <c r="W143" s="90">
        <f>$AB$131*SQRT(INDEX($B$131:$Q$146,13,13))</f>
        <v>7.9204382553926735E-4</v>
      </c>
      <c r="X143" s="23"/>
      <c r="Y143" s="3">
        <v>1.3995500693839829</v>
      </c>
      <c r="Z143" s="23"/>
      <c r="AA143" s="3">
        <v>5.6843418860808015E-13</v>
      </c>
      <c r="AB143" s="23"/>
      <c r="AC143" s="23"/>
      <c r="AD143" s="23"/>
      <c r="AE143" s="23"/>
    </row>
    <row r="144" spans="2:31">
      <c r="B144" s="67">
        <v>-2.6439147490238438E-7</v>
      </c>
      <c r="C144" s="25">
        <v>1.4053841171907271E-7</v>
      </c>
      <c r="D144" s="25">
        <v>-1.0094233017430276E-7</v>
      </c>
      <c r="E144" s="25">
        <v>-1.6003771030711069E-7</v>
      </c>
      <c r="F144" s="25">
        <v>1.2650480001970836E-7</v>
      </c>
      <c r="G144" s="25">
        <v>-4.4845209170725373E-8</v>
      </c>
      <c r="H144" s="25">
        <v>8.5138817320200599E-8</v>
      </c>
      <c r="I144" s="25">
        <v>8.1726811298498028E-8</v>
      </c>
      <c r="J144" s="25">
        <v>-8.6451674878766568E-8</v>
      </c>
      <c r="K144" s="25">
        <v>1.4783747952641143E-7</v>
      </c>
      <c r="L144" s="25">
        <v>7.2888222852791271E-8</v>
      </c>
      <c r="M144" s="25">
        <v>2.1513527371802748E-7</v>
      </c>
      <c r="N144" s="25">
        <v>7.263471546762275E-8</v>
      </c>
      <c r="O144" s="25">
        <v>4.2569559071090289E-7</v>
      </c>
      <c r="P144" s="25">
        <v>0</v>
      </c>
      <c r="Q144" s="45">
        <v>0</v>
      </c>
      <c r="R144" s="67">
        <v>3.1425172816707556E-17</v>
      </c>
      <c r="S144" s="25">
        <v>1.0000000000000004</v>
      </c>
      <c r="T144" s="45">
        <v>-2.5709034800465474E-4</v>
      </c>
      <c r="V144" s="93">
        <v>-1.3875569335463566E-3</v>
      </c>
      <c r="W144" s="90">
        <f>$AB$131*SQRT(INDEX($B$131:$Q$146,14,14))</f>
        <v>6.0293136797430794E-4</v>
      </c>
      <c r="X144" s="23"/>
      <c r="Y144" s="3">
        <v>-0.56157578507563477</v>
      </c>
      <c r="Z144" s="23"/>
      <c r="AA144" s="3">
        <v>-1.5063505998114124E-12</v>
      </c>
      <c r="AB144" s="23"/>
      <c r="AC144" s="23"/>
      <c r="AD144" s="23"/>
      <c r="AE144" s="23"/>
    </row>
    <row r="145" spans="1:72">
      <c r="B145" s="67">
        <v>0</v>
      </c>
      <c r="C145" s="25">
        <v>0</v>
      </c>
      <c r="D145" s="25">
        <v>0</v>
      </c>
      <c r="E145" s="25">
        <v>0</v>
      </c>
      <c r="F145" s="25">
        <v>0</v>
      </c>
      <c r="G145" s="25">
        <v>0</v>
      </c>
      <c r="H145" s="25">
        <v>0</v>
      </c>
      <c r="I145" s="25">
        <v>0</v>
      </c>
      <c r="J145" s="25">
        <v>0</v>
      </c>
      <c r="K145" s="25">
        <v>0</v>
      </c>
      <c r="L145" s="25">
        <v>0</v>
      </c>
      <c r="M145" s="25">
        <v>0</v>
      </c>
      <c r="N145" s="25">
        <v>0</v>
      </c>
      <c r="O145" s="25">
        <v>0</v>
      </c>
      <c r="P145" s="25">
        <v>0</v>
      </c>
      <c r="Q145" s="45">
        <v>0</v>
      </c>
      <c r="R145" s="67">
        <v>1</v>
      </c>
      <c r="S145" s="25">
        <v>0</v>
      </c>
      <c r="T145" s="45">
        <v>0</v>
      </c>
      <c r="V145" s="93">
        <v>0</v>
      </c>
      <c r="W145" s="90">
        <f>$AB$131*SQRT(INDEX($B$131:$Q$146,15,15))</f>
        <v>0</v>
      </c>
      <c r="X145" s="23"/>
      <c r="Y145" s="3">
        <v>-0.16122354155340929</v>
      </c>
      <c r="Z145" s="23"/>
      <c r="AA145" s="3">
        <v>-2.1742607714259066E-12</v>
      </c>
      <c r="AB145" s="23"/>
      <c r="AC145" s="23"/>
      <c r="AD145" s="23"/>
      <c r="AE145" s="23"/>
    </row>
    <row r="146" spans="1:72">
      <c r="B146" s="68">
        <v>0</v>
      </c>
      <c r="C146" s="32">
        <v>0</v>
      </c>
      <c r="D146" s="32">
        <v>0</v>
      </c>
      <c r="E146" s="32">
        <v>0</v>
      </c>
      <c r="F146" s="32">
        <v>0</v>
      </c>
      <c r="G146" s="32">
        <v>0</v>
      </c>
      <c r="H146" s="32">
        <v>0</v>
      </c>
      <c r="I146" s="32">
        <v>0</v>
      </c>
      <c r="J146" s="32">
        <v>0</v>
      </c>
      <c r="K146" s="32">
        <v>0</v>
      </c>
      <c r="L146" s="32">
        <v>0</v>
      </c>
      <c r="M146" s="32">
        <v>0</v>
      </c>
      <c r="N146" s="32">
        <v>0</v>
      </c>
      <c r="O146" s="32">
        <v>0</v>
      </c>
      <c r="P146" s="32">
        <v>0</v>
      </c>
      <c r="Q146" s="49">
        <v>0</v>
      </c>
      <c r="R146" s="68">
        <v>0</v>
      </c>
      <c r="S146" s="32">
        <v>1</v>
      </c>
      <c r="T146" s="49">
        <v>0</v>
      </c>
      <c r="V146" s="94">
        <v>0</v>
      </c>
      <c r="W146" s="91">
        <f>$AB$131*SQRT(INDEX($B$131:$Q$146,16,16))</f>
        <v>0</v>
      </c>
      <c r="X146" s="23"/>
      <c r="Y146" s="3">
        <v>1.0321572949157796</v>
      </c>
      <c r="Z146" s="23"/>
      <c r="AA146" s="3">
        <v>2.2737367544323206E-13</v>
      </c>
      <c r="AB146" s="23"/>
      <c r="AC146" s="23"/>
      <c r="AD146" s="23"/>
      <c r="AE146" s="23"/>
    </row>
    <row r="147" spans="1:72">
      <c r="A147" s="260" t="s">
        <v>69</v>
      </c>
      <c r="B147" s="98">
        <v>1</v>
      </c>
      <c r="C147" s="52">
        <v>-1.8503717077085943E-16</v>
      </c>
      <c r="D147" s="52">
        <v>1.0000000000000002</v>
      </c>
      <c r="E147" s="52">
        <v>2.4671622769447924E-16</v>
      </c>
      <c r="F147" s="52">
        <v>0.99999999999999989</v>
      </c>
      <c r="G147" s="52">
        <v>1.2335811384723962E-16</v>
      </c>
      <c r="H147" s="52">
        <v>1</v>
      </c>
      <c r="I147" s="52">
        <v>0</v>
      </c>
      <c r="J147" s="52">
        <v>1</v>
      </c>
      <c r="K147" s="52">
        <v>-1.2335811384723962E-16</v>
      </c>
      <c r="L147" s="52">
        <v>1.0000000000000002</v>
      </c>
      <c r="M147" s="52">
        <v>0</v>
      </c>
      <c r="N147" s="52">
        <v>1.0000000000000002</v>
      </c>
      <c r="O147" s="52">
        <v>1.2335811384723962E-16</v>
      </c>
      <c r="P147" s="37">
        <v>1</v>
      </c>
      <c r="Q147" s="53">
        <v>0</v>
      </c>
      <c r="R147">
        <v>1.3969838619232182E-9</v>
      </c>
      <c r="S147">
        <v>8.3673512563109429E-10</v>
      </c>
      <c r="T147">
        <v>-1.12234708505852E-13</v>
      </c>
      <c r="V147" s="23"/>
      <c r="W147" s="23"/>
      <c r="X147" s="23"/>
      <c r="Y147" s="3">
        <v>0.4683455653382198</v>
      </c>
      <c r="Z147" s="23"/>
      <c r="AA147" s="3">
        <v>-1.3531398224131408E-12</v>
      </c>
      <c r="AB147" s="23"/>
      <c r="AC147" s="23"/>
      <c r="AD147" s="23"/>
      <c r="AE147" s="23"/>
    </row>
    <row r="148" spans="1:72">
      <c r="A148" s="261"/>
      <c r="B148" s="99">
        <v>-9.1355550373804828E-17</v>
      </c>
      <c r="C148" s="43">
        <v>1.0000000000000004</v>
      </c>
      <c r="D148" s="43">
        <v>5.3750624293371992E-17</v>
      </c>
      <c r="E148" s="43">
        <v>0.99999999999999967</v>
      </c>
      <c r="F148" s="43">
        <v>3.4813074340952119E-16</v>
      </c>
      <c r="G148" s="43">
        <v>0.99999999999999989</v>
      </c>
      <c r="H148" s="43">
        <v>2.8541344403051017E-16</v>
      </c>
      <c r="I148" s="43">
        <v>1.0000000000000002</v>
      </c>
      <c r="J148" s="43">
        <v>-8.3469510987739795E-17</v>
      </c>
      <c r="K148" s="43">
        <v>1.0000000000000002</v>
      </c>
      <c r="L148" s="43">
        <v>5.2376377035969834E-17</v>
      </c>
      <c r="M148" s="43">
        <v>1.0000000000000007</v>
      </c>
      <c r="N148" s="43">
        <v>1.0530553403450829E-16</v>
      </c>
      <c r="O148" s="43">
        <v>1.0000000000000009</v>
      </c>
      <c r="P148" s="25">
        <v>0</v>
      </c>
      <c r="Q148" s="45">
        <v>1</v>
      </c>
      <c r="R148">
        <v>1.1641532182693481E-9</v>
      </c>
      <c r="S148">
        <v>1.7462298274040239E-9</v>
      </c>
      <c r="T148">
        <v>-4.8033701014529088E-13</v>
      </c>
      <c r="V148" s="23"/>
      <c r="W148" s="23"/>
      <c r="X148" s="23"/>
      <c r="Y148" s="3">
        <v>0.59765189248682316</v>
      </c>
      <c r="Z148" s="23"/>
      <c r="AA148" s="3">
        <v>-5.6843418860808015E-14</v>
      </c>
      <c r="AB148" s="23"/>
      <c r="AE148" s="23"/>
    </row>
    <row r="149" spans="1:72">
      <c r="A149" s="262"/>
      <c r="B149" s="100">
        <v>2.397406926178376E-4</v>
      </c>
      <c r="C149" s="48">
        <v>-1.1513862211251407E-4</v>
      </c>
      <c r="D149" s="48">
        <v>4.2585517767642237E-5</v>
      </c>
      <c r="E149" s="48">
        <v>2.5551310660585318E-4</v>
      </c>
      <c r="F149" s="48">
        <v>-2.5709034800465468E-4</v>
      </c>
      <c r="G149" s="48">
        <v>1.9242345065379076E-4</v>
      </c>
      <c r="H149" s="48">
        <v>-3.4383862493874069E-4</v>
      </c>
      <c r="I149" s="48">
        <v>-2.839034517842803E-5</v>
      </c>
      <c r="J149" s="48">
        <v>-4.5424552285485006E-4</v>
      </c>
      <c r="K149" s="48">
        <v>-2.6497655499866236E-4</v>
      </c>
      <c r="L149" s="48">
        <v>-1.7822827806457674E-4</v>
      </c>
      <c r="M149" s="48">
        <v>-2.0977310604060784E-4</v>
      </c>
      <c r="N149" s="48">
        <v>5.0471724761649945E-5</v>
      </c>
      <c r="O149" s="48">
        <v>-2.570903480046549E-4</v>
      </c>
      <c r="P149" s="32">
        <v>0</v>
      </c>
      <c r="Q149" s="49">
        <v>0</v>
      </c>
      <c r="R149">
        <v>6.1327431723443098E-14</v>
      </c>
      <c r="S149">
        <v>-6.5826000816929204E-13</v>
      </c>
      <c r="T149">
        <v>8.3767748615202421E-17</v>
      </c>
      <c r="V149" s="23"/>
      <c r="W149" s="23"/>
      <c r="X149" s="23"/>
      <c r="Y149" s="3">
        <v>8.3568343716498461E-2</v>
      </c>
      <c r="Z149" s="23"/>
      <c r="AA149" s="4">
        <v>1.3216094885137863E-12</v>
      </c>
      <c r="AB149" s="23"/>
      <c r="AE149" s="23"/>
    </row>
    <row r="150" spans="1:72">
      <c r="V150" s="23"/>
      <c r="W150" s="23"/>
      <c r="X150" s="23"/>
      <c r="Y150" s="4">
        <v>-0.47529533125788626</v>
      </c>
      <c r="Z150" s="23"/>
      <c r="AB150" s="23"/>
      <c r="AE150" s="23"/>
    </row>
    <row r="151" spans="1:72">
      <c r="V151" s="23"/>
      <c r="W151" s="23"/>
      <c r="X151" s="23"/>
      <c r="Z151" s="23"/>
      <c r="AA151" s="23"/>
      <c r="AB151" s="23"/>
      <c r="AE151" s="23"/>
    </row>
    <row r="152" spans="1:72">
      <c r="V152" s="23"/>
      <c r="W152" s="23"/>
      <c r="X152" s="23"/>
      <c r="Z152" s="23"/>
      <c r="AA152" s="23"/>
      <c r="AB152" s="23"/>
      <c r="AC152" s="23"/>
      <c r="AD152" s="23"/>
      <c r="AE152" s="23"/>
    </row>
    <row r="154" spans="1:72">
      <c r="B154" s="272" t="s">
        <v>70</v>
      </c>
      <c r="C154" s="273"/>
      <c r="D154" s="273"/>
      <c r="E154" s="273"/>
      <c r="F154" s="273"/>
      <c r="G154" s="273"/>
      <c r="H154" s="273"/>
      <c r="I154" s="273"/>
      <c r="J154" s="273"/>
      <c r="K154" s="273"/>
      <c r="L154" s="273"/>
      <c r="M154" s="273"/>
      <c r="N154" s="273"/>
      <c r="O154" s="273"/>
      <c r="P154" s="273"/>
      <c r="Q154" s="273"/>
      <c r="R154" s="273"/>
      <c r="S154" s="273"/>
      <c r="T154" s="273"/>
      <c r="U154" s="273"/>
      <c r="V154" s="273"/>
      <c r="W154" s="273"/>
      <c r="X154" s="273"/>
      <c r="Y154" s="273"/>
      <c r="Z154" s="273"/>
      <c r="AA154" s="273"/>
      <c r="AB154" s="273"/>
      <c r="AC154" s="273"/>
      <c r="AD154" s="273"/>
      <c r="AE154" s="273"/>
      <c r="AF154" s="273"/>
      <c r="AG154" s="274"/>
      <c r="AJ154" s="269" t="s">
        <v>71</v>
      </c>
      <c r="AK154" s="270"/>
      <c r="AL154" s="270"/>
      <c r="AM154" s="270"/>
      <c r="AN154" s="270"/>
      <c r="AO154" s="270"/>
      <c r="AP154" s="270"/>
      <c r="AQ154" s="270"/>
      <c r="AR154" s="270"/>
      <c r="AS154" s="270"/>
      <c r="AT154" s="270"/>
      <c r="AU154" s="270"/>
      <c r="AV154" s="270"/>
      <c r="AW154" s="270"/>
      <c r="AX154" s="270"/>
      <c r="AY154" s="270"/>
      <c r="AZ154" s="270"/>
      <c r="BA154" s="270"/>
      <c r="BB154" s="270"/>
      <c r="BC154" s="270"/>
      <c r="BD154" s="270"/>
      <c r="BE154" s="270"/>
      <c r="BF154" s="270"/>
      <c r="BG154" s="270"/>
      <c r="BH154" s="270"/>
      <c r="BI154" s="270"/>
      <c r="BJ154" s="270"/>
      <c r="BK154" s="270"/>
      <c r="BL154" s="270"/>
      <c r="BM154" s="270"/>
      <c r="BN154" s="270"/>
      <c r="BO154" s="271"/>
    </row>
    <row r="155" spans="1:72">
      <c r="A155">
        <v>1</v>
      </c>
      <c r="B155" s="8" cm="1">
        <f t="array" ref="B155:AG186">_xlfn.MUNIT(32)</f>
        <v>1</v>
      </c>
      <c r="C155" s="9">
        <v>0</v>
      </c>
      <c r="D155" s="9">
        <v>0</v>
      </c>
      <c r="E155" s="9">
        <v>0</v>
      </c>
      <c r="F155" s="9">
        <v>0</v>
      </c>
      <c r="G155" s="9">
        <v>0</v>
      </c>
      <c r="H155" s="9">
        <v>0</v>
      </c>
      <c r="I155" s="9">
        <v>0</v>
      </c>
      <c r="J155" s="9">
        <v>0</v>
      </c>
      <c r="K155" s="9">
        <v>0</v>
      </c>
      <c r="L155" s="9">
        <v>0</v>
      </c>
      <c r="M155" s="9">
        <v>0</v>
      </c>
      <c r="N155" s="9">
        <v>0</v>
      </c>
      <c r="O155" s="9">
        <v>0</v>
      </c>
      <c r="P155" s="9">
        <v>0</v>
      </c>
      <c r="Q155" s="9">
        <v>0</v>
      </c>
      <c r="R155" s="9">
        <v>0</v>
      </c>
      <c r="S155" s="9">
        <v>0</v>
      </c>
      <c r="T155" s="9">
        <v>0</v>
      </c>
      <c r="U155" s="9">
        <v>0</v>
      </c>
      <c r="V155" s="9">
        <v>0</v>
      </c>
      <c r="W155" s="9">
        <v>0</v>
      </c>
      <c r="X155" s="9">
        <v>0</v>
      </c>
      <c r="Y155" s="9">
        <v>0</v>
      </c>
      <c r="Z155" s="9">
        <v>0</v>
      </c>
      <c r="AA155" s="9">
        <v>0</v>
      </c>
      <c r="AB155" s="9">
        <v>0</v>
      </c>
      <c r="AC155" s="9">
        <v>0</v>
      </c>
      <c r="AD155" s="9">
        <v>0</v>
      </c>
      <c r="AE155" s="9">
        <v>0</v>
      </c>
      <c r="AF155" s="9">
        <v>0</v>
      </c>
      <c r="AG155" s="10">
        <v>0</v>
      </c>
      <c r="AH155" s="23"/>
      <c r="AI155" s="23">
        <v>1</v>
      </c>
      <c r="AJ155" s="8" cm="1">
        <f t="array" ref="AJ155:BO186">MMULT(MMULT(B76:Q107,B131:Q146),_xlfn.ANCHORARRAY(U92))</f>
        <v>0.26551532517538617</v>
      </c>
      <c r="AK155" s="9">
        <v>-4.5866562288461796E-3</v>
      </c>
      <c r="AL155" s="9">
        <v>-2.5145223961394625E-2</v>
      </c>
      <c r="AM155" s="9">
        <v>5.5711029091542803E-2</v>
      </c>
      <c r="AN155" s="9">
        <v>7.2598954586878525E-2</v>
      </c>
      <c r="AO155" s="9">
        <v>0.12860488592728345</v>
      </c>
      <c r="AP155" s="9">
        <v>-5.7209189673448312E-2</v>
      </c>
      <c r="AQ155" s="9">
        <v>5.5710956303027484E-2</v>
      </c>
      <c r="AR155" s="9">
        <v>4.5375592248927142E-2</v>
      </c>
      <c r="AS155" s="9">
        <v>9.2835979198405041E-2</v>
      </c>
      <c r="AT155" s="9">
        <v>0.20836720331970307</v>
      </c>
      <c r="AU155" s="9">
        <v>0.26551492848127234</v>
      </c>
      <c r="AV155" s="9">
        <v>-7.8161097423122827E-3</v>
      </c>
      <c r="AW155" s="9">
        <v>-6.153297287199222E-2</v>
      </c>
      <c r="AX155" s="9">
        <v>-3.422558325052262E-3</v>
      </c>
      <c r="AY155" s="9">
        <v>1.1114217287761168E-2</v>
      </c>
      <c r="AZ155" s="9">
        <v>1.1401494794726481E-2</v>
      </c>
      <c r="BA155" s="9">
        <v>3.346618823590719E-2</v>
      </c>
      <c r="BB155" s="9">
        <v>4.9486552331661562E-2</v>
      </c>
      <c r="BC155" s="9">
        <v>-3.6789951666843443E-3</v>
      </c>
      <c r="BD155" s="9">
        <v>-4.6189304957522687E-2</v>
      </c>
      <c r="BE155" s="9">
        <v>-6.3655711128602355E-3</v>
      </c>
      <c r="BF155" s="9">
        <v>-3.2467671658609983E-2</v>
      </c>
      <c r="BG155" s="9">
        <v>-7.4305118258602545E-2</v>
      </c>
      <c r="BH155" s="9">
        <v>6.777500925307936E-2</v>
      </c>
      <c r="BI155" s="9">
        <v>9.1552656734516097E-2</v>
      </c>
      <c r="BJ155" s="9">
        <v>-6.6268927975805747E-2</v>
      </c>
      <c r="BK155" s="9">
        <v>-4.1566407837368216E-4</v>
      </c>
      <c r="BL155" s="9">
        <v>1.6586856350141337E-2</v>
      </c>
      <c r="BM155" s="9">
        <v>-3.8755575361244451E-2</v>
      </c>
      <c r="BN155" s="9">
        <v>4.7150526264178885E-2</v>
      </c>
      <c r="BO155" s="10">
        <v>-2.5867361300831164E-2</v>
      </c>
      <c r="BP155" s="23"/>
      <c r="BQ155" s="23"/>
      <c r="BR155" s="23"/>
      <c r="BS155" s="23"/>
      <c r="BT155" s="23"/>
    </row>
    <row r="156" spans="1:72">
      <c r="A156">
        <v>2</v>
      </c>
      <c r="B156" s="11">
        <v>0</v>
      </c>
      <c r="C156" s="1">
        <v>1</v>
      </c>
      <c r="D156" s="1">
        <v>0</v>
      </c>
      <c r="E156" s="1">
        <v>0</v>
      </c>
      <c r="F156" s="1">
        <v>0</v>
      </c>
      <c r="G156" s="1">
        <v>0</v>
      </c>
      <c r="H156" s="1">
        <v>0</v>
      </c>
      <c r="I156" s="1">
        <v>0</v>
      </c>
      <c r="J156" s="1">
        <v>0</v>
      </c>
      <c r="K156" s="1">
        <v>0</v>
      </c>
      <c r="L156" s="1">
        <v>0</v>
      </c>
      <c r="M156" s="1">
        <v>0</v>
      </c>
      <c r="N156" s="1">
        <v>0</v>
      </c>
      <c r="O156" s="1">
        <v>0</v>
      </c>
      <c r="P156" s="1">
        <v>0</v>
      </c>
      <c r="Q156" s="1">
        <v>0</v>
      </c>
      <c r="R156" s="1">
        <v>0</v>
      </c>
      <c r="S156" s="1">
        <v>0</v>
      </c>
      <c r="T156" s="1">
        <v>0</v>
      </c>
      <c r="U156" s="1">
        <v>0</v>
      </c>
      <c r="V156" s="1">
        <v>0</v>
      </c>
      <c r="W156" s="1">
        <v>0</v>
      </c>
      <c r="X156" s="1">
        <v>0</v>
      </c>
      <c r="Y156" s="1">
        <v>0</v>
      </c>
      <c r="Z156" s="1">
        <v>0</v>
      </c>
      <c r="AA156" s="1">
        <v>0</v>
      </c>
      <c r="AB156" s="1">
        <v>0</v>
      </c>
      <c r="AC156" s="1">
        <v>0</v>
      </c>
      <c r="AD156" s="1">
        <v>0</v>
      </c>
      <c r="AE156" s="1">
        <v>0</v>
      </c>
      <c r="AF156" s="1">
        <v>0</v>
      </c>
      <c r="AG156" s="12">
        <v>0</v>
      </c>
      <c r="AH156" s="23"/>
      <c r="AI156" s="23">
        <v>2</v>
      </c>
      <c r="AJ156" s="11">
        <v>-4.5866562288462004E-3</v>
      </c>
      <c r="AK156" s="1">
        <v>0.22720812712528429</v>
      </c>
      <c r="AL156" s="1">
        <v>9.644525657834678E-2</v>
      </c>
      <c r="AM156" s="1">
        <v>-5.0989492643736534E-3</v>
      </c>
      <c r="AN156" s="1">
        <v>3.1228702231296132E-2</v>
      </c>
      <c r="AO156" s="1">
        <v>1.7181511233458298E-2</v>
      </c>
      <c r="AP156" s="1">
        <v>5.4257313940119165E-2</v>
      </c>
      <c r="AQ156" s="1">
        <v>-5.0989426024083198E-3</v>
      </c>
      <c r="AR156" s="1">
        <v>0.1013640240773068</v>
      </c>
      <c r="AS156" s="1">
        <v>-9.6110302755524658E-3</v>
      </c>
      <c r="AT156" s="1">
        <v>5.6951379289852701E-3</v>
      </c>
      <c r="AU156" s="1">
        <v>-4.5866493761361482E-3</v>
      </c>
      <c r="AV156" s="1">
        <v>3.2587542391212906E-2</v>
      </c>
      <c r="AW156" s="1">
        <v>-1.6530668118390841E-2</v>
      </c>
      <c r="AX156" s="1">
        <v>7.6010434317281203E-3</v>
      </c>
      <c r="AY156" s="1">
        <v>-9.6755474002770542E-3</v>
      </c>
      <c r="AZ156" s="1">
        <v>0.10721626237630028</v>
      </c>
      <c r="BA156" s="1">
        <v>4.4245805223073871E-2</v>
      </c>
      <c r="BB156" s="1">
        <v>5.5621797974056982E-2</v>
      </c>
      <c r="BC156" s="1">
        <v>4.2717016762418514E-2</v>
      </c>
      <c r="BD156" s="1">
        <v>-4.7917146708507177E-3</v>
      </c>
      <c r="BE156" s="1">
        <v>-2.644557448560203E-2</v>
      </c>
      <c r="BF156" s="1">
        <v>-9.5672251022472926E-2</v>
      </c>
      <c r="BG156" s="1">
        <v>0.20870874742566431</v>
      </c>
      <c r="BH156" s="1">
        <v>-6.6462063983670619E-2</v>
      </c>
      <c r="BI156" s="1">
        <v>-1.5337143263068023E-2</v>
      </c>
      <c r="BJ156" s="1">
        <v>-9.6840403671162978E-2</v>
      </c>
      <c r="BK156" s="1">
        <v>0.1070939128231065</v>
      </c>
      <c r="BL156" s="1">
        <v>0.14947050802207179</v>
      </c>
      <c r="BM156" s="1">
        <v>-8.1827855951384212E-2</v>
      </c>
      <c r="BN156" s="1">
        <v>-0.13466997998523328</v>
      </c>
      <c r="BO156" s="12">
        <v>-7.4894806747873591E-2</v>
      </c>
      <c r="BP156" s="23"/>
      <c r="BQ156" s="23"/>
      <c r="BR156" s="23"/>
      <c r="BS156" s="23"/>
      <c r="BT156" s="23"/>
    </row>
    <row r="157" spans="1:72">
      <c r="A157">
        <v>3</v>
      </c>
      <c r="B157" s="11">
        <v>0</v>
      </c>
      <c r="C157" s="1">
        <v>0</v>
      </c>
      <c r="D157" s="1">
        <v>1</v>
      </c>
      <c r="E157" s="1">
        <v>0</v>
      </c>
      <c r="F157" s="1">
        <v>0</v>
      </c>
      <c r="G157" s="1">
        <v>0</v>
      </c>
      <c r="H157" s="1">
        <v>0</v>
      </c>
      <c r="I157" s="1">
        <v>0</v>
      </c>
      <c r="J157" s="1">
        <v>0</v>
      </c>
      <c r="K157" s="1">
        <v>0</v>
      </c>
      <c r="L157" s="1">
        <v>0</v>
      </c>
      <c r="M157" s="1">
        <v>0</v>
      </c>
      <c r="N157" s="1">
        <v>0</v>
      </c>
      <c r="O157" s="1">
        <v>0</v>
      </c>
      <c r="P157" s="1">
        <v>0</v>
      </c>
      <c r="Q157" s="1">
        <v>0</v>
      </c>
      <c r="R157" s="1">
        <v>0</v>
      </c>
      <c r="S157" s="1">
        <v>0</v>
      </c>
      <c r="T157" s="1">
        <v>0</v>
      </c>
      <c r="U157" s="1">
        <v>0</v>
      </c>
      <c r="V157" s="1">
        <v>0</v>
      </c>
      <c r="W157" s="1">
        <v>0</v>
      </c>
      <c r="X157" s="1">
        <v>0</v>
      </c>
      <c r="Y157" s="1">
        <v>0</v>
      </c>
      <c r="Z157" s="1">
        <v>0</v>
      </c>
      <c r="AA157" s="1">
        <v>0</v>
      </c>
      <c r="AB157" s="1">
        <v>0</v>
      </c>
      <c r="AC157" s="1">
        <v>0</v>
      </c>
      <c r="AD157" s="1">
        <v>0</v>
      </c>
      <c r="AE157" s="1">
        <v>0</v>
      </c>
      <c r="AF157" s="1">
        <v>0</v>
      </c>
      <c r="AG157" s="12">
        <v>0</v>
      </c>
      <c r="AH157" s="23"/>
      <c r="AI157" s="23">
        <v>3</v>
      </c>
      <c r="AJ157" s="11">
        <v>-2.5145223961394625E-2</v>
      </c>
      <c r="AK157" s="1">
        <v>9.6445256578346808E-2</v>
      </c>
      <c r="AL157" s="1">
        <v>0.24852732998624558</v>
      </c>
      <c r="AM157" s="1">
        <v>-4.0888664216185699E-2</v>
      </c>
      <c r="AN157" s="1">
        <v>-3.170813279447196E-2</v>
      </c>
      <c r="AO157" s="1">
        <v>1.4512376834163735E-2</v>
      </c>
      <c r="AP157" s="1">
        <v>1.0527357356532135E-2</v>
      </c>
      <c r="AQ157" s="1">
        <v>-4.0888610793637092E-2</v>
      </c>
      <c r="AR157" s="1">
        <v>0.17700290132975749</v>
      </c>
      <c r="AS157" s="1">
        <v>7.0464460536291311E-3</v>
      </c>
      <c r="AT157" s="1">
        <v>2.4168902350813384E-2</v>
      </c>
      <c r="AU157" s="1">
        <v>-2.5145186393083524E-2</v>
      </c>
      <c r="AV157" s="1">
        <v>3.9134983349880352E-3</v>
      </c>
      <c r="AW157" s="1">
        <v>-7.004161082915579E-3</v>
      </c>
      <c r="AX157" s="1">
        <v>-1.8073236610642689E-3</v>
      </c>
      <c r="AY157" s="1">
        <v>-6.3253868098833675E-3</v>
      </c>
      <c r="AZ157" s="1">
        <v>3.1047277352109902E-2</v>
      </c>
      <c r="BA157" s="1">
        <v>1.3304156636339813E-2</v>
      </c>
      <c r="BB157" s="1">
        <v>0.17588554510780513</v>
      </c>
      <c r="BC157" s="1">
        <v>0.16968009327727707</v>
      </c>
      <c r="BD157" s="1">
        <v>-1.5627497078603406E-2</v>
      </c>
      <c r="BE157" s="1">
        <v>-1.3536536008653451E-2</v>
      </c>
      <c r="BF157" s="1">
        <v>-3.247850192413676E-2</v>
      </c>
      <c r="BG157" s="1">
        <v>0.11091149358397318</v>
      </c>
      <c r="BH157" s="1">
        <v>-4.6888438861815367E-2</v>
      </c>
      <c r="BI157" s="1">
        <v>-2.3805197107641882E-3</v>
      </c>
      <c r="BJ157" s="1">
        <v>-1.6376259943086894E-2</v>
      </c>
      <c r="BK157" s="1">
        <v>-5.5094321129637872E-2</v>
      </c>
      <c r="BL157" s="1">
        <v>-0.10557878183471538</v>
      </c>
      <c r="BM157" s="1">
        <v>0.18803984729517509</v>
      </c>
      <c r="BN157" s="1">
        <v>-0.11134325647389898</v>
      </c>
      <c r="BO157" s="12">
        <v>-1.9762941399467479E-2</v>
      </c>
      <c r="BP157" s="23"/>
      <c r="BQ157" s="23"/>
      <c r="BR157" s="23"/>
      <c r="BS157" s="23"/>
      <c r="BT157" s="23"/>
    </row>
    <row r="158" spans="1:72">
      <c r="A158">
        <v>4</v>
      </c>
      <c r="B158" s="11">
        <v>0</v>
      </c>
      <c r="C158" s="1">
        <v>0</v>
      </c>
      <c r="D158" s="1">
        <v>0</v>
      </c>
      <c r="E158" s="1">
        <v>1</v>
      </c>
      <c r="F158" s="1">
        <v>0</v>
      </c>
      <c r="G158" s="1">
        <v>0</v>
      </c>
      <c r="H158" s="1">
        <v>0</v>
      </c>
      <c r="I158" s="1">
        <v>0</v>
      </c>
      <c r="J158" s="1">
        <v>0</v>
      </c>
      <c r="K158" s="1">
        <v>0</v>
      </c>
      <c r="L158" s="1">
        <v>0</v>
      </c>
      <c r="M158" s="1">
        <v>0</v>
      </c>
      <c r="N158" s="1">
        <v>0</v>
      </c>
      <c r="O158" s="1">
        <v>0</v>
      </c>
      <c r="P158" s="1">
        <v>0</v>
      </c>
      <c r="Q158" s="1">
        <v>0</v>
      </c>
      <c r="R158" s="1">
        <v>0</v>
      </c>
      <c r="S158" s="1">
        <v>0</v>
      </c>
      <c r="T158" s="1">
        <v>0</v>
      </c>
      <c r="U158" s="1">
        <v>0</v>
      </c>
      <c r="V158" s="1">
        <v>0</v>
      </c>
      <c r="W158" s="1">
        <v>0</v>
      </c>
      <c r="X158" s="1">
        <v>0</v>
      </c>
      <c r="Y158" s="1">
        <v>0</v>
      </c>
      <c r="Z158" s="1">
        <v>0</v>
      </c>
      <c r="AA158" s="1">
        <v>0</v>
      </c>
      <c r="AB158" s="1">
        <v>0</v>
      </c>
      <c r="AC158" s="1">
        <v>0</v>
      </c>
      <c r="AD158" s="1">
        <v>0</v>
      </c>
      <c r="AE158" s="1">
        <v>0</v>
      </c>
      <c r="AF158" s="1">
        <v>0</v>
      </c>
      <c r="AG158" s="12">
        <v>0</v>
      </c>
      <c r="AH158" s="23"/>
      <c r="AI158" s="23">
        <v>4</v>
      </c>
      <c r="AJ158" s="11">
        <v>5.5711029091542831E-2</v>
      </c>
      <c r="AK158" s="1">
        <v>-5.0989492643736742E-3</v>
      </c>
      <c r="AL158" s="1">
        <v>-4.0888664216185686E-2</v>
      </c>
      <c r="AM158" s="1">
        <v>0.21758824202502092</v>
      </c>
      <c r="AN158" s="1">
        <v>5.7559771004522392E-2</v>
      </c>
      <c r="AO158" s="1">
        <v>-1.4365609085434383E-3</v>
      </c>
      <c r="AP158" s="1">
        <v>0.15284377414578118</v>
      </c>
      <c r="AQ158" s="1">
        <v>0.2175879577379537</v>
      </c>
      <c r="AR158" s="1">
        <v>0.14351812113858364</v>
      </c>
      <c r="AS158" s="1">
        <v>-3.3809428378350097E-2</v>
      </c>
      <c r="AT158" s="1">
        <v>-5.4420354358936732E-2</v>
      </c>
      <c r="AU158" s="1">
        <v>5.5710945856282154E-2</v>
      </c>
      <c r="AV158" s="1">
        <v>1.2232790217284753E-2</v>
      </c>
      <c r="AW158" s="1">
        <v>1.7094937458372012E-2</v>
      </c>
      <c r="AX158" s="1">
        <v>-6.9751472675838588E-4</v>
      </c>
      <c r="AY158" s="1">
        <v>-5.4375837793629641E-3</v>
      </c>
      <c r="AZ158" s="1">
        <v>3.2867068410813525E-3</v>
      </c>
      <c r="BA158" s="1">
        <v>1.9664805343708468E-2</v>
      </c>
      <c r="BB158" s="1">
        <v>1.0507488046316231E-2</v>
      </c>
      <c r="BC158" s="1">
        <v>-3.6077250996883845E-2</v>
      </c>
      <c r="BD158" s="1">
        <v>-1.5662871158552388E-2</v>
      </c>
      <c r="BE158" s="1">
        <v>-3.2878725227992414E-2</v>
      </c>
      <c r="BF158" s="1">
        <v>-3.4991088917147389E-2</v>
      </c>
      <c r="BG158" s="1">
        <v>-5.1393950238650614E-2</v>
      </c>
      <c r="BH158" s="1">
        <v>0.20553597678634755</v>
      </c>
      <c r="BI158" s="1">
        <v>-7.0609341244004753E-2</v>
      </c>
      <c r="BJ158" s="1">
        <v>6.2547747775596352E-2</v>
      </c>
      <c r="BK158" s="1">
        <v>3.1808986976565222E-2</v>
      </c>
      <c r="BL158" s="1">
        <v>1.6978084199756424E-2</v>
      </c>
      <c r="BM158" s="1">
        <v>-3.2196620368209902E-2</v>
      </c>
      <c r="BN158" s="1">
        <v>5.0125935394006345E-2</v>
      </c>
      <c r="BO158" s="12">
        <v>-1.2229241617681484E-2</v>
      </c>
      <c r="BP158" s="23"/>
      <c r="BQ158" s="23"/>
      <c r="BR158" s="23"/>
      <c r="BS158" s="23"/>
      <c r="BT158" s="23"/>
    </row>
    <row r="159" spans="1:72">
      <c r="A159">
        <v>5</v>
      </c>
      <c r="B159" s="11">
        <v>0</v>
      </c>
      <c r="C159" s="1">
        <v>0</v>
      </c>
      <c r="D159" s="1">
        <v>0</v>
      </c>
      <c r="E159" s="1">
        <v>0</v>
      </c>
      <c r="F159" s="1">
        <v>1</v>
      </c>
      <c r="G159" s="1">
        <v>0</v>
      </c>
      <c r="H159" s="1">
        <v>0</v>
      </c>
      <c r="I159" s="1">
        <v>0</v>
      </c>
      <c r="J159" s="1">
        <v>0</v>
      </c>
      <c r="K159" s="1">
        <v>0</v>
      </c>
      <c r="L159" s="1">
        <v>0</v>
      </c>
      <c r="M159" s="1">
        <v>0</v>
      </c>
      <c r="N159" s="1">
        <v>0</v>
      </c>
      <c r="O159" s="1">
        <v>0</v>
      </c>
      <c r="P159" s="1">
        <v>0</v>
      </c>
      <c r="Q159" s="1">
        <v>0</v>
      </c>
      <c r="R159" s="1">
        <v>0</v>
      </c>
      <c r="S159" s="1">
        <v>0</v>
      </c>
      <c r="T159" s="1">
        <v>0</v>
      </c>
      <c r="U159" s="1">
        <v>0</v>
      </c>
      <c r="V159" s="1">
        <v>0</v>
      </c>
      <c r="W159" s="1">
        <v>0</v>
      </c>
      <c r="X159" s="1">
        <v>0</v>
      </c>
      <c r="Y159" s="1">
        <v>0</v>
      </c>
      <c r="Z159" s="1">
        <v>0</v>
      </c>
      <c r="AA159" s="1">
        <v>0</v>
      </c>
      <c r="AB159" s="1">
        <v>0</v>
      </c>
      <c r="AC159" s="1">
        <v>0</v>
      </c>
      <c r="AD159" s="1">
        <v>0</v>
      </c>
      <c r="AE159" s="1">
        <v>0</v>
      </c>
      <c r="AF159" s="1">
        <v>0</v>
      </c>
      <c r="AG159" s="12">
        <v>0</v>
      </c>
      <c r="AH159" s="23"/>
      <c r="AI159" s="23">
        <v>5</v>
      </c>
      <c r="AJ159" s="11">
        <v>7.2598954586878484E-2</v>
      </c>
      <c r="AK159" s="1">
        <v>3.1228702231296146E-2</v>
      </c>
      <c r="AL159" s="1">
        <v>-3.1708132794471947E-2</v>
      </c>
      <c r="AM159" s="1">
        <v>5.7559771004522357E-2</v>
      </c>
      <c r="AN159" s="1">
        <v>0.18779729480637136</v>
      </c>
      <c r="AO159" s="1">
        <v>2.4364516320582452E-4</v>
      </c>
      <c r="AP159" s="1">
        <v>2.4501523257525106E-2</v>
      </c>
      <c r="AQ159" s="1">
        <v>5.7559695800557524E-2</v>
      </c>
      <c r="AR159" s="1">
        <v>5.0688987796916926E-2</v>
      </c>
      <c r="AS159" s="1">
        <v>-3.8692117289562525E-2</v>
      </c>
      <c r="AT159" s="1">
        <v>-7.5898566660941899E-2</v>
      </c>
      <c r="AU159" s="1">
        <v>7.2598846120152771E-2</v>
      </c>
      <c r="AV159" s="1">
        <v>7.0979706374456275E-2</v>
      </c>
      <c r="AW159" s="1">
        <v>-3.2631778084408022E-2</v>
      </c>
      <c r="AX159" s="1">
        <v>4.3559553066843733E-2</v>
      </c>
      <c r="AY159" s="1">
        <v>3.7850421393767208E-2</v>
      </c>
      <c r="AZ159" s="1">
        <v>7.7850937276030985E-2</v>
      </c>
      <c r="BA159" s="1">
        <v>4.5086240218582797E-2</v>
      </c>
      <c r="BB159" s="1">
        <v>0.11957782970307206</v>
      </c>
      <c r="BC159" s="1">
        <v>7.9061122569618822E-3</v>
      </c>
      <c r="BD159" s="1">
        <v>0.11173607098958017</v>
      </c>
      <c r="BE159" s="1">
        <v>4.1667921164782164E-2</v>
      </c>
      <c r="BF159" s="1">
        <v>-3.2832100713948473E-2</v>
      </c>
      <c r="BG159" s="1">
        <v>-9.1028619532276561E-2</v>
      </c>
      <c r="BH159" s="1">
        <v>-7.0375187796777289E-2</v>
      </c>
      <c r="BI159" s="1">
        <v>4.0831915888639998E-2</v>
      </c>
      <c r="BJ159" s="1">
        <v>-0.10230803059559525</v>
      </c>
      <c r="BK159" s="1">
        <v>7.8326267150415296E-2</v>
      </c>
      <c r="BL159" s="1">
        <v>-6.3380586994574717E-3</v>
      </c>
      <c r="BM159" s="1">
        <v>-9.7800324358733343E-2</v>
      </c>
      <c r="BN159" s="1">
        <v>0.16543661845254165</v>
      </c>
      <c r="BO159" s="12">
        <v>-8.5349249445453385E-2</v>
      </c>
      <c r="BP159" s="23"/>
      <c r="BQ159" s="23"/>
      <c r="BR159" s="23"/>
      <c r="BS159" s="23"/>
      <c r="BT159" s="23"/>
    </row>
    <row r="160" spans="1:72">
      <c r="A160">
        <v>6</v>
      </c>
      <c r="B160" s="11">
        <v>0</v>
      </c>
      <c r="C160" s="1">
        <v>0</v>
      </c>
      <c r="D160" s="1">
        <v>0</v>
      </c>
      <c r="E160" s="1">
        <v>0</v>
      </c>
      <c r="F160" s="1">
        <v>0</v>
      </c>
      <c r="G160" s="1">
        <v>1</v>
      </c>
      <c r="H160" s="1">
        <v>0</v>
      </c>
      <c r="I160" s="1">
        <v>0</v>
      </c>
      <c r="J160" s="1">
        <v>0</v>
      </c>
      <c r="K160" s="1">
        <v>0</v>
      </c>
      <c r="L160" s="1">
        <v>0</v>
      </c>
      <c r="M160" s="1">
        <v>0</v>
      </c>
      <c r="N160" s="1">
        <v>0</v>
      </c>
      <c r="O160" s="1">
        <v>0</v>
      </c>
      <c r="P160" s="1">
        <v>0</v>
      </c>
      <c r="Q160" s="1">
        <v>0</v>
      </c>
      <c r="R160" s="1">
        <v>0</v>
      </c>
      <c r="S160" s="1">
        <v>0</v>
      </c>
      <c r="T160" s="1">
        <v>0</v>
      </c>
      <c r="U160" s="1">
        <v>0</v>
      </c>
      <c r="V160" s="1">
        <v>0</v>
      </c>
      <c r="W160" s="1">
        <v>0</v>
      </c>
      <c r="X160" s="1">
        <v>0</v>
      </c>
      <c r="Y160" s="1">
        <v>0</v>
      </c>
      <c r="Z160" s="1">
        <v>0</v>
      </c>
      <c r="AA160" s="1">
        <v>0</v>
      </c>
      <c r="AB160" s="1">
        <v>0</v>
      </c>
      <c r="AC160" s="1">
        <v>0</v>
      </c>
      <c r="AD160" s="1">
        <v>0</v>
      </c>
      <c r="AE160" s="1">
        <v>0</v>
      </c>
      <c r="AF160" s="1">
        <v>0</v>
      </c>
      <c r="AG160" s="12">
        <v>0</v>
      </c>
      <c r="AH160" s="23"/>
      <c r="AI160" s="23">
        <v>6</v>
      </c>
      <c r="AJ160" s="11">
        <v>0.12860488592728342</v>
      </c>
      <c r="AK160" s="1">
        <v>1.7181511233458284E-2</v>
      </c>
      <c r="AL160" s="1">
        <v>1.4512376834163766E-2</v>
      </c>
      <c r="AM160" s="1">
        <v>-1.4365609085434522E-3</v>
      </c>
      <c r="AN160" s="1">
        <v>2.4364516320575513E-4</v>
      </c>
      <c r="AO160" s="1">
        <v>0.30496026222840344</v>
      </c>
      <c r="AP160" s="1">
        <v>0.20911173452293141</v>
      </c>
      <c r="AQ160" s="1">
        <v>-1.4365590316234994E-3</v>
      </c>
      <c r="AR160" s="1">
        <v>-2.3245237133629859E-2</v>
      </c>
      <c r="AS160" s="1">
        <v>4.4722970373039628E-2</v>
      </c>
      <c r="AT160" s="1">
        <v>0.10742108410420705</v>
      </c>
      <c r="AU160" s="1">
        <v>0.12860469378469724</v>
      </c>
      <c r="AV160" s="1">
        <v>-2.6193980892579405E-2</v>
      </c>
      <c r="AW160" s="1">
        <v>-8.4678518282021685E-3</v>
      </c>
      <c r="AX160" s="1">
        <v>-2.0883528001205846E-2</v>
      </c>
      <c r="AY160" s="1">
        <v>-1.847167442388974E-2</v>
      </c>
      <c r="AZ160" s="1">
        <v>-2.6960448993694304E-3</v>
      </c>
      <c r="BA160" s="1">
        <v>7.4295106480822895E-3</v>
      </c>
      <c r="BB160" s="1">
        <v>-3.6209164050798655E-3</v>
      </c>
      <c r="BC160" s="1">
        <v>-2.9658086456110642E-2</v>
      </c>
      <c r="BD160" s="1">
        <v>-7.7886042105369868E-2</v>
      </c>
      <c r="BE160" s="1">
        <v>-3.7804994771344066E-2</v>
      </c>
      <c r="BF160" s="1">
        <v>-3.1223752105135855E-2</v>
      </c>
      <c r="BG160" s="1">
        <v>1.5347671626865265E-2</v>
      </c>
      <c r="BH160" s="1">
        <v>-0.13340098013922741</v>
      </c>
      <c r="BI160" s="1">
        <v>0.26496809749421191</v>
      </c>
      <c r="BJ160" s="1">
        <v>0.13402833715725843</v>
      </c>
      <c r="BK160" s="1">
        <v>3.4993143734999371E-2</v>
      </c>
      <c r="BL160" s="1">
        <v>-1.249842069812537E-3</v>
      </c>
      <c r="BM160" s="1">
        <v>4.3483204646852298E-2</v>
      </c>
      <c r="BN160" s="1">
        <v>-1.4664953617849153E-2</v>
      </c>
      <c r="BO160" s="12">
        <v>8.2415485793311018E-3</v>
      </c>
      <c r="BP160" s="23"/>
      <c r="BQ160" s="23"/>
      <c r="BR160" s="23"/>
      <c r="BS160" s="23"/>
      <c r="BT160" s="23"/>
    </row>
    <row r="161" spans="1:72">
      <c r="A161">
        <v>7</v>
      </c>
      <c r="B161" s="11">
        <v>0</v>
      </c>
      <c r="C161" s="1">
        <v>0</v>
      </c>
      <c r="D161" s="1">
        <v>0</v>
      </c>
      <c r="E161" s="1">
        <v>0</v>
      </c>
      <c r="F161" s="1">
        <v>0</v>
      </c>
      <c r="G161" s="1">
        <v>0</v>
      </c>
      <c r="H161" s="1">
        <v>1</v>
      </c>
      <c r="I161" s="1">
        <v>0</v>
      </c>
      <c r="J161" s="1">
        <v>0</v>
      </c>
      <c r="K161" s="1">
        <v>0</v>
      </c>
      <c r="L161" s="1">
        <v>0</v>
      </c>
      <c r="M161" s="1">
        <v>0</v>
      </c>
      <c r="N161" s="1">
        <v>0</v>
      </c>
      <c r="O161" s="1">
        <v>0</v>
      </c>
      <c r="P161" s="1">
        <v>0</v>
      </c>
      <c r="Q161" s="1">
        <v>0</v>
      </c>
      <c r="R161" s="1">
        <v>0</v>
      </c>
      <c r="S161" s="1">
        <v>0</v>
      </c>
      <c r="T161" s="1">
        <v>0</v>
      </c>
      <c r="U161" s="1">
        <v>0</v>
      </c>
      <c r="V161" s="1">
        <v>0</v>
      </c>
      <c r="W161" s="1">
        <v>0</v>
      </c>
      <c r="X161" s="1">
        <v>0</v>
      </c>
      <c r="Y161" s="1">
        <v>0</v>
      </c>
      <c r="Z161" s="1">
        <v>0</v>
      </c>
      <c r="AA161" s="1">
        <v>0</v>
      </c>
      <c r="AB161" s="1">
        <v>0</v>
      </c>
      <c r="AC161" s="1">
        <v>0</v>
      </c>
      <c r="AD161" s="1">
        <v>0</v>
      </c>
      <c r="AE161" s="1">
        <v>0</v>
      </c>
      <c r="AF161" s="1">
        <v>0</v>
      </c>
      <c r="AG161" s="12">
        <v>0</v>
      </c>
      <c r="AH161" s="23"/>
      <c r="AI161" s="23">
        <v>7</v>
      </c>
      <c r="AJ161" s="11">
        <v>-5.720918967344836E-2</v>
      </c>
      <c r="AK161" s="1">
        <v>5.4257313940119137E-2</v>
      </c>
      <c r="AL161" s="1">
        <v>1.0527357356532256E-2</v>
      </c>
      <c r="AM161" s="1">
        <v>0.15284377414578115</v>
      </c>
      <c r="AN161" s="1">
        <v>2.4501523257524978E-2</v>
      </c>
      <c r="AO161" s="1">
        <v>0.20911173452293152</v>
      </c>
      <c r="AP161" s="1">
        <v>0.55199704638376035</v>
      </c>
      <c r="AQ161" s="1">
        <v>0.1528435744497505</v>
      </c>
      <c r="AR161" s="1">
        <v>6.978487278544776E-2</v>
      </c>
      <c r="AS161" s="1">
        <v>-4.8858649567739025E-4</v>
      </c>
      <c r="AT161" s="1">
        <v>-1.5293336827920997E-2</v>
      </c>
      <c r="AU161" s="1">
        <v>-5.7209104199855483E-2</v>
      </c>
      <c r="AV161" s="1">
        <v>5.1688716605556226E-3</v>
      </c>
      <c r="AW161" s="1">
        <v>-5.421778186445618E-3</v>
      </c>
      <c r="AX161" s="1">
        <v>6.9636412207836401E-3</v>
      </c>
      <c r="AY161" s="1">
        <v>-2.4099252778865604E-3</v>
      </c>
      <c r="AZ161" s="1">
        <v>4.9375701809350955E-2</v>
      </c>
      <c r="BA161" s="1">
        <v>-1.6926656380652338E-2</v>
      </c>
      <c r="BB161" s="1">
        <v>-2.5370396987786765E-2</v>
      </c>
      <c r="BC161" s="1">
        <v>-5.5112447298938189E-2</v>
      </c>
      <c r="BD161" s="1">
        <v>3.9902939440466634E-2</v>
      </c>
      <c r="BE161" s="1">
        <v>3.3377865928935609E-2</v>
      </c>
      <c r="BF161" s="1">
        <v>9.4851257174401998E-3</v>
      </c>
      <c r="BG161" s="1">
        <v>8.2855599490751886E-2</v>
      </c>
      <c r="BH161" s="1">
        <v>-0.12157084355110293</v>
      </c>
      <c r="BI161" s="1">
        <v>-4.4050687026491425E-2</v>
      </c>
      <c r="BJ161" s="1">
        <v>0.29516476633235472</v>
      </c>
      <c r="BK161" s="1">
        <v>0.13498676667465709</v>
      </c>
      <c r="BL161" s="1">
        <v>-2.256056501529452E-2</v>
      </c>
      <c r="BM161" s="1">
        <v>2.8769850994326697E-2</v>
      </c>
      <c r="BN161" s="1">
        <v>4.2221026929326375E-2</v>
      </c>
      <c r="BO161" s="12">
        <v>-1.3461567189908603E-2</v>
      </c>
      <c r="BP161" s="23"/>
      <c r="BQ161" s="23"/>
      <c r="BR161" s="23"/>
      <c r="BS161" s="23"/>
      <c r="BT161" s="23"/>
    </row>
    <row r="162" spans="1:72">
      <c r="A162">
        <v>8</v>
      </c>
      <c r="B162" s="11">
        <v>0</v>
      </c>
      <c r="C162" s="1">
        <v>0</v>
      </c>
      <c r="D162" s="1">
        <v>0</v>
      </c>
      <c r="E162" s="1">
        <v>0</v>
      </c>
      <c r="F162" s="1">
        <v>0</v>
      </c>
      <c r="G162" s="1">
        <v>0</v>
      </c>
      <c r="H162" s="1">
        <v>0</v>
      </c>
      <c r="I162" s="1">
        <v>1</v>
      </c>
      <c r="J162" s="1">
        <v>0</v>
      </c>
      <c r="K162" s="1">
        <v>0</v>
      </c>
      <c r="L162" s="1">
        <v>0</v>
      </c>
      <c r="M162" s="1">
        <v>0</v>
      </c>
      <c r="N162" s="1">
        <v>0</v>
      </c>
      <c r="O162" s="1">
        <v>0</v>
      </c>
      <c r="P162" s="1">
        <v>0</v>
      </c>
      <c r="Q162" s="1">
        <v>0</v>
      </c>
      <c r="R162" s="1">
        <v>0</v>
      </c>
      <c r="S162" s="1">
        <v>0</v>
      </c>
      <c r="T162" s="1">
        <v>0</v>
      </c>
      <c r="U162" s="1">
        <v>0</v>
      </c>
      <c r="V162" s="1">
        <v>0</v>
      </c>
      <c r="W162" s="1">
        <v>0</v>
      </c>
      <c r="X162" s="1">
        <v>0</v>
      </c>
      <c r="Y162" s="1">
        <v>0</v>
      </c>
      <c r="Z162" s="1">
        <v>0</v>
      </c>
      <c r="AA162" s="1">
        <v>0</v>
      </c>
      <c r="AB162" s="1">
        <v>0</v>
      </c>
      <c r="AC162" s="1">
        <v>0</v>
      </c>
      <c r="AD162" s="1">
        <v>0</v>
      </c>
      <c r="AE162" s="1">
        <v>0</v>
      </c>
      <c r="AF162" s="1">
        <v>0</v>
      </c>
      <c r="AG162" s="12">
        <v>0</v>
      </c>
      <c r="AH162" s="23"/>
      <c r="AI162" s="23">
        <v>8</v>
      </c>
      <c r="AJ162" s="11">
        <v>5.5710956303027505E-2</v>
      </c>
      <c r="AK162" s="1">
        <v>-5.0989426024083233E-3</v>
      </c>
      <c r="AL162" s="1">
        <v>-4.0888610793637065E-2</v>
      </c>
      <c r="AM162" s="1">
        <v>0.21758795773795367</v>
      </c>
      <c r="AN162" s="1">
        <v>5.7559695800557531E-2</v>
      </c>
      <c r="AO162" s="1">
        <v>-1.4365590316234716E-3</v>
      </c>
      <c r="AP162" s="1">
        <v>0.15284357444975052</v>
      </c>
      <c r="AQ162" s="1">
        <v>0.21758767345125785</v>
      </c>
      <c r="AR162" s="1">
        <v>0.14351793362686244</v>
      </c>
      <c r="AS162" s="1">
        <v>-3.3809384205084336E-2</v>
      </c>
      <c r="AT162" s="1">
        <v>-5.4420283256735619E-2</v>
      </c>
      <c r="AU162" s="1">
        <v>5.5710873067875574E-2</v>
      </c>
      <c r="AV162" s="1">
        <v>1.2232774234692934E-2</v>
      </c>
      <c r="AW162" s="1">
        <v>1.709491512320541E-2</v>
      </c>
      <c r="AX162" s="1">
        <v>-6.9751381542965812E-4</v>
      </c>
      <c r="AY162" s="1">
        <v>-5.4375766749591003E-3</v>
      </c>
      <c r="AZ162" s="1">
        <v>3.2867025468775561E-3</v>
      </c>
      <c r="BA162" s="1">
        <v>1.9664779650914632E-2</v>
      </c>
      <c r="BB162" s="1">
        <v>1.0507474317895334E-2</v>
      </c>
      <c r="BC162" s="1">
        <v>-3.6077203860624144E-2</v>
      </c>
      <c r="BD162" s="1">
        <v>-1.5662850694433281E-2</v>
      </c>
      <c r="BE162" s="1">
        <v>-3.287868227072465E-2</v>
      </c>
      <c r="BF162" s="1">
        <v>-3.4991043199998517E-2</v>
      </c>
      <c r="BG162" s="1">
        <v>-5.1393883090558153E-2</v>
      </c>
      <c r="BH162" s="1">
        <v>0.20553570824600947</v>
      </c>
      <c r="BI162" s="1">
        <v>-7.0609248990294859E-2</v>
      </c>
      <c r="BJ162" s="1">
        <v>6.2547666054656115E-2</v>
      </c>
      <c r="BK162" s="1">
        <v>3.180894541694991E-2</v>
      </c>
      <c r="BL162" s="1">
        <v>1.6978062017262936E-2</v>
      </c>
      <c r="BM162" s="1">
        <v>-3.2196578302137312E-2</v>
      </c>
      <c r="BN162" s="1">
        <v>5.0125869902622015E-2</v>
      </c>
      <c r="BO162" s="12">
        <v>-1.2229225639726019E-2</v>
      </c>
      <c r="BP162" s="23"/>
      <c r="BQ162" s="23"/>
      <c r="BR162" s="23"/>
      <c r="BS162" s="23"/>
      <c r="BT162" s="23"/>
    </row>
    <row r="163" spans="1:72">
      <c r="A163">
        <v>9</v>
      </c>
      <c r="B163" s="11">
        <v>0</v>
      </c>
      <c r="C163" s="1">
        <v>0</v>
      </c>
      <c r="D163" s="1">
        <v>0</v>
      </c>
      <c r="E163" s="1">
        <v>0</v>
      </c>
      <c r="F163" s="1">
        <v>0</v>
      </c>
      <c r="G163" s="1">
        <v>0</v>
      </c>
      <c r="H163" s="1">
        <v>0</v>
      </c>
      <c r="I163" s="1">
        <v>0</v>
      </c>
      <c r="J163" s="1">
        <v>1</v>
      </c>
      <c r="K163" s="1">
        <v>0</v>
      </c>
      <c r="L163" s="1">
        <v>0</v>
      </c>
      <c r="M163" s="1">
        <v>0</v>
      </c>
      <c r="N163" s="1">
        <v>0</v>
      </c>
      <c r="O163" s="1">
        <v>0</v>
      </c>
      <c r="P163" s="1">
        <v>0</v>
      </c>
      <c r="Q163" s="1">
        <v>0</v>
      </c>
      <c r="R163" s="1">
        <v>0</v>
      </c>
      <c r="S163" s="1">
        <v>0</v>
      </c>
      <c r="T163" s="1">
        <v>0</v>
      </c>
      <c r="U163" s="1">
        <v>0</v>
      </c>
      <c r="V163" s="1">
        <v>0</v>
      </c>
      <c r="W163" s="1">
        <v>0</v>
      </c>
      <c r="X163" s="1">
        <v>0</v>
      </c>
      <c r="Y163" s="1">
        <v>0</v>
      </c>
      <c r="Z163" s="1">
        <v>0</v>
      </c>
      <c r="AA163" s="1">
        <v>0</v>
      </c>
      <c r="AB163" s="1">
        <v>0</v>
      </c>
      <c r="AC163" s="1">
        <v>0</v>
      </c>
      <c r="AD163" s="1">
        <v>0</v>
      </c>
      <c r="AE163" s="1">
        <v>0</v>
      </c>
      <c r="AF163" s="1">
        <v>0</v>
      </c>
      <c r="AG163" s="12">
        <v>0</v>
      </c>
      <c r="AH163" s="23"/>
      <c r="AI163" s="23">
        <v>9</v>
      </c>
      <c r="AJ163" s="11">
        <v>4.5375592248927205E-2</v>
      </c>
      <c r="AK163" s="1">
        <v>0.10136402407730681</v>
      </c>
      <c r="AL163" s="1">
        <v>0.17700290132975754</v>
      </c>
      <c r="AM163" s="1">
        <v>0.14351812113858364</v>
      </c>
      <c r="AN163" s="1">
        <v>5.0688987796916968E-2</v>
      </c>
      <c r="AO163" s="1">
        <v>-2.3245237133629887E-2</v>
      </c>
      <c r="AP163" s="1">
        <v>6.9784872785447705E-2</v>
      </c>
      <c r="AQ163" s="1">
        <v>0.14351793362686249</v>
      </c>
      <c r="AR163" s="1">
        <v>0.2978950282412372</v>
      </c>
      <c r="AS163" s="1">
        <v>-2.814962661415947E-2</v>
      </c>
      <c r="AT163" s="1">
        <v>-3.3518785459383596E-2</v>
      </c>
      <c r="AU163" s="1">
        <v>4.5375524455362637E-2</v>
      </c>
      <c r="AV163" s="1">
        <v>1.6133310730986679E-2</v>
      </c>
      <c r="AW163" s="1">
        <v>1.1375102680091172E-2</v>
      </c>
      <c r="AX163" s="1">
        <v>-3.2489012665392752E-3</v>
      </c>
      <c r="AY163" s="1">
        <v>-1.598158917279589E-2</v>
      </c>
      <c r="AZ163" s="1">
        <v>4.8642925008163591E-2</v>
      </c>
      <c r="BA163" s="1">
        <v>3.0963576024931085E-2</v>
      </c>
      <c r="BB163" s="1">
        <v>0.1595715360825059</v>
      </c>
      <c r="BC163" s="1">
        <v>8.2692745626762473E-2</v>
      </c>
      <c r="BD163" s="1">
        <v>-3.100721610365359E-2</v>
      </c>
      <c r="BE163" s="1">
        <v>-4.6193240061393331E-2</v>
      </c>
      <c r="BF163" s="1">
        <v>-7.3026957657980548E-2</v>
      </c>
      <c r="BG163" s="1">
        <v>6.7619727363402299E-2</v>
      </c>
      <c r="BH163" s="1">
        <v>0.14506297354320796</v>
      </c>
      <c r="BI163" s="1">
        <v>-6.2455287083582778E-2</v>
      </c>
      <c r="BJ163" s="1">
        <v>-8.2188016544886153E-2</v>
      </c>
      <c r="BK163" s="1">
        <v>4.3019553471066792E-2</v>
      </c>
      <c r="BL163" s="1">
        <v>-8.1304283303928776E-2</v>
      </c>
      <c r="BM163" s="1">
        <v>0.14481501504326089</v>
      </c>
      <c r="BN163" s="1">
        <v>-2.5197265364341553E-2</v>
      </c>
      <c r="BO163" s="12">
        <v>-3.5946242710450993E-2</v>
      </c>
      <c r="BP163" s="23"/>
      <c r="BQ163" s="23"/>
      <c r="BR163" s="23"/>
      <c r="BS163" s="23"/>
      <c r="BT163" s="23"/>
    </row>
    <row r="164" spans="1:72">
      <c r="A164">
        <v>10</v>
      </c>
      <c r="B164" s="11">
        <v>0</v>
      </c>
      <c r="C164" s="1">
        <v>0</v>
      </c>
      <c r="D164" s="1">
        <v>0</v>
      </c>
      <c r="E164" s="1">
        <v>0</v>
      </c>
      <c r="F164" s="1">
        <v>0</v>
      </c>
      <c r="G164" s="1">
        <v>0</v>
      </c>
      <c r="H164" s="1">
        <v>0</v>
      </c>
      <c r="I164" s="1">
        <v>0</v>
      </c>
      <c r="J164" s="1">
        <v>0</v>
      </c>
      <c r="K164" s="1">
        <v>1</v>
      </c>
      <c r="L164" s="1">
        <v>0</v>
      </c>
      <c r="M164" s="1">
        <v>0</v>
      </c>
      <c r="N164" s="1">
        <v>0</v>
      </c>
      <c r="O164" s="1">
        <v>0</v>
      </c>
      <c r="P164" s="1">
        <v>0</v>
      </c>
      <c r="Q164" s="1">
        <v>0</v>
      </c>
      <c r="R164" s="1">
        <v>0</v>
      </c>
      <c r="S164" s="1">
        <v>0</v>
      </c>
      <c r="T164" s="1">
        <v>0</v>
      </c>
      <c r="U164" s="1">
        <v>0</v>
      </c>
      <c r="V164" s="1">
        <v>0</v>
      </c>
      <c r="W164" s="1">
        <v>0</v>
      </c>
      <c r="X164" s="1">
        <v>0</v>
      </c>
      <c r="Y164" s="1">
        <v>0</v>
      </c>
      <c r="Z164" s="1">
        <v>0</v>
      </c>
      <c r="AA164" s="1">
        <v>0</v>
      </c>
      <c r="AB164" s="1">
        <v>0</v>
      </c>
      <c r="AC164" s="1">
        <v>0</v>
      </c>
      <c r="AD164" s="1">
        <v>0</v>
      </c>
      <c r="AE164" s="1">
        <v>0</v>
      </c>
      <c r="AF164" s="1">
        <v>0</v>
      </c>
      <c r="AG164" s="12">
        <v>0</v>
      </c>
      <c r="AH164" s="23"/>
      <c r="AI164" s="23">
        <v>10</v>
      </c>
      <c r="AJ164" s="11">
        <v>9.2835979198405028E-2</v>
      </c>
      <c r="AK164" s="1">
        <v>-9.6110302755524797E-3</v>
      </c>
      <c r="AL164" s="1">
        <v>7.0464460536291407E-3</v>
      </c>
      <c r="AM164" s="1">
        <v>-3.380942837835009E-2</v>
      </c>
      <c r="AN164" s="1">
        <v>-3.8692117289562511E-2</v>
      </c>
      <c r="AO164" s="1">
        <v>4.4722970373039565E-2</v>
      </c>
      <c r="AP164" s="1">
        <v>-4.8858649567743882E-4</v>
      </c>
      <c r="AQ164" s="1">
        <v>-3.3809384205084336E-2</v>
      </c>
      <c r="AR164" s="1">
        <v>-2.8149626614159474E-2</v>
      </c>
      <c r="AS164" s="1">
        <v>0.46776558752457831</v>
      </c>
      <c r="AT164" s="1">
        <v>0.24104000207500301</v>
      </c>
      <c r="AU164" s="1">
        <v>9.2835840496480748E-2</v>
      </c>
      <c r="AV164" s="1">
        <v>0.11749319579297124</v>
      </c>
      <c r="AW164" s="1">
        <v>0.30045342774525136</v>
      </c>
      <c r="AX164" s="1">
        <v>3.602766232087036E-2</v>
      </c>
      <c r="AY164" s="1">
        <v>-3.6656322264936356E-2</v>
      </c>
      <c r="AZ164" s="1">
        <v>-2.9758498502099051E-2</v>
      </c>
      <c r="BA164" s="1">
        <v>-3.180404754121946E-2</v>
      </c>
      <c r="BB164" s="1">
        <v>-2.9853105984760774E-2</v>
      </c>
      <c r="BC164" s="1">
        <v>9.4194947351103654E-3</v>
      </c>
      <c r="BD164" s="1">
        <v>0.18636068770851827</v>
      </c>
      <c r="BE164" s="1">
        <v>-8.1946124763595335E-2</v>
      </c>
      <c r="BF164" s="1">
        <v>-6.9645390329386679E-3</v>
      </c>
      <c r="BG164" s="1">
        <v>3.6876800487610592E-2</v>
      </c>
      <c r="BH164" s="1">
        <v>-2.3276578237856112E-2</v>
      </c>
      <c r="BI164" s="1">
        <v>-0.11105024616173874</v>
      </c>
      <c r="BJ164" s="1">
        <v>1.5503003830108414E-2</v>
      </c>
      <c r="BK164" s="1">
        <v>-2.6508214634453492E-3</v>
      </c>
      <c r="BL164" s="1">
        <v>-2.457988166297409E-2</v>
      </c>
      <c r="BM164" s="1">
        <v>1.199121594826973E-2</v>
      </c>
      <c r="BN164" s="1">
        <v>-4.0805564456994001E-3</v>
      </c>
      <c r="BO164" s="12">
        <v>2.3878893731126789E-2</v>
      </c>
      <c r="BP164" s="23"/>
      <c r="BQ164" s="23"/>
      <c r="BR164" s="23"/>
      <c r="BS164" s="23"/>
      <c r="BT164" s="23"/>
    </row>
    <row r="165" spans="1:72">
      <c r="A165">
        <v>11</v>
      </c>
      <c r="B165" s="11">
        <v>0</v>
      </c>
      <c r="C165" s="1">
        <v>0</v>
      </c>
      <c r="D165" s="1">
        <v>0</v>
      </c>
      <c r="E165" s="1">
        <v>0</v>
      </c>
      <c r="F165" s="1">
        <v>0</v>
      </c>
      <c r="G165" s="1">
        <v>0</v>
      </c>
      <c r="H165" s="1">
        <v>0</v>
      </c>
      <c r="I165" s="1">
        <v>0</v>
      </c>
      <c r="J165" s="1">
        <v>0</v>
      </c>
      <c r="K165" s="1">
        <v>0</v>
      </c>
      <c r="L165" s="1">
        <v>1</v>
      </c>
      <c r="M165" s="1">
        <v>0</v>
      </c>
      <c r="N165" s="1">
        <v>0</v>
      </c>
      <c r="O165" s="1">
        <v>0</v>
      </c>
      <c r="P165" s="1">
        <v>0</v>
      </c>
      <c r="Q165" s="1">
        <v>0</v>
      </c>
      <c r="R165" s="1">
        <v>0</v>
      </c>
      <c r="S165" s="1">
        <v>0</v>
      </c>
      <c r="T165" s="1">
        <v>0</v>
      </c>
      <c r="U165" s="1">
        <v>0</v>
      </c>
      <c r="V165" s="1">
        <v>0</v>
      </c>
      <c r="W165" s="1">
        <v>0</v>
      </c>
      <c r="X165" s="1">
        <v>0</v>
      </c>
      <c r="Y165" s="1">
        <v>0</v>
      </c>
      <c r="Z165" s="1">
        <v>0</v>
      </c>
      <c r="AA165" s="1">
        <v>0</v>
      </c>
      <c r="AB165" s="1">
        <v>0</v>
      </c>
      <c r="AC165" s="1">
        <v>0</v>
      </c>
      <c r="AD165" s="1">
        <v>0</v>
      </c>
      <c r="AE165" s="1">
        <v>0</v>
      </c>
      <c r="AF165" s="1">
        <v>0</v>
      </c>
      <c r="AG165" s="12">
        <v>0</v>
      </c>
      <c r="AH165" s="23"/>
      <c r="AI165" s="23">
        <v>11</v>
      </c>
      <c r="AJ165" s="11">
        <v>0.20836720331970321</v>
      </c>
      <c r="AK165" s="1">
        <v>5.6951379289852458E-3</v>
      </c>
      <c r="AL165" s="1">
        <v>2.4168902350813384E-2</v>
      </c>
      <c r="AM165" s="1">
        <v>-5.4420354358936711E-2</v>
      </c>
      <c r="AN165" s="1">
        <v>-7.5898566660941885E-2</v>
      </c>
      <c r="AO165" s="1">
        <v>0.10742108410420713</v>
      </c>
      <c r="AP165" s="1">
        <v>-1.5293336827920978E-2</v>
      </c>
      <c r="AQ165" s="1">
        <v>-5.4420283256735591E-2</v>
      </c>
      <c r="AR165" s="1">
        <v>-3.3518785459383568E-2</v>
      </c>
      <c r="AS165" s="1">
        <v>0.24104000207500306</v>
      </c>
      <c r="AT165" s="1">
        <v>0.47035368744935391</v>
      </c>
      <c r="AU165" s="1">
        <v>0.20836689200794348</v>
      </c>
      <c r="AV165" s="1">
        <v>-6.3815913623576165E-2</v>
      </c>
      <c r="AW165" s="1">
        <v>-0.1307950111959128</v>
      </c>
      <c r="AX165" s="1">
        <v>-1.2065331789432296E-2</v>
      </c>
      <c r="AY165" s="1">
        <v>1.990799016749881E-2</v>
      </c>
      <c r="AZ165" s="1">
        <v>6.969318240715448E-3</v>
      </c>
      <c r="BA165" s="1">
        <v>-2.8033094353982088E-2</v>
      </c>
      <c r="BB165" s="1">
        <v>-4.7373649130423467E-2</v>
      </c>
      <c r="BC165" s="1">
        <v>1.2200560687870513E-2</v>
      </c>
      <c r="BD165" s="1">
        <v>-3.5518917829259117E-2</v>
      </c>
      <c r="BE165" s="1">
        <v>8.7817476383006229E-2</v>
      </c>
      <c r="BF165" s="1">
        <v>6.6574845029766655E-2</v>
      </c>
      <c r="BG165" s="1">
        <v>7.2395112690400665E-2</v>
      </c>
      <c r="BH165" s="1">
        <v>-1.7751734960046756E-2</v>
      </c>
      <c r="BI165" s="1">
        <v>-0.17351678131386769</v>
      </c>
      <c r="BJ165" s="1">
        <v>2.1068124754105629E-2</v>
      </c>
      <c r="BK165" s="1">
        <v>-1.3837523869852545E-2</v>
      </c>
      <c r="BL165" s="1">
        <v>-5.0264570014403043E-3</v>
      </c>
      <c r="BM165" s="1">
        <v>2.6509766918873828E-2</v>
      </c>
      <c r="BN165" s="1">
        <v>-5.7992645260746184E-2</v>
      </c>
      <c r="BO165" s="12">
        <v>1.5634494023554227E-2</v>
      </c>
      <c r="BP165" s="23"/>
      <c r="BQ165" s="23"/>
      <c r="BR165" s="23"/>
      <c r="BS165" s="23"/>
      <c r="BT165" s="23"/>
    </row>
    <row r="166" spans="1:72">
      <c r="A166">
        <v>12</v>
      </c>
      <c r="B166" s="11">
        <v>0</v>
      </c>
      <c r="C166" s="1">
        <v>0</v>
      </c>
      <c r="D166" s="1">
        <v>0</v>
      </c>
      <c r="E166" s="1">
        <v>0</v>
      </c>
      <c r="F166" s="1">
        <v>0</v>
      </c>
      <c r="G166" s="1">
        <v>0</v>
      </c>
      <c r="H166" s="1">
        <v>0</v>
      </c>
      <c r="I166" s="1">
        <v>0</v>
      </c>
      <c r="J166" s="1">
        <v>0</v>
      </c>
      <c r="K166" s="1">
        <v>0</v>
      </c>
      <c r="L166" s="1">
        <v>0</v>
      </c>
      <c r="M166" s="1">
        <v>1</v>
      </c>
      <c r="N166" s="1">
        <v>0</v>
      </c>
      <c r="O166" s="1">
        <v>0</v>
      </c>
      <c r="P166" s="1">
        <v>0</v>
      </c>
      <c r="Q166" s="1">
        <v>0</v>
      </c>
      <c r="R166" s="1">
        <v>0</v>
      </c>
      <c r="S166" s="1">
        <v>0</v>
      </c>
      <c r="T166" s="1">
        <v>0</v>
      </c>
      <c r="U166" s="1">
        <v>0</v>
      </c>
      <c r="V166" s="1">
        <v>0</v>
      </c>
      <c r="W166" s="1">
        <v>0</v>
      </c>
      <c r="X166" s="1">
        <v>0</v>
      </c>
      <c r="Y166" s="1">
        <v>0</v>
      </c>
      <c r="Z166" s="1">
        <v>0</v>
      </c>
      <c r="AA166" s="1">
        <v>0</v>
      </c>
      <c r="AB166" s="1">
        <v>0</v>
      </c>
      <c r="AC166" s="1">
        <v>0</v>
      </c>
      <c r="AD166" s="1">
        <v>0</v>
      </c>
      <c r="AE166" s="1">
        <v>0</v>
      </c>
      <c r="AF166" s="1">
        <v>0</v>
      </c>
      <c r="AG166" s="12">
        <v>0</v>
      </c>
      <c r="AH166" s="23"/>
      <c r="AI166" s="23">
        <v>12</v>
      </c>
      <c r="AJ166" s="11">
        <v>0.26551492848127234</v>
      </c>
      <c r="AK166" s="1">
        <v>-4.5866493761361482E-3</v>
      </c>
      <c r="AL166" s="1">
        <v>-2.5145186393083552E-2</v>
      </c>
      <c r="AM166" s="1">
        <v>5.571094585628214E-2</v>
      </c>
      <c r="AN166" s="1">
        <v>7.2598846120152827E-2</v>
      </c>
      <c r="AO166" s="1">
        <v>0.12860469378469727</v>
      </c>
      <c r="AP166" s="1">
        <v>-5.7209104199855421E-2</v>
      </c>
      <c r="AQ166" s="1">
        <v>5.5710873067875574E-2</v>
      </c>
      <c r="AR166" s="1">
        <v>4.5375524455362581E-2</v>
      </c>
      <c r="AS166" s="1">
        <v>9.2835840496480804E-2</v>
      </c>
      <c r="AT166" s="1">
        <v>0.20836689200794339</v>
      </c>
      <c r="AU166" s="1">
        <v>0.2655145317877512</v>
      </c>
      <c r="AV166" s="1">
        <v>-7.8160980646257774E-3</v>
      </c>
      <c r="AW166" s="1">
        <v>-6.1532880938435675E-2</v>
      </c>
      <c r="AX166" s="1">
        <v>-3.4225532115668492E-3</v>
      </c>
      <c r="AY166" s="1">
        <v>1.1114200682525353E-2</v>
      </c>
      <c r="AZ166" s="1">
        <v>1.1401477760282724E-2</v>
      </c>
      <c r="BA166" s="1">
        <v>3.346613823562989E-2</v>
      </c>
      <c r="BB166" s="1">
        <v>4.9486478396102422E-2</v>
      </c>
      <c r="BC166" s="1">
        <v>-3.6789896700686227E-3</v>
      </c>
      <c r="BD166" s="1">
        <v>-4.6189235948227783E-2</v>
      </c>
      <c r="BE166" s="1">
        <v>-6.3655616023561568E-3</v>
      </c>
      <c r="BF166" s="1">
        <v>-3.2467623150169961E-2</v>
      </c>
      <c r="BG166" s="1">
        <v>-7.4305007242776902E-2</v>
      </c>
      <c r="BH166" s="1">
        <v>6.777490799358632E-2</v>
      </c>
      <c r="BI166" s="1">
        <v>9.1552519949944483E-2</v>
      </c>
      <c r="BJ166" s="1">
        <v>-6.6268828966478802E-2</v>
      </c>
      <c r="BK166" s="1">
        <v>-4.1566345734920379E-4</v>
      </c>
      <c r="BL166" s="1">
        <v>1.6586831568489731E-2</v>
      </c>
      <c r="BM166" s="1">
        <v>-3.8755517458339522E-2</v>
      </c>
      <c r="BN166" s="1">
        <v>4.7150455818767811E-2</v>
      </c>
      <c r="BO166" s="12">
        <v>-2.5867322653608221E-2</v>
      </c>
      <c r="BP166" s="23"/>
      <c r="BQ166" s="23"/>
      <c r="BR166" s="23"/>
      <c r="BS166" s="23"/>
      <c r="BT166" s="23"/>
    </row>
    <row r="167" spans="1:72">
      <c r="A167">
        <v>13</v>
      </c>
      <c r="B167" s="11">
        <v>0</v>
      </c>
      <c r="C167" s="1">
        <v>0</v>
      </c>
      <c r="D167" s="1">
        <v>0</v>
      </c>
      <c r="E167" s="1">
        <v>0</v>
      </c>
      <c r="F167" s="1">
        <v>0</v>
      </c>
      <c r="G167" s="1">
        <v>0</v>
      </c>
      <c r="H167" s="1">
        <v>0</v>
      </c>
      <c r="I167" s="1">
        <v>0</v>
      </c>
      <c r="J167" s="1">
        <v>0</v>
      </c>
      <c r="K167" s="1">
        <v>0</v>
      </c>
      <c r="L167" s="1">
        <v>0</v>
      </c>
      <c r="M167" s="1">
        <v>0</v>
      </c>
      <c r="N167" s="1">
        <v>1</v>
      </c>
      <c r="O167" s="1">
        <v>0</v>
      </c>
      <c r="P167" s="1">
        <v>0</v>
      </c>
      <c r="Q167" s="1">
        <v>0</v>
      </c>
      <c r="R167" s="1">
        <v>0</v>
      </c>
      <c r="S167" s="1">
        <v>0</v>
      </c>
      <c r="T167" s="1">
        <v>0</v>
      </c>
      <c r="U167" s="1">
        <v>0</v>
      </c>
      <c r="V167" s="1">
        <v>0</v>
      </c>
      <c r="W167" s="1">
        <v>0</v>
      </c>
      <c r="X167" s="1">
        <v>0</v>
      </c>
      <c r="Y167" s="1">
        <v>0</v>
      </c>
      <c r="Z167" s="1">
        <v>0</v>
      </c>
      <c r="AA167" s="1">
        <v>0</v>
      </c>
      <c r="AB167" s="1">
        <v>0</v>
      </c>
      <c r="AC167" s="1">
        <v>0</v>
      </c>
      <c r="AD167" s="1">
        <v>0</v>
      </c>
      <c r="AE167" s="1">
        <v>0</v>
      </c>
      <c r="AF167" s="1">
        <v>0</v>
      </c>
      <c r="AG167" s="12">
        <v>0</v>
      </c>
      <c r="AH167" s="23"/>
      <c r="AI167" s="23">
        <v>13</v>
      </c>
      <c r="AJ167" s="11">
        <v>-7.8161097423123244E-3</v>
      </c>
      <c r="AK167" s="1">
        <v>3.2587542391212893E-2</v>
      </c>
      <c r="AL167" s="1">
        <v>3.9134983349880248E-3</v>
      </c>
      <c r="AM167" s="1">
        <v>1.2232790217284711E-2</v>
      </c>
      <c r="AN167" s="1">
        <v>7.097970637445622E-2</v>
      </c>
      <c r="AO167" s="1">
        <v>-2.6193980892579474E-2</v>
      </c>
      <c r="AP167" s="1">
        <v>5.1688716605555688E-3</v>
      </c>
      <c r="AQ167" s="1">
        <v>1.2232774234692885E-2</v>
      </c>
      <c r="AR167" s="1">
        <v>1.613331073098663E-2</v>
      </c>
      <c r="AS167" s="1">
        <v>0.11749319579297124</v>
      </c>
      <c r="AT167" s="1">
        <v>-6.3815913623576165E-2</v>
      </c>
      <c r="AU167" s="1">
        <v>-7.8160980646258399E-3</v>
      </c>
      <c r="AV167" s="1">
        <v>0.35141324046431133</v>
      </c>
      <c r="AW167" s="1">
        <v>0.25835200255510171</v>
      </c>
      <c r="AX167" s="1">
        <v>0.19948857783851459</v>
      </c>
      <c r="AY167" s="1">
        <v>0.12538725810923942</v>
      </c>
      <c r="AZ167" s="1">
        <v>5.9217225391996982E-2</v>
      </c>
      <c r="BA167" s="1">
        <v>4.5568951247791249E-2</v>
      </c>
      <c r="BB167" s="1">
        <v>7.4482089190183232E-2</v>
      </c>
      <c r="BC167" s="1">
        <v>-3.2953034539100819E-2</v>
      </c>
      <c r="BD167" s="1">
        <v>-6.3453505169733804E-2</v>
      </c>
      <c r="BE167" s="1">
        <v>0.12834772218954171</v>
      </c>
      <c r="BF167" s="1">
        <v>6.1836772414213793E-2</v>
      </c>
      <c r="BG167" s="1">
        <v>-8.9907630323771678E-2</v>
      </c>
      <c r="BH167" s="1">
        <v>-3.918665275137187E-2</v>
      </c>
      <c r="BI167" s="1">
        <v>2.3632936411218525E-3</v>
      </c>
      <c r="BJ167" s="1">
        <v>-7.5946182017718675E-3</v>
      </c>
      <c r="BK167" s="1">
        <v>-1.2837846433232124E-2</v>
      </c>
      <c r="BL167" s="1">
        <v>8.2305825815446751E-2</v>
      </c>
      <c r="BM167" s="1">
        <v>1.2598692027296285E-2</v>
      </c>
      <c r="BN167" s="1">
        <v>-5.1910758627491754E-2</v>
      </c>
      <c r="BO167" s="12">
        <v>-0.15574578324700891</v>
      </c>
      <c r="BP167" s="23"/>
      <c r="BQ167" s="23"/>
      <c r="BR167" s="23"/>
      <c r="BS167" s="23"/>
      <c r="BT167" s="23"/>
    </row>
    <row r="168" spans="1:72">
      <c r="A168">
        <v>14</v>
      </c>
      <c r="B168" s="11">
        <v>0</v>
      </c>
      <c r="C168" s="1">
        <v>0</v>
      </c>
      <c r="D168" s="1">
        <v>0</v>
      </c>
      <c r="E168" s="1">
        <v>0</v>
      </c>
      <c r="F168" s="1">
        <v>0</v>
      </c>
      <c r="G168" s="1">
        <v>0</v>
      </c>
      <c r="H168" s="1">
        <v>0</v>
      </c>
      <c r="I168" s="1">
        <v>0</v>
      </c>
      <c r="J168" s="1">
        <v>0</v>
      </c>
      <c r="K168" s="1">
        <v>0</v>
      </c>
      <c r="L168" s="1">
        <v>0</v>
      </c>
      <c r="M168" s="1">
        <v>0</v>
      </c>
      <c r="N168" s="1">
        <v>0</v>
      </c>
      <c r="O168" s="1">
        <v>1</v>
      </c>
      <c r="P168" s="1">
        <v>0</v>
      </c>
      <c r="Q168" s="1">
        <v>0</v>
      </c>
      <c r="R168" s="1">
        <v>0</v>
      </c>
      <c r="S168" s="1">
        <v>0</v>
      </c>
      <c r="T168" s="1">
        <v>0</v>
      </c>
      <c r="U168" s="1">
        <v>0</v>
      </c>
      <c r="V168" s="1">
        <v>0</v>
      </c>
      <c r="W168" s="1">
        <v>0</v>
      </c>
      <c r="X168" s="1">
        <v>0</v>
      </c>
      <c r="Y168" s="1">
        <v>0</v>
      </c>
      <c r="Z168" s="1">
        <v>0</v>
      </c>
      <c r="AA168" s="1">
        <v>0</v>
      </c>
      <c r="AB168" s="1">
        <v>0</v>
      </c>
      <c r="AC168" s="1">
        <v>0</v>
      </c>
      <c r="AD168" s="1">
        <v>0</v>
      </c>
      <c r="AE168" s="1">
        <v>0</v>
      </c>
      <c r="AF168" s="1">
        <v>0</v>
      </c>
      <c r="AG168" s="12">
        <v>0</v>
      </c>
      <c r="AH168" s="23"/>
      <c r="AI168" s="23">
        <v>14</v>
      </c>
      <c r="AJ168" s="11">
        <v>-6.1532972871992241E-2</v>
      </c>
      <c r="AK168" s="1">
        <v>-1.6530668118390879E-2</v>
      </c>
      <c r="AL168" s="1">
        <v>-7.0041610829155859E-3</v>
      </c>
      <c r="AM168" s="1">
        <v>1.7094937458372032E-2</v>
      </c>
      <c r="AN168" s="1">
        <v>-3.2631778084408036E-2</v>
      </c>
      <c r="AO168" s="1">
        <v>-8.4678518282022483E-3</v>
      </c>
      <c r="AP168" s="1">
        <v>-5.4217781864457117E-3</v>
      </c>
      <c r="AQ168" s="1">
        <v>1.709491512320542E-2</v>
      </c>
      <c r="AR168" s="1">
        <v>1.1375102680091197E-2</v>
      </c>
      <c r="AS168" s="1">
        <v>0.30045342774525136</v>
      </c>
      <c r="AT168" s="1">
        <v>-0.13079501119591283</v>
      </c>
      <c r="AU168" s="1">
        <v>-6.1532880938435695E-2</v>
      </c>
      <c r="AV168" s="1">
        <v>0.25835200255510171</v>
      </c>
      <c r="AW168" s="1">
        <v>0.58296837635147003</v>
      </c>
      <c r="AX168" s="1">
        <v>9.1573670745334651E-2</v>
      </c>
      <c r="AY168" s="1">
        <v>-5.3855728380468718E-2</v>
      </c>
      <c r="AZ168" s="1">
        <v>-3.4140011113333812E-2</v>
      </c>
      <c r="BA168" s="1">
        <v>-5.991131054364237E-2</v>
      </c>
      <c r="BB168" s="1">
        <v>-4.149602164619863E-2</v>
      </c>
      <c r="BC168" s="1">
        <v>2.2199523527976519E-2</v>
      </c>
      <c r="BD168" s="1">
        <v>-7.457033706959286E-2</v>
      </c>
      <c r="BE168" s="1">
        <v>-0.12508195682657133</v>
      </c>
      <c r="BF168" s="1">
        <v>-7.1531246832823303E-4</v>
      </c>
      <c r="BG168" s="1">
        <v>5.4179768083804758E-2</v>
      </c>
      <c r="BH168" s="1">
        <v>5.6066119368337719E-2</v>
      </c>
      <c r="BI168" s="1">
        <v>9.0121718912349935E-2</v>
      </c>
      <c r="BJ168" s="1">
        <v>-7.9936875021645211E-3</v>
      </c>
      <c r="BK168" s="1">
        <v>1.4169242354164776E-2</v>
      </c>
      <c r="BL168" s="1">
        <v>-4.8575950971193077E-2</v>
      </c>
      <c r="BM168" s="1">
        <v>-2.1827128984113577E-2</v>
      </c>
      <c r="BN168" s="1">
        <v>4.3700854787213035E-2</v>
      </c>
      <c r="BO168" s="12">
        <v>2.3288387740576039E-2</v>
      </c>
      <c r="BP168" s="23"/>
      <c r="BQ168" s="23"/>
      <c r="BR168" s="23"/>
      <c r="BS168" s="23"/>
      <c r="BT168" s="23"/>
    </row>
    <row r="169" spans="1:72">
      <c r="A169">
        <v>15</v>
      </c>
      <c r="B169" s="11">
        <v>0</v>
      </c>
      <c r="C169" s="1">
        <v>0</v>
      </c>
      <c r="D169" s="1">
        <v>0</v>
      </c>
      <c r="E169" s="1">
        <v>0</v>
      </c>
      <c r="F169" s="1">
        <v>0</v>
      </c>
      <c r="G169" s="1">
        <v>0</v>
      </c>
      <c r="H169" s="1">
        <v>0</v>
      </c>
      <c r="I169" s="1">
        <v>0</v>
      </c>
      <c r="J169" s="1">
        <v>0</v>
      </c>
      <c r="K169" s="1">
        <v>0</v>
      </c>
      <c r="L169" s="1">
        <v>0</v>
      </c>
      <c r="M169" s="1">
        <v>0</v>
      </c>
      <c r="N169" s="1">
        <v>0</v>
      </c>
      <c r="O169" s="1">
        <v>0</v>
      </c>
      <c r="P169" s="1">
        <v>1</v>
      </c>
      <c r="Q169" s="1">
        <v>0</v>
      </c>
      <c r="R169" s="1">
        <v>0</v>
      </c>
      <c r="S169" s="1">
        <v>0</v>
      </c>
      <c r="T169" s="1">
        <v>0</v>
      </c>
      <c r="U169" s="1">
        <v>0</v>
      </c>
      <c r="V169" s="1">
        <v>0</v>
      </c>
      <c r="W169" s="1">
        <v>0</v>
      </c>
      <c r="X169" s="1">
        <v>0</v>
      </c>
      <c r="Y169" s="1">
        <v>0</v>
      </c>
      <c r="Z169" s="1">
        <v>0</v>
      </c>
      <c r="AA169" s="1">
        <v>0</v>
      </c>
      <c r="AB169" s="1">
        <v>0</v>
      </c>
      <c r="AC169" s="1">
        <v>0</v>
      </c>
      <c r="AD169" s="1">
        <v>0</v>
      </c>
      <c r="AE169" s="1">
        <v>0</v>
      </c>
      <c r="AF169" s="1">
        <v>0</v>
      </c>
      <c r="AG169" s="12">
        <v>0</v>
      </c>
      <c r="AH169" s="23"/>
      <c r="AI169" s="23">
        <v>15</v>
      </c>
      <c r="AJ169" s="11">
        <v>-3.4225583250522829E-3</v>
      </c>
      <c r="AK169" s="1">
        <v>7.6010434317281689E-3</v>
      </c>
      <c r="AL169" s="1">
        <v>-1.8073236610642932E-3</v>
      </c>
      <c r="AM169" s="1">
        <v>-6.9751472675837894E-4</v>
      </c>
      <c r="AN169" s="1">
        <v>4.3559553066843726E-2</v>
      </c>
      <c r="AO169" s="1">
        <v>-2.0883528001205895E-2</v>
      </c>
      <c r="AP169" s="1">
        <v>6.9636412207836635E-3</v>
      </c>
      <c r="AQ169" s="1">
        <v>-6.9751381542965118E-4</v>
      </c>
      <c r="AR169" s="1">
        <v>-3.2489012665392822E-3</v>
      </c>
      <c r="AS169" s="1">
        <v>3.6027662320870367E-2</v>
      </c>
      <c r="AT169" s="1">
        <v>-1.2065331789432317E-2</v>
      </c>
      <c r="AU169" s="1">
        <v>-3.4225532115668839E-3</v>
      </c>
      <c r="AV169" s="1">
        <v>0.19948857783851462</v>
      </c>
      <c r="AW169" s="1">
        <v>9.1573670745334679E-2</v>
      </c>
      <c r="AX169" s="1">
        <v>0.30842411295148997</v>
      </c>
      <c r="AY169" s="1">
        <v>1.1137072743129875E-3</v>
      </c>
      <c r="AZ169" s="1">
        <v>5.064030198678697E-2</v>
      </c>
      <c r="BA169" s="1">
        <v>0.15204709861768373</v>
      </c>
      <c r="BB169" s="1">
        <v>4.4048109144191612E-2</v>
      </c>
      <c r="BC169" s="1">
        <v>-2.2519177073732046E-2</v>
      </c>
      <c r="BD169" s="1">
        <v>-5.8701672424736617E-2</v>
      </c>
      <c r="BE169" s="1">
        <v>0.28955269437067466</v>
      </c>
      <c r="BF169" s="1">
        <v>-9.5108971377245999E-2</v>
      </c>
      <c r="BG169" s="1">
        <v>-6.6421539659161116E-2</v>
      </c>
      <c r="BH169" s="1">
        <v>-3.9475384243096309E-2</v>
      </c>
      <c r="BI169" s="1">
        <v>-2.9845126666434602E-2</v>
      </c>
      <c r="BJ169" s="1">
        <v>4.3344760484332655E-3</v>
      </c>
      <c r="BK169" s="1">
        <v>-1.1332034717352177E-2</v>
      </c>
      <c r="BL169" s="1">
        <v>3.9052776029050426E-2</v>
      </c>
      <c r="BM169" s="1">
        <v>1.4134201505454871E-2</v>
      </c>
      <c r="BN169" s="1">
        <v>-2.1173193004731153E-2</v>
      </c>
      <c r="BO169" s="12">
        <v>0.16598392079271401</v>
      </c>
      <c r="BP169" s="23"/>
      <c r="BQ169" s="23"/>
      <c r="BR169" s="23"/>
      <c r="BS169" s="23"/>
      <c r="BT169" s="23"/>
    </row>
    <row r="170" spans="1:72">
      <c r="A170">
        <v>16</v>
      </c>
      <c r="B170" s="11">
        <v>0</v>
      </c>
      <c r="C170" s="1">
        <v>0</v>
      </c>
      <c r="D170" s="1">
        <v>0</v>
      </c>
      <c r="E170" s="1">
        <v>0</v>
      </c>
      <c r="F170" s="1">
        <v>0</v>
      </c>
      <c r="G170" s="1">
        <v>0</v>
      </c>
      <c r="H170" s="1">
        <v>0</v>
      </c>
      <c r="I170" s="1">
        <v>0</v>
      </c>
      <c r="J170" s="1">
        <v>0</v>
      </c>
      <c r="K170" s="1">
        <v>0</v>
      </c>
      <c r="L170" s="1">
        <v>0</v>
      </c>
      <c r="M170" s="1">
        <v>0</v>
      </c>
      <c r="N170" s="1">
        <v>0</v>
      </c>
      <c r="O170" s="1">
        <v>0</v>
      </c>
      <c r="P170" s="1">
        <v>0</v>
      </c>
      <c r="Q170" s="1">
        <v>1</v>
      </c>
      <c r="R170" s="1">
        <v>0</v>
      </c>
      <c r="S170" s="1">
        <v>0</v>
      </c>
      <c r="T170" s="1">
        <v>0</v>
      </c>
      <c r="U170" s="1">
        <v>0</v>
      </c>
      <c r="V170" s="1">
        <v>0</v>
      </c>
      <c r="W170" s="1">
        <v>0</v>
      </c>
      <c r="X170" s="1">
        <v>0</v>
      </c>
      <c r="Y170" s="1">
        <v>0</v>
      </c>
      <c r="Z170" s="1">
        <v>0</v>
      </c>
      <c r="AA170" s="1">
        <v>0</v>
      </c>
      <c r="AB170" s="1">
        <v>0</v>
      </c>
      <c r="AC170" s="1">
        <v>0</v>
      </c>
      <c r="AD170" s="1">
        <v>0</v>
      </c>
      <c r="AE170" s="1">
        <v>0</v>
      </c>
      <c r="AF170" s="1">
        <v>0</v>
      </c>
      <c r="AG170" s="12">
        <v>0</v>
      </c>
      <c r="AH170" s="23"/>
      <c r="AI170" s="23">
        <v>16</v>
      </c>
      <c r="AJ170" s="11">
        <v>1.1114217287761158E-2</v>
      </c>
      <c r="AK170" s="1">
        <v>-9.6755474002770681E-3</v>
      </c>
      <c r="AL170" s="1">
        <v>-6.3253868098833502E-3</v>
      </c>
      <c r="AM170" s="1">
        <v>-5.4375837793630144E-3</v>
      </c>
      <c r="AN170" s="1">
        <v>3.7850421393767202E-2</v>
      </c>
      <c r="AO170" s="1">
        <v>-1.8471674423889771E-2</v>
      </c>
      <c r="AP170" s="1">
        <v>-2.4099252778866202E-3</v>
      </c>
      <c r="AQ170" s="1">
        <v>-5.4375766749591506E-3</v>
      </c>
      <c r="AR170" s="1">
        <v>-1.5981589172795914E-2</v>
      </c>
      <c r="AS170" s="1">
        <v>-3.6656322264936328E-2</v>
      </c>
      <c r="AT170" s="1">
        <v>1.9907990167498803E-2</v>
      </c>
      <c r="AU170" s="1">
        <v>1.1114200682525346E-2</v>
      </c>
      <c r="AV170" s="1">
        <v>0.12538725810923945</v>
      </c>
      <c r="AW170" s="1">
        <v>-5.3855728380468731E-2</v>
      </c>
      <c r="AX170" s="1">
        <v>1.1137072743130499E-3</v>
      </c>
      <c r="AY170" s="1">
        <v>0.32724014934318885</v>
      </c>
      <c r="AZ170" s="1">
        <v>0.21535800349026321</v>
      </c>
      <c r="BA170" s="1">
        <v>0.12016312611018937</v>
      </c>
      <c r="BB170" s="1">
        <v>4.5438203768553849E-2</v>
      </c>
      <c r="BC170" s="1">
        <v>-3.6683275464135863E-2</v>
      </c>
      <c r="BD170" s="1">
        <v>-3.26892848541913E-2</v>
      </c>
      <c r="BE170" s="1">
        <v>-9.8904889623451203E-2</v>
      </c>
      <c r="BF170" s="1">
        <v>0.31377869002776587</v>
      </c>
      <c r="BG170" s="1">
        <v>-0.10186786005863627</v>
      </c>
      <c r="BH170" s="1">
        <v>-3.6690718983130352E-2</v>
      </c>
      <c r="BI170" s="1">
        <v>-4.3625936508356736E-2</v>
      </c>
      <c r="BJ170" s="1">
        <v>2.2779028965461304E-2</v>
      </c>
      <c r="BK170" s="1">
        <v>-3.5543014925591872E-2</v>
      </c>
      <c r="BL170" s="1">
        <v>4.8160819694688134E-2</v>
      </c>
      <c r="BM170" s="1">
        <v>3.7629014560875348E-2</v>
      </c>
      <c r="BN170" s="1">
        <v>-4.2513252302088939E-2</v>
      </c>
      <c r="BO170" s="12">
        <v>-5.3175637621074454E-2</v>
      </c>
      <c r="BP170" s="23"/>
      <c r="BQ170" s="23"/>
      <c r="BR170" s="23"/>
      <c r="BS170" s="23"/>
      <c r="BT170" s="23"/>
    </row>
    <row r="171" spans="1:72">
      <c r="A171">
        <v>17</v>
      </c>
      <c r="B171" s="11">
        <v>0</v>
      </c>
      <c r="C171" s="1">
        <v>0</v>
      </c>
      <c r="D171" s="1">
        <v>0</v>
      </c>
      <c r="E171" s="1">
        <v>0</v>
      </c>
      <c r="F171" s="1">
        <v>0</v>
      </c>
      <c r="G171" s="1">
        <v>0</v>
      </c>
      <c r="H171" s="1">
        <v>0</v>
      </c>
      <c r="I171" s="1">
        <v>0</v>
      </c>
      <c r="J171" s="1">
        <v>0</v>
      </c>
      <c r="K171" s="1">
        <v>0</v>
      </c>
      <c r="L171" s="1">
        <v>0</v>
      </c>
      <c r="M171" s="1">
        <v>0</v>
      </c>
      <c r="N171" s="1">
        <v>0</v>
      </c>
      <c r="O171" s="1">
        <v>0</v>
      </c>
      <c r="P171" s="1">
        <v>0</v>
      </c>
      <c r="Q171" s="1">
        <v>0</v>
      </c>
      <c r="R171" s="1">
        <v>1</v>
      </c>
      <c r="S171" s="1">
        <v>0</v>
      </c>
      <c r="T171" s="1">
        <v>0</v>
      </c>
      <c r="U171" s="1">
        <v>0</v>
      </c>
      <c r="V171" s="1">
        <v>0</v>
      </c>
      <c r="W171" s="1">
        <v>0</v>
      </c>
      <c r="X171" s="1">
        <v>0</v>
      </c>
      <c r="Y171" s="1">
        <v>0</v>
      </c>
      <c r="Z171" s="1">
        <v>0</v>
      </c>
      <c r="AA171" s="1">
        <v>0</v>
      </c>
      <c r="AB171" s="1">
        <v>0</v>
      </c>
      <c r="AC171" s="1">
        <v>0</v>
      </c>
      <c r="AD171" s="1">
        <v>0</v>
      </c>
      <c r="AE171" s="1">
        <v>0</v>
      </c>
      <c r="AF171" s="1">
        <v>0</v>
      </c>
      <c r="AG171" s="12">
        <v>0</v>
      </c>
      <c r="AH171" s="23"/>
      <c r="AI171" s="23">
        <v>17</v>
      </c>
      <c r="AJ171" s="11">
        <v>1.1401494794726465E-2</v>
      </c>
      <c r="AK171" s="1">
        <v>0.10721626237630028</v>
      </c>
      <c r="AL171" s="1">
        <v>3.104727735210993E-2</v>
      </c>
      <c r="AM171" s="1">
        <v>3.2867068410813282E-3</v>
      </c>
      <c r="AN171" s="1">
        <v>7.7850937276030985E-2</v>
      </c>
      <c r="AO171" s="1">
        <v>-2.6960448993693957E-3</v>
      </c>
      <c r="AP171" s="1">
        <v>4.9375701809351011E-2</v>
      </c>
      <c r="AQ171" s="1">
        <v>3.2867025468775353E-3</v>
      </c>
      <c r="AR171" s="1">
        <v>4.8642925008163612E-2</v>
      </c>
      <c r="AS171" s="1">
        <v>-2.9758498502099072E-2</v>
      </c>
      <c r="AT171" s="1">
        <v>6.9693182407154289E-3</v>
      </c>
      <c r="AU171" s="1">
        <v>1.1401477760282719E-2</v>
      </c>
      <c r="AV171" s="1">
        <v>5.921722539199703E-2</v>
      </c>
      <c r="AW171" s="1">
        <v>-3.4140011113333812E-2</v>
      </c>
      <c r="AX171" s="1">
        <v>5.0640301986786998E-2</v>
      </c>
      <c r="AY171" s="1">
        <v>0.21535800349026332</v>
      </c>
      <c r="AZ171" s="1">
        <v>0.30054276699669757</v>
      </c>
      <c r="BA171" s="1">
        <v>0.17884120431417677</v>
      </c>
      <c r="BB171" s="1">
        <v>5.785075581306319E-2</v>
      </c>
      <c r="BC171" s="1">
        <v>3.1744819406079094E-2</v>
      </c>
      <c r="BD171" s="1">
        <v>-2.6962073027519115E-2</v>
      </c>
      <c r="BE171" s="1">
        <v>-9.3112401406864276E-2</v>
      </c>
      <c r="BF171" s="1">
        <v>0.17032315689675398</v>
      </c>
      <c r="BG171" s="1">
        <v>8.1440267212843073E-2</v>
      </c>
      <c r="BH171" s="1">
        <v>-8.6461394460190744E-2</v>
      </c>
      <c r="BI171" s="1">
        <v>-4.5227555215022933E-2</v>
      </c>
      <c r="BJ171" s="1">
        <v>-7.6735476889089882E-2</v>
      </c>
      <c r="BK171" s="1">
        <v>9.0809554426875508E-2</v>
      </c>
      <c r="BL171" s="1">
        <v>3.5277901098467276E-2</v>
      </c>
      <c r="BM171" s="1">
        <v>-7.8466989716046931E-2</v>
      </c>
      <c r="BN171" s="1">
        <v>3.1040071101589843E-2</v>
      </c>
      <c r="BO171" s="12">
        <v>0.13658357554618666</v>
      </c>
      <c r="BP171" s="23"/>
      <c r="BQ171" s="23"/>
      <c r="BR171" s="23"/>
      <c r="BS171" s="23"/>
      <c r="BT171" s="23"/>
    </row>
    <row r="172" spans="1:72">
      <c r="A172">
        <v>18</v>
      </c>
      <c r="B172" s="11">
        <v>0</v>
      </c>
      <c r="C172" s="1">
        <v>0</v>
      </c>
      <c r="D172" s="1">
        <v>0</v>
      </c>
      <c r="E172" s="1">
        <v>0</v>
      </c>
      <c r="F172" s="1">
        <v>0</v>
      </c>
      <c r="G172" s="1">
        <v>0</v>
      </c>
      <c r="H172" s="1">
        <v>0</v>
      </c>
      <c r="I172" s="1">
        <v>0</v>
      </c>
      <c r="J172" s="1">
        <v>0</v>
      </c>
      <c r="K172" s="1">
        <v>0</v>
      </c>
      <c r="L172" s="1">
        <v>0</v>
      </c>
      <c r="M172" s="1">
        <v>0</v>
      </c>
      <c r="N172" s="1">
        <v>0</v>
      </c>
      <c r="O172" s="1">
        <v>0</v>
      </c>
      <c r="P172" s="1">
        <v>0</v>
      </c>
      <c r="Q172" s="1">
        <v>0</v>
      </c>
      <c r="R172" s="1">
        <v>0</v>
      </c>
      <c r="S172" s="1">
        <v>1</v>
      </c>
      <c r="T172" s="1">
        <v>0</v>
      </c>
      <c r="U172" s="1">
        <v>0</v>
      </c>
      <c r="V172" s="1">
        <v>0</v>
      </c>
      <c r="W172" s="1">
        <v>0</v>
      </c>
      <c r="X172" s="1">
        <v>0</v>
      </c>
      <c r="Y172" s="1">
        <v>0</v>
      </c>
      <c r="Z172" s="1">
        <v>0</v>
      </c>
      <c r="AA172" s="1">
        <v>0</v>
      </c>
      <c r="AB172" s="1">
        <v>0</v>
      </c>
      <c r="AC172" s="1">
        <v>0</v>
      </c>
      <c r="AD172" s="1">
        <v>0</v>
      </c>
      <c r="AE172" s="1">
        <v>0</v>
      </c>
      <c r="AF172" s="1">
        <v>0</v>
      </c>
      <c r="AG172" s="12">
        <v>0</v>
      </c>
      <c r="AH172" s="23"/>
      <c r="AI172" s="23">
        <v>18</v>
      </c>
      <c r="AJ172" s="11">
        <v>3.3466188235907218E-2</v>
      </c>
      <c r="AK172" s="1">
        <v>4.4245805223073899E-2</v>
      </c>
      <c r="AL172" s="1">
        <v>1.3304156636339798E-2</v>
      </c>
      <c r="AM172" s="1">
        <v>1.9664805343708455E-2</v>
      </c>
      <c r="AN172" s="1">
        <v>4.5086240218582846E-2</v>
      </c>
      <c r="AO172" s="1">
        <v>7.4295106480823207E-3</v>
      </c>
      <c r="AP172" s="1">
        <v>-1.6926656380652352E-2</v>
      </c>
      <c r="AQ172" s="1">
        <v>1.9664779650914621E-2</v>
      </c>
      <c r="AR172" s="1">
        <v>3.0963576024931081E-2</v>
      </c>
      <c r="AS172" s="1">
        <v>-3.1804047541219516E-2</v>
      </c>
      <c r="AT172" s="1">
        <v>-2.8033094353982137E-2</v>
      </c>
      <c r="AU172" s="1">
        <v>3.3466138235629925E-2</v>
      </c>
      <c r="AV172" s="1">
        <v>4.5568951247791298E-2</v>
      </c>
      <c r="AW172" s="1">
        <v>-5.9911310543642377E-2</v>
      </c>
      <c r="AX172" s="1">
        <v>0.15204709861768384</v>
      </c>
      <c r="AY172" s="1">
        <v>0.12016312611018932</v>
      </c>
      <c r="AZ172" s="1">
        <v>0.17884120431417677</v>
      </c>
      <c r="BA172" s="1">
        <v>0.29174259758190446</v>
      </c>
      <c r="BB172" s="1">
        <v>6.3548929167367582E-2</v>
      </c>
      <c r="BC172" s="1">
        <v>-3.491106352929272E-2</v>
      </c>
      <c r="BD172" s="1">
        <v>8.8094520199125295E-2</v>
      </c>
      <c r="BE172" s="1">
        <v>-3.4376980750482122E-2</v>
      </c>
      <c r="BF172" s="1">
        <v>-3.2604596569059674E-2</v>
      </c>
      <c r="BG172" s="1">
        <v>-7.3528332474411637E-2</v>
      </c>
      <c r="BH172" s="1">
        <v>6.6855149753896614E-3</v>
      </c>
      <c r="BI172" s="1">
        <v>4.572987461943849E-2</v>
      </c>
      <c r="BJ172" s="1">
        <v>-8.7719817493742379E-3</v>
      </c>
      <c r="BK172" s="1">
        <v>-2.8136266857432594E-2</v>
      </c>
      <c r="BL172" s="1">
        <v>0.1095951633761858</v>
      </c>
      <c r="BM172" s="1">
        <v>2.1289059140880806E-2</v>
      </c>
      <c r="BN172" s="1">
        <v>-0.10230803413675298</v>
      </c>
      <c r="BO172" s="12">
        <v>0.27301598336210242</v>
      </c>
      <c r="BP172" s="23"/>
      <c r="BQ172" s="23"/>
      <c r="BR172" s="23"/>
      <c r="BS172" s="23"/>
      <c r="BT172" s="23"/>
    </row>
    <row r="173" spans="1:72">
      <c r="A173">
        <v>19</v>
      </c>
      <c r="B173" s="11">
        <v>0</v>
      </c>
      <c r="C173" s="1">
        <v>0</v>
      </c>
      <c r="D173" s="1">
        <v>0</v>
      </c>
      <c r="E173" s="1">
        <v>0</v>
      </c>
      <c r="F173" s="1">
        <v>0</v>
      </c>
      <c r="G173" s="1">
        <v>0</v>
      </c>
      <c r="H173" s="1">
        <v>0</v>
      </c>
      <c r="I173" s="1">
        <v>0</v>
      </c>
      <c r="J173" s="1">
        <v>0</v>
      </c>
      <c r="K173" s="1">
        <v>0</v>
      </c>
      <c r="L173" s="1">
        <v>0</v>
      </c>
      <c r="M173" s="1">
        <v>0</v>
      </c>
      <c r="N173" s="1">
        <v>0</v>
      </c>
      <c r="O173" s="1">
        <v>0</v>
      </c>
      <c r="P173" s="1">
        <v>0</v>
      </c>
      <c r="Q173" s="1">
        <v>0</v>
      </c>
      <c r="R173" s="1">
        <v>0</v>
      </c>
      <c r="S173" s="1">
        <v>0</v>
      </c>
      <c r="T173" s="1">
        <v>1</v>
      </c>
      <c r="U173" s="1">
        <v>0</v>
      </c>
      <c r="V173" s="1">
        <v>0</v>
      </c>
      <c r="W173" s="1">
        <v>0</v>
      </c>
      <c r="X173" s="1">
        <v>0</v>
      </c>
      <c r="Y173" s="1">
        <v>0</v>
      </c>
      <c r="Z173" s="1">
        <v>0</v>
      </c>
      <c r="AA173" s="1">
        <v>0</v>
      </c>
      <c r="AB173" s="1">
        <v>0</v>
      </c>
      <c r="AC173" s="1">
        <v>0</v>
      </c>
      <c r="AD173" s="1">
        <v>0</v>
      </c>
      <c r="AE173" s="1">
        <v>0</v>
      </c>
      <c r="AF173" s="1">
        <v>0</v>
      </c>
      <c r="AG173" s="12">
        <v>0</v>
      </c>
      <c r="AH173" s="23"/>
      <c r="AI173" s="23">
        <v>19</v>
      </c>
      <c r="AJ173" s="11">
        <v>4.9486552331661549E-2</v>
      </c>
      <c r="AK173" s="1">
        <v>5.5621797974057044E-2</v>
      </c>
      <c r="AL173" s="1">
        <v>0.17588554510780507</v>
      </c>
      <c r="AM173" s="1">
        <v>1.0507488046316155E-2</v>
      </c>
      <c r="AN173" s="1">
        <v>0.11957782970307206</v>
      </c>
      <c r="AO173" s="1">
        <v>-3.6209164050798326E-3</v>
      </c>
      <c r="AP173" s="1">
        <v>-2.5370396987786828E-2</v>
      </c>
      <c r="AQ173" s="1">
        <v>1.0507474317895255E-2</v>
      </c>
      <c r="AR173" s="1">
        <v>0.15957153608250582</v>
      </c>
      <c r="AS173" s="1">
        <v>-2.985310598476083E-2</v>
      </c>
      <c r="AT173" s="1">
        <v>-4.7373649130423523E-2</v>
      </c>
      <c r="AU173" s="1">
        <v>4.9486478396102415E-2</v>
      </c>
      <c r="AV173" s="1">
        <v>7.4482089190183301E-2</v>
      </c>
      <c r="AW173" s="1">
        <v>-4.1496021646198616E-2</v>
      </c>
      <c r="AX173" s="1">
        <v>4.4048109144191647E-2</v>
      </c>
      <c r="AY173" s="1">
        <v>4.5438203768553828E-2</v>
      </c>
      <c r="AZ173" s="1">
        <v>5.7850755813063155E-2</v>
      </c>
      <c r="BA173" s="1">
        <v>6.354892916736754E-2</v>
      </c>
      <c r="BB173" s="1">
        <v>0.29186749941073925</v>
      </c>
      <c r="BC173" s="1">
        <v>0.22902257694445838</v>
      </c>
      <c r="BD173" s="1">
        <v>9.5870263890287744E-2</v>
      </c>
      <c r="BE173" s="1">
        <v>2.7344025683931593E-2</v>
      </c>
      <c r="BF173" s="1">
        <v>-4.4223609792484644E-2</v>
      </c>
      <c r="BG173" s="1">
        <v>-6.6807497279415692E-2</v>
      </c>
      <c r="BH173" s="1">
        <v>-6.0749991798416753E-2</v>
      </c>
      <c r="BI173" s="1">
        <v>4.856680929609776E-2</v>
      </c>
      <c r="BJ173" s="1">
        <v>-8.2727917149428565E-3</v>
      </c>
      <c r="BK173" s="1">
        <v>-0.12283200245872436</v>
      </c>
      <c r="BL173" s="1">
        <v>-7.8859825787565507E-2</v>
      </c>
      <c r="BM173" s="1">
        <v>2.5387443585241809E-2</v>
      </c>
      <c r="BN173" s="1">
        <v>2.0974630436492586E-2</v>
      </c>
      <c r="BO173" s="12">
        <v>-8.9448944319483539E-2</v>
      </c>
      <c r="BP173" s="23"/>
      <c r="BQ173" s="23"/>
      <c r="BR173" s="23"/>
      <c r="BS173" s="23"/>
      <c r="BT173" s="23"/>
    </row>
    <row r="174" spans="1:72">
      <c r="A174">
        <v>20</v>
      </c>
      <c r="B174" s="11">
        <v>0</v>
      </c>
      <c r="C174" s="1">
        <v>0</v>
      </c>
      <c r="D174" s="1">
        <v>0</v>
      </c>
      <c r="E174" s="1">
        <v>0</v>
      </c>
      <c r="F174" s="1">
        <v>0</v>
      </c>
      <c r="G174" s="1">
        <v>0</v>
      </c>
      <c r="H174" s="1">
        <v>0</v>
      </c>
      <c r="I174" s="1">
        <v>0</v>
      </c>
      <c r="J174" s="1">
        <v>0</v>
      </c>
      <c r="K174" s="1">
        <v>0</v>
      </c>
      <c r="L174" s="1">
        <v>0</v>
      </c>
      <c r="M174" s="1">
        <v>0</v>
      </c>
      <c r="N174" s="1">
        <v>0</v>
      </c>
      <c r="O174" s="1">
        <v>0</v>
      </c>
      <c r="P174" s="1">
        <v>0</v>
      </c>
      <c r="Q174" s="1">
        <v>0</v>
      </c>
      <c r="R174" s="1">
        <v>0</v>
      </c>
      <c r="S174" s="1">
        <v>0</v>
      </c>
      <c r="T174" s="1">
        <v>0</v>
      </c>
      <c r="U174" s="1">
        <v>1</v>
      </c>
      <c r="V174" s="1">
        <v>0</v>
      </c>
      <c r="W174" s="1">
        <v>0</v>
      </c>
      <c r="X174" s="1">
        <v>0</v>
      </c>
      <c r="Y174" s="1">
        <v>0</v>
      </c>
      <c r="Z174" s="1">
        <v>0</v>
      </c>
      <c r="AA174" s="1">
        <v>0</v>
      </c>
      <c r="AB174" s="1">
        <v>0</v>
      </c>
      <c r="AC174" s="1">
        <v>0</v>
      </c>
      <c r="AD174" s="1">
        <v>0</v>
      </c>
      <c r="AE174" s="1">
        <v>0</v>
      </c>
      <c r="AF174" s="1">
        <v>0</v>
      </c>
      <c r="AG174" s="12">
        <v>0</v>
      </c>
      <c r="AH174" s="23"/>
      <c r="AI174" s="23">
        <v>20</v>
      </c>
      <c r="AJ174" s="11">
        <v>-3.6789951666843373E-3</v>
      </c>
      <c r="AK174" s="1">
        <v>4.2717016762418507E-2</v>
      </c>
      <c r="AL174" s="1">
        <v>0.16968009327727712</v>
      </c>
      <c r="AM174" s="1">
        <v>-3.6077250996883942E-2</v>
      </c>
      <c r="AN174" s="1">
        <v>7.9061122569618961E-3</v>
      </c>
      <c r="AO174" s="1">
        <v>-2.9658086456110594E-2</v>
      </c>
      <c r="AP174" s="1">
        <v>-5.5112447298938272E-2</v>
      </c>
      <c r="AQ174" s="1">
        <v>-3.6077203860624227E-2</v>
      </c>
      <c r="AR174" s="1">
        <v>8.2692745626762459E-2</v>
      </c>
      <c r="AS174" s="1">
        <v>9.4194947351102648E-3</v>
      </c>
      <c r="AT174" s="1">
        <v>1.2200560687870468E-2</v>
      </c>
      <c r="AU174" s="1">
        <v>-3.6789896700686053E-3</v>
      </c>
      <c r="AV174" s="1">
        <v>-3.2953034539100826E-2</v>
      </c>
      <c r="AW174" s="1">
        <v>2.2199523527976529E-2</v>
      </c>
      <c r="AX174" s="1">
        <v>-2.251917707373205E-2</v>
      </c>
      <c r="AY174" s="1">
        <v>-3.6683275464135849E-2</v>
      </c>
      <c r="AZ174" s="1">
        <v>3.1744819406079108E-2</v>
      </c>
      <c r="BA174" s="1">
        <v>-3.4911063529292768E-2</v>
      </c>
      <c r="BB174" s="1">
        <v>0.22902257694445841</v>
      </c>
      <c r="BC174" s="1">
        <v>0.44572628204378306</v>
      </c>
      <c r="BD174" s="1">
        <v>-4.2628130971346961E-2</v>
      </c>
      <c r="BE174" s="1">
        <v>-1.188929758152088E-2</v>
      </c>
      <c r="BF174" s="1">
        <v>-3.9607691641663778E-3</v>
      </c>
      <c r="BG174" s="1">
        <v>0.10562850507983457</v>
      </c>
      <c r="BH174" s="1">
        <v>-2.9062351031274442E-2</v>
      </c>
      <c r="BI174" s="1">
        <v>-1.8087956331525906E-2</v>
      </c>
      <c r="BJ174" s="1">
        <v>0.10989953790021771</v>
      </c>
      <c r="BK174" s="1">
        <v>-0.23372937763409357</v>
      </c>
      <c r="BL174" s="1">
        <v>-0.11811640118536315</v>
      </c>
      <c r="BM174" s="1">
        <v>-0.21208096964396189</v>
      </c>
      <c r="BN174" s="1">
        <v>6.4629207329711502E-2</v>
      </c>
      <c r="BO174" s="12">
        <v>2.2936981086509087E-2</v>
      </c>
      <c r="BP174" s="23"/>
      <c r="BQ174" s="23"/>
      <c r="BR174" s="23"/>
      <c r="BS174" s="23"/>
      <c r="BT174" s="23"/>
    </row>
    <row r="175" spans="1:72">
      <c r="A175">
        <v>21</v>
      </c>
      <c r="B175" s="11">
        <v>0</v>
      </c>
      <c r="C175" s="1">
        <v>0</v>
      </c>
      <c r="D175" s="1">
        <v>0</v>
      </c>
      <c r="E175" s="1">
        <v>0</v>
      </c>
      <c r="F175" s="1">
        <v>0</v>
      </c>
      <c r="G175" s="1">
        <v>0</v>
      </c>
      <c r="H175" s="1">
        <v>0</v>
      </c>
      <c r="I175" s="1">
        <v>0</v>
      </c>
      <c r="J175" s="1">
        <v>0</v>
      </c>
      <c r="K175" s="1">
        <v>0</v>
      </c>
      <c r="L175" s="1">
        <v>0</v>
      </c>
      <c r="M175" s="1">
        <v>0</v>
      </c>
      <c r="N175" s="1">
        <v>0</v>
      </c>
      <c r="O175" s="1">
        <v>0</v>
      </c>
      <c r="P175" s="1">
        <v>0</v>
      </c>
      <c r="Q175" s="1">
        <v>0</v>
      </c>
      <c r="R175" s="1">
        <v>0</v>
      </c>
      <c r="S175" s="1">
        <v>0</v>
      </c>
      <c r="T175" s="1">
        <v>0</v>
      </c>
      <c r="U175" s="1">
        <v>0</v>
      </c>
      <c r="V175" s="1">
        <v>1</v>
      </c>
      <c r="W175" s="1">
        <v>0</v>
      </c>
      <c r="X175" s="1">
        <v>0</v>
      </c>
      <c r="Y175" s="1">
        <v>0</v>
      </c>
      <c r="Z175" s="1">
        <v>0</v>
      </c>
      <c r="AA175" s="1">
        <v>0</v>
      </c>
      <c r="AB175" s="1">
        <v>0</v>
      </c>
      <c r="AC175" s="1">
        <v>0</v>
      </c>
      <c r="AD175" s="1">
        <v>0</v>
      </c>
      <c r="AE175" s="1">
        <v>0</v>
      </c>
      <c r="AF175" s="1">
        <v>0</v>
      </c>
      <c r="AG175" s="12">
        <v>0</v>
      </c>
      <c r="AH175" s="23"/>
      <c r="AI175" s="23">
        <v>21</v>
      </c>
      <c r="AJ175" s="11">
        <v>-4.6189304957522673E-2</v>
      </c>
      <c r="AK175" s="1">
        <v>-4.7917146708506414E-3</v>
      </c>
      <c r="AL175" s="1">
        <v>-1.5627497078603406E-2</v>
      </c>
      <c r="AM175" s="1">
        <v>-1.566287115855243E-2</v>
      </c>
      <c r="AN175" s="1">
        <v>0.11173607098958024</v>
      </c>
      <c r="AO175" s="1">
        <v>-7.7886042105369729E-2</v>
      </c>
      <c r="AP175" s="1">
        <v>3.9902939440466662E-2</v>
      </c>
      <c r="AQ175" s="1">
        <v>-1.5662850694433295E-2</v>
      </c>
      <c r="AR175" s="1">
        <v>-3.1007216103653631E-2</v>
      </c>
      <c r="AS175" s="1">
        <v>0.18636068770851807</v>
      </c>
      <c r="AT175" s="1">
        <v>-3.5518917829259158E-2</v>
      </c>
      <c r="AU175" s="1">
        <v>-4.6189235948227728E-2</v>
      </c>
      <c r="AV175" s="1">
        <v>-6.3453505169733776E-2</v>
      </c>
      <c r="AW175" s="1">
        <v>-7.4570337069592846E-2</v>
      </c>
      <c r="AX175" s="1">
        <v>-5.870167242473659E-2</v>
      </c>
      <c r="AY175" s="1">
        <v>-3.2689284854191356E-2</v>
      </c>
      <c r="AZ175" s="1">
        <v>-2.6962073027519021E-2</v>
      </c>
      <c r="BA175" s="1">
        <v>8.8094520199125406E-2</v>
      </c>
      <c r="BB175" s="1">
        <v>9.5870263890287827E-2</v>
      </c>
      <c r="BC175" s="1">
        <v>-4.262813097134685E-2</v>
      </c>
      <c r="BD175" s="1">
        <v>0.71851726687083683</v>
      </c>
      <c r="BE175" s="1">
        <v>-0.15047871940258839</v>
      </c>
      <c r="BF175" s="1">
        <v>-0.15043195275849619</v>
      </c>
      <c r="BG175" s="1">
        <v>-0.15190033092748553</v>
      </c>
      <c r="BH175" s="1">
        <v>-0.13713106848292855</v>
      </c>
      <c r="BI175" s="1">
        <v>-0.12857519529933814</v>
      </c>
      <c r="BJ175" s="1">
        <v>1.5255322514744927E-2</v>
      </c>
      <c r="BK175" s="1">
        <v>-7.2691012995190103E-3</v>
      </c>
      <c r="BL175" s="1">
        <v>3.9278072864108865E-2</v>
      </c>
      <c r="BM175" s="1">
        <v>2.2079293852060061E-2</v>
      </c>
      <c r="BN175" s="1">
        <v>1.9213058501066332E-2</v>
      </c>
      <c r="BO175" s="12">
        <v>-1.2746454155899561E-2</v>
      </c>
      <c r="BP175" s="23"/>
      <c r="BQ175" s="23"/>
      <c r="BR175" s="23"/>
      <c r="BS175" s="23"/>
      <c r="BT175" s="23"/>
    </row>
    <row r="176" spans="1:72">
      <c r="A176">
        <v>22</v>
      </c>
      <c r="B176" s="11">
        <v>0</v>
      </c>
      <c r="C176" s="1">
        <v>0</v>
      </c>
      <c r="D176" s="1">
        <v>0</v>
      </c>
      <c r="E176" s="1">
        <v>0</v>
      </c>
      <c r="F176" s="1">
        <v>0</v>
      </c>
      <c r="G176" s="1">
        <v>0</v>
      </c>
      <c r="H176" s="1">
        <v>0</v>
      </c>
      <c r="I176" s="1">
        <v>0</v>
      </c>
      <c r="J176" s="1">
        <v>0</v>
      </c>
      <c r="K176" s="1">
        <v>0</v>
      </c>
      <c r="L176" s="1">
        <v>0</v>
      </c>
      <c r="M176" s="1">
        <v>0</v>
      </c>
      <c r="N176" s="1">
        <v>0</v>
      </c>
      <c r="O176" s="1">
        <v>0</v>
      </c>
      <c r="P176" s="1">
        <v>0</v>
      </c>
      <c r="Q176" s="1">
        <v>0</v>
      </c>
      <c r="R176" s="1">
        <v>0</v>
      </c>
      <c r="S176" s="1">
        <v>0</v>
      </c>
      <c r="T176" s="1">
        <v>0</v>
      </c>
      <c r="U176" s="1">
        <v>0</v>
      </c>
      <c r="V176" s="1">
        <v>0</v>
      </c>
      <c r="W176" s="1">
        <v>1</v>
      </c>
      <c r="X176" s="1">
        <v>0</v>
      </c>
      <c r="Y176" s="1">
        <v>0</v>
      </c>
      <c r="Z176" s="1">
        <v>0</v>
      </c>
      <c r="AA176" s="1">
        <v>0</v>
      </c>
      <c r="AB176" s="1">
        <v>0</v>
      </c>
      <c r="AC176" s="1">
        <v>0</v>
      </c>
      <c r="AD176" s="1">
        <v>0</v>
      </c>
      <c r="AE176" s="1">
        <v>0</v>
      </c>
      <c r="AF176" s="1">
        <v>0</v>
      </c>
      <c r="AG176" s="12">
        <v>0</v>
      </c>
      <c r="AH176" s="23"/>
      <c r="AI176" s="23">
        <v>22</v>
      </c>
      <c r="AJ176" s="11">
        <v>-6.365571112860284E-3</v>
      </c>
      <c r="AK176" s="1">
        <v>-2.6445574485602051E-2</v>
      </c>
      <c r="AL176" s="1">
        <v>-1.3536536008653469E-2</v>
      </c>
      <c r="AM176" s="1">
        <v>-3.2878725227992407E-2</v>
      </c>
      <c r="AN176" s="1">
        <v>4.1667921164782087E-2</v>
      </c>
      <c r="AO176" s="1">
        <v>-3.7804994771344094E-2</v>
      </c>
      <c r="AP176" s="1">
        <v>3.3377865928935713E-2</v>
      </c>
      <c r="AQ176" s="1">
        <v>-3.2878682270724643E-2</v>
      </c>
      <c r="AR176" s="1">
        <v>-4.6193240061393373E-2</v>
      </c>
      <c r="AS176" s="1">
        <v>-8.194612476359521E-2</v>
      </c>
      <c r="AT176" s="1">
        <v>8.7817476383006299E-2</v>
      </c>
      <c r="AU176" s="1">
        <v>-6.3655616023562331E-3</v>
      </c>
      <c r="AV176" s="1">
        <v>0.12834772218954163</v>
      </c>
      <c r="AW176" s="1">
        <v>-0.12508195682657128</v>
      </c>
      <c r="AX176" s="1">
        <v>0.2895526943706746</v>
      </c>
      <c r="AY176" s="1">
        <v>-9.8904889623451245E-2</v>
      </c>
      <c r="AZ176" s="1">
        <v>-9.311240140686429E-2</v>
      </c>
      <c r="BA176" s="1">
        <v>-3.4376980750482219E-2</v>
      </c>
      <c r="BB176" s="1">
        <v>2.7344025683931503E-2</v>
      </c>
      <c r="BC176" s="1">
        <v>-1.1889297581520925E-2</v>
      </c>
      <c r="BD176" s="1">
        <v>-0.15047871940258831</v>
      </c>
      <c r="BE176" s="1">
        <v>0.59113118900828399</v>
      </c>
      <c r="BF176" s="1">
        <v>-0.12121358047569276</v>
      </c>
      <c r="BG176" s="1">
        <v>-6.0870804693707412E-2</v>
      </c>
      <c r="BH176" s="1">
        <v>-0.10573461505332955</v>
      </c>
      <c r="BI176" s="1">
        <v>-0.15283346938296599</v>
      </c>
      <c r="BJ176" s="1">
        <v>2.1548163081140735E-2</v>
      </c>
      <c r="BK176" s="1">
        <v>3.9004882057204846E-3</v>
      </c>
      <c r="BL176" s="1">
        <v>-2.7511149490879516E-2</v>
      </c>
      <c r="BM176" s="1">
        <v>1.2790576887511562E-2</v>
      </c>
      <c r="BN176" s="1">
        <v>5.1968137285802643E-2</v>
      </c>
      <c r="BO176" s="12">
        <v>-3.9576711371275913E-2</v>
      </c>
      <c r="BP176" s="23"/>
      <c r="BQ176" s="23"/>
      <c r="BR176" s="23"/>
      <c r="BS176" s="23"/>
      <c r="BT176" s="23"/>
    </row>
    <row r="177" spans="1:72">
      <c r="A177">
        <v>23</v>
      </c>
      <c r="B177" s="11">
        <v>0</v>
      </c>
      <c r="C177" s="1">
        <v>0</v>
      </c>
      <c r="D177" s="1">
        <v>0</v>
      </c>
      <c r="E177" s="1">
        <v>0</v>
      </c>
      <c r="F177" s="1">
        <v>0</v>
      </c>
      <c r="G177" s="1">
        <v>0</v>
      </c>
      <c r="H177" s="1">
        <v>0</v>
      </c>
      <c r="I177" s="1">
        <v>0</v>
      </c>
      <c r="J177" s="1">
        <v>0</v>
      </c>
      <c r="K177" s="1">
        <v>0</v>
      </c>
      <c r="L177" s="1">
        <v>0</v>
      </c>
      <c r="M177" s="1">
        <v>0</v>
      </c>
      <c r="N177" s="1">
        <v>0</v>
      </c>
      <c r="O177" s="1">
        <v>0</v>
      </c>
      <c r="P177" s="1">
        <v>0</v>
      </c>
      <c r="Q177" s="1">
        <v>0</v>
      </c>
      <c r="R177" s="1">
        <v>0</v>
      </c>
      <c r="S177" s="1">
        <v>0</v>
      </c>
      <c r="T177" s="1">
        <v>0</v>
      </c>
      <c r="U177" s="1">
        <v>0</v>
      </c>
      <c r="V177" s="1">
        <v>0</v>
      </c>
      <c r="W177" s="1">
        <v>0</v>
      </c>
      <c r="X177" s="1">
        <v>1</v>
      </c>
      <c r="Y177" s="1">
        <v>0</v>
      </c>
      <c r="Z177" s="1">
        <v>0</v>
      </c>
      <c r="AA177" s="1">
        <v>0</v>
      </c>
      <c r="AB177" s="1">
        <v>0</v>
      </c>
      <c r="AC177" s="1">
        <v>0</v>
      </c>
      <c r="AD177" s="1">
        <v>0</v>
      </c>
      <c r="AE177" s="1">
        <v>0</v>
      </c>
      <c r="AF177" s="1">
        <v>0</v>
      </c>
      <c r="AG177" s="12">
        <v>0</v>
      </c>
      <c r="AH177" s="23"/>
      <c r="AI177" s="23">
        <v>23</v>
      </c>
      <c r="AJ177" s="11">
        <v>-3.2467671658609976E-2</v>
      </c>
      <c r="AK177" s="1">
        <v>-9.5672251022472968E-2</v>
      </c>
      <c r="AL177" s="1">
        <v>-3.2478501924136705E-2</v>
      </c>
      <c r="AM177" s="1">
        <v>-3.4991088917147438E-2</v>
      </c>
      <c r="AN177" s="1">
        <v>-3.2832100713948514E-2</v>
      </c>
      <c r="AO177" s="1">
        <v>-3.122375210513588E-2</v>
      </c>
      <c r="AP177" s="1">
        <v>9.485125717440139E-3</v>
      </c>
      <c r="AQ177" s="1">
        <v>-3.4991043199998552E-2</v>
      </c>
      <c r="AR177" s="1">
        <v>-7.3026957657980535E-2</v>
      </c>
      <c r="AS177" s="1">
        <v>-6.9645390329386159E-3</v>
      </c>
      <c r="AT177" s="1">
        <v>6.6574845029766669E-2</v>
      </c>
      <c r="AU177" s="1">
        <v>-3.2467623150169968E-2</v>
      </c>
      <c r="AV177" s="1">
        <v>6.1836772414213745E-2</v>
      </c>
      <c r="AW177" s="1">
        <v>-7.1531246832828854E-4</v>
      </c>
      <c r="AX177" s="1">
        <v>-9.5108971377246054E-2</v>
      </c>
      <c r="AY177" s="1">
        <v>0.31377869002776582</v>
      </c>
      <c r="AZ177" s="1">
        <v>0.17032315689675384</v>
      </c>
      <c r="BA177" s="1">
        <v>-3.2604596569059674E-2</v>
      </c>
      <c r="BB177" s="1">
        <v>-4.4223609792484596E-2</v>
      </c>
      <c r="BC177" s="1">
        <v>-3.9607691641663431E-3</v>
      </c>
      <c r="BD177" s="1">
        <v>-0.15043195275849605</v>
      </c>
      <c r="BE177" s="1">
        <v>-0.12121358047569286</v>
      </c>
      <c r="BF177" s="1">
        <v>0.45758742223869481</v>
      </c>
      <c r="BG177" s="1">
        <v>-4.1293452059883357E-2</v>
      </c>
      <c r="BH177" s="1">
        <v>-3.5975830070977738E-2</v>
      </c>
      <c r="BI177" s="1">
        <v>-0.1086726068736448</v>
      </c>
      <c r="BJ177" s="1">
        <v>5.6842172200279067E-2</v>
      </c>
      <c r="BK177" s="1">
        <v>-2.4843235666918609E-2</v>
      </c>
      <c r="BL177" s="1">
        <v>-9.8779124407706587E-2</v>
      </c>
      <c r="BM177" s="1">
        <v>3.4295630681776906E-2</v>
      </c>
      <c r="BN177" s="1">
        <v>8.0788575842973304E-2</v>
      </c>
      <c r="BO177" s="12">
        <v>-6.8322065223417938E-2</v>
      </c>
      <c r="BP177" s="23"/>
      <c r="BQ177" s="23"/>
      <c r="BR177" s="23"/>
      <c r="BS177" s="23"/>
      <c r="BT177" s="23"/>
    </row>
    <row r="178" spans="1:72">
      <c r="A178">
        <v>24</v>
      </c>
      <c r="B178" s="11">
        <v>0</v>
      </c>
      <c r="C178" s="1">
        <v>0</v>
      </c>
      <c r="D178" s="1">
        <v>0</v>
      </c>
      <c r="E178" s="1">
        <v>0</v>
      </c>
      <c r="F178" s="1">
        <v>0</v>
      </c>
      <c r="G178" s="1">
        <v>0</v>
      </c>
      <c r="H178" s="1">
        <v>0</v>
      </c>
      <c r="I178" s="1">
        <v>0</v>
      </c>
      <c r="J178" s="1">
        <v>0</v>
      </c>
      <c r="K178" s="1">
        <v>0</v>
      </c>
      <c r="L178" s="1">
        <v>0</v>
      </c>
      <c r="M178" s="1">
        <v>0</v>
      </c>
      <c r="N178" s="1">
        <v>0</v>
      </c>
      <c r="O178" s="1">
        <v>0</v>
      </c>
      <c r="P178" s="1">
        <v>0</v>
      </c>
      <c r="Q178" s="1">
        <v>0</v>
      </c>
      <c r="R178" s="1">
        <v>0</v>
      </c>
      <c r="S178" s="1">
        <v>0</v>
      </c>
      <c r="T178" s="1">
        <v>0</v>
      </c>
      <c r="U178" s="1">
        <v>0</v>
      </c>
      <c r="V178" s="1">
        <v>0</v>
      </c>
      <c r="W178" s="1">
        <v>0</v>
      </c>
      <c r="X178" s="1">
        <v>0</v>
      </c>
      <c r="Y178" s="1">
        <v>1</v>
      </c>
      <c r="Z178" s="1">
        <v>0</v>
      </c>
      <c r="AA178" s="1">
        <v>0</v>
      </c>
      <c r="AB178" s="1">
        <v>0</v>
      </c>
      <c r="AC178" s="1">
        <v>0</v>
      </c>
      <c r="AD178" s="1">
        <v>0</v>
      </c>
      <c r="AE178" s="1">
        <v>0</v>
      </c>
      <c r="AF178" s="1">
        <v>0</v>
      </c>
      <c r="AG178" s="12">
        <v>0</v>
      </c>
      <c r="AH178" s="23"/>
      <c r="AI178" s="23">
        <v>24</v>
      </c>
      <c r="AJ178" s="11">
        <v>-7.4305118258602532E-2</v>
      </c>
      <c r="AK178" s="1">
        <v>0.20870874742566425</v>
      </c>
      <c r="AL178" s="1">
        <v>0.11091149358397315</v>
      </c>
      <c r="AM178" s="1">
        <v>-5.1393950238650538E-2</v>
      </c>
      <c r="AN178" s="1">
        <v>-9.1028619532276617E-2</v>
      </c>
      <c r="AO178" s="1">
        <v>1.5347671626865247E-2</v>
      </c>
      <c r="AP178" s="1">
        <v>8.2855599490751941E-2</v>
      </c>
      <c r="AQ178" s="1">
        <v>-5.139388309055809E-2</v>
      </c>
      <c r="AR178" s="1">
        <v>6.7619727363402368E-2</v>
      </c>
      <c r="AS178" s="1">
        <v>3.6876800487610634E-2</v>
      </c>
      <c r="AT178" s="1">
        <v>7.239511269040072E-2</v>
      </c>
      <c r="AU178" s="1">
        <v>-7.4305007242776874E-2</v>
      </c>
      <c r="AV178" s="1">
        <v>-8.990763032377172E-2</v>
      </c>
      <c r="AW178" s="1">
        <v>5.4179768083804772E-2</v>
      </c>
      <c r="AX178" s="1">
        <v>-6.64215396591612E-2</v>
      </c>
      <c r="AY178" s="1">
        <v>-0.10186786005863624</v>
      </c>
      <c r="AZ178" s="1">
        <v>8.1440267212843087E-2</v>
      </c>
      <c r="BA178" s="1">
        <v>-7.3528332474411651E-2</v>
      </c>
      <c r="BB178" s="1">
        <v>-6.6807497279415734E-2</v>
      </c>
      <c r="BC178" s="1">
        <v>0.1056285050798345</v>
      </c>
      <c r="BD178" s="1">
        <v>-0.15190033092748556</v>
      </c>
      <c r="BE178" s="1">
        <v>-6.0870804693707467E-2</v>
      </c>
      <c r="BF178" s="1">
        <v>-4.1293452059883273E-2</v>
      </c>
      <c r="BG178" s="1">
        <v>0.40654551636692399</v>
      </c>
      <c r="BH178" s="1">
        <v>-6.2576592855147661E-2</v>
      </c>
      <c r="BI178" s="1">
        <v>-8.9904335830699969E-2</v>
      </c>
      <c r="BJ178" s="1">
        <v>-7.8530460986659528E-2</v>
      </c>
      <c r="BK178" s="1">
        <v>0.15265235747233383</v>
      </c>
      <c r="BL178" s="1">
        <v>2.2902371699889457E-2</v>
      </c>
      <c r="BM178" s="1">
        <v>-0.10625270831937397</v>
      </c>
      <c r="BN178" s="1">
        <v>-6.6207319781938834E-2</v>
      </c>
      <c r="BO178" s="12">
        <v>5.3878319440112316E-2</v>
      </c>
      <c r="BP178" s="23"/>
      <c r="BQ178" s="23"/>
      <c r="BR178" s="23"/>
      <c r="BS178" s="23"/>
      <c r="BT178" s="23"/>
    </row>
    <row r="179" spans="1:72">
      <c r="A179">
        <v>25</v>
      </c>
      <c r="B179" s="11">
        <v>0</v>
      </c>
      <c r="C179" s="1">
        <v>0</v>
      </c>
      <c r="D179" s="1">
        <v>0</v>
      </c>
      <c r="E179" s="1">
        <v>0</v>
      </c>
      <c r="F179" s="1">
        <v>0</v>
      </c>
      <c r="G179" s="1">
        <v>0</v>
      </c>
      <c r="H179" s="1">
        <v>0</v>
      </c>
      <c r="I179" s="1">
        <v>0</v>
      </c>
      <c r="J179" s="1">
        <v>0</v>
      </c>
      <c r="K179" s="1">
        <v>0</v>
      </c>
      <c r="L179" s="1">
        <v>0</v>
      </c>
      <c r="M179" s="1">
        <v>0</v>
      </c>
      <c r="N179" s="1">
        <v>0</v>
      </c>
      <c r="O179" s="1">
        <v>0</v>
      </c>
      <c r="P179" s="1">
        <v>0</v>
      </c>
      <c r="Q179" s="1">
        <v>0</v>
      </c>
      <c r="R179" s="1">
        <v>0</v>
      </c>
      <c r="S179" s="1">
        <v>0</v>
      </c>
      <c r="T179" s="1">
        <v>0</v>
      </c>
      <c r="U179" s="1">
        <v>0</v>
      </c>
      <c r="V179" s="1">
        <v>0</v>
      </c>
      <c r="W179" s="1">
        <v>0</v>
      </c>
      <c r="X179" s="1">
        <v>0</v>
      </c>
      <c r="Y179" s="1">
        <v>0</v>
      </c>
      <c r="Z179" s="1">
        <v>1</v>
      </c>
      <c r="AA179" s="1">
        <v>0</v>
      </c>
      <c r="AB179" s="1">
        <v>0</v>
      </c>
      <c r="AC179" s="1">
        <v>0</v>
      </c>
      <c r="AD179" s="1">
        <v>0</v>
      </c>
      <c r="AE179" s="1">
        <v>0</v>
      </c>
      <c r="AF179" s="1">
        <v>0</v>
      </c>
      <c r="AG179" s="12">
        <v>0</v>
      </c>
      <c r="AH179" s="23"/>
      <c r="AI179" s="23">
        <v>25</v>
      </c>
      <c r="AJ179" s="11">
        <v>6.777500925307943E-2</v>
      </c>
      <c r="AK179" s="1">
        <v>-6.6462063983670633E-2</v>
      </c>
      <c r="AL179" s="1">
        <v>-4.6888438861815387E-2</v>
      </c>
      <c r="AM179" s="1">
        <v>0.20553597678634752</v>
      </c>
      <c r="AN179" s="1">
        <v>-7.0375187796777164E-2</v>
      </c>
      <c r="AO179" s="1">
        <v>-0.13340098013922744</v>
      </c>
      <c r="AP179" s="1">
        <v>-0.12157084355110298</v>
      </c>
      <c r="AQ179" s="1">
        <v>0.20553570824600947</v>
      </c>
      <c r="AR179" s="1">
        <v>0.14506297354320791</v>
      </c>
      <c r="AS179" s="1">
        <v>-2.3276578237856158E-2</v>
      </c>
      <c r="AT179" s="1">
        <v>-1.7751734960046783E-2</v>
      </c>
      <c r="AU179" s="1">
        <v>6.7774907993586375E-2</v>
      </c>
      <c r="AV179" s="1">
        <v>-3.9186652751371863E-2</v>
      </c>
      <c r="AW179" s="1">
        <v>5.6066119368337636E-2</v>
      </c>
      <c r="AX179" s="1">
        <v>-3.9475384243096309E-2</v>
      </c>
      <c r="AY179" s="1">
        <v>-3.6690718983130324E-2</v>
      </c>
      <c r="AZ179" s="1">
        <v>-8.6461394460190702E-2</v>
      </c>
      <c r="BA179" s="1">
        <v>6.6855149753897083E-3</v>
      </c>
      <c r="BB179" s="1">
        <v>-6.0749991798416648E-2</v>
      </c>
      <c r="BC179" s="1">
        <v>-2.9062351031274334E-2</v>
      </c>
      <c r="BD179" s="1">
        <v>-0.13713106848292847</v>
      </c>
      <c r="BE179" s="1">
        <v>-0.10573461505332954</v>
      </c>
      <c r="BF179" s="1">
        <v>-3.5975830070977738E-2</v>
      </c>
      <c r="BG179" s="1">
        <v>-6.2576592855147842E-2</v>
      </c>
      <c r="BH179" s="1">
        <v>0.45804856510401359</v>
      </c>
      <c r="BI179" s="1">
        <v>-0.11663045864163005</v>
      </c>
      <c r="BJ179" s="1">
        <v>-5.4253175755408847E-3</v>
      </c>
      <c r="BK179" s="1">
        <v>-9.5056864609957645E-2</v>
      </c>
      <c r="BL179" s="1">
        <v>4.6084066425765915E-2</v>
      </c>
      <c r="BM179" s="1">
        <v>7.1146535446935995E-3</v>
      </c>
      <c r="BN179" s="1">
        <v>-7.5839739282160396E-2</v>
      </c>
      <c r="BO179" s="12">
        <v>5.5602277672701247E-2</v>
      </c>
      <c r="BP179" s="23"/>
      <c r="BQ179" s="23"/>
      <c r="BR179" s="23"/>
      <c r="BS179" s="23"/>
      <c r="BT179" s="23"/>
    </row>
    <row r="180" spans="1:72">
      <c r="A180">
        <v>26</v>
      </c>
      <c r="B180" s="11">
        <v>0</v>
      </c>
      <c r="C180" s="1">
        <v>0</v>
      </c>
      <c r="D180" s="1">
        <v>0</v>
      </c>
      <c r="E180" s="1">
        <v>0</v>
      </c>
      <c r="F180" s="1">
        <v>0</v>
      </c>
      <c r="G180" s="1">
        <v>0</v>
      </c>
      <c r="H180" s="1">
        <v>0</v>
      </c>
      <c r="I180" s="1">
        <v>0</v>
      </c>
      <c r="J180" s="1">
        <v>0</v>
      </c>
      <c r="K180" s="1">
        <v>0</v>
      </c>
      <c r="L180" s="1">
        <v>0</v>
      </c>
      <c r="M180" s="1">
        <v>0</v>
      </c>
      <c r="N180" s="1">
        <v>0</v>
      </c>
      <c r="O180" s="1">
        <v>0</v>
      </c>
      <c r="P180" s="1">
        <v>0</v>
      </c>
      <c r="Q180" s="1">
        <v>0</v>
      </c>
      <c r="R180" s="1">
        <v>0</v>
      </c>
      <c r="S180" s="1">
        <v>0</v>
      </c>
      <c r="T180" s="1">
        <v>0</v>
      </c>
      <c r="U180" s="1">
        <v>0</v>
      </c>
      <c r="V180" s="1">
        <v>0</v>
      </c>
      <c r="W180" s="1">
        <v>0</v>
      </c>
      <c r="X180" s="1">
        <v>0</v>
      </c>
      <c r="Y180" s="1">
        <v>0</v>
      </c>
      <c r="Z180" s="1">
        <v>0</v>
      </c>
      <c r="AA180" s="1">
        <v>1</v>
      </c>
      <c r="AB180" s="1">
        <v>0</v>
      </c>
      <c r="AC180" s="1">
        <v>0</v>
      </c>
      <c r="AD180" s="1">
        <v>0</v>
      </c>
      <c r="AE180" s="1">
        <v>0</v>
      </c>
      <c r="AF180" s="1">
        <v>0</v>
      </c>
      <c r="AG180" s="12">
        <v>0</v>
      </c>
      <c r="AH180" s="23"/>
      <c r="AI180" s="23">
        <v>26</v>
      </c>
      <c r="AJ180" s="11">
        <v>9.1552656734516069E-2</v>
      </c>
      <c r="AK180" s="1">
        <v>-1.5337143263067995E-2</v>
      </c>
      <c r="AL180" s="1">
        <v>-2.3805197107642229E-3</v>
      </c>
      <c r="AM180" s="1">
        <v>-7.0609341244004711E-2</v>
      </c>
      <c r="AN180" s="1">
        <v>4.0831915888639998E-2</v>
      </c>
      <c r="AO180" s="1">
        <v>0.26496809749421191</v>
      </c>
      <c r="AP180" s="1">
        <v>-4.4050687026491453E-2</v>
      </c>
      <c r="AQ180" s="1">
        <v>-7.0609248990294887E-2</v>
      </c>
      <c r="AR180" s="1">
        <v>-6.2455287083582785E-2</v>
      </c>
      <c r="AS180" s="1">
        <v>-0.11105024616173878</v>
      </c>
      <c r="AT180" s="1">
        <v>-0.1735167813138678</v>
      </c>
      <c r="AU180" s="1">
        <v>9.1552519949944483E-2</v>
      </c>
      <c r="AV180" s="1">
        <v>2.3632936411218733E-3</v>
      </c>
      <c r="AW180" s="1">
        <v>9.0121718912349977E-2</v>
      </c>
      <c r="AX180" s="1">
        <v>-2.9845126666434546E-2</v>
      </c>
      <c r="AY180" s="1">
        <v>-4.362593650835675E-2</v>
      </c>
      <c r="AZ180" s="1">
        <v>-4.522755521502296E-2</v>
      </c>
      <c r="BA180" s="1">
        <v>4.5729874619438407E-2</v>
      </c>
      <c r="BB180" s="1">
        <v>4.8566809296097649E-2</v>
      </c>
      <c r="BC180" s="1">
        <v>-1.8087956331526028E-2</v>
      </c>
      <c r="BD180" s="1">
        <v>-0.12857519529933842</v>
      </c>
      <c r="BE180" s="1">
        <v>-0.15283346938296583</v>
      </c>
      <c r="BF180" s="1">
        <v>-0.10867260687364486</v>
      </c>
      <c r="BG180" s="1">
        <v>-8.9904335830699872E-2</v>
      </c>
      <c r="BH180" s="1">
        <v>-0.11663045864163006</v>
      </c>
      <c r="BI180" s="1">
        <v>0.5966160660282791</v>
      </c>
      <c r="BJ180" s="1">
        <v>-9.6898792339642995E-3</v>
      </c>
      <c r="BK180" s="1">
        <v>-2.9383644101659057E-2</v>
      </c>
      <c r="BL180" s="1">
        <v>1.8025762908821859E-2</v>
      </c>
      <c r="BM180" s="1">
        <v>2.9972553353331807E-2</v>
      </c>
      <c r="BN180" s="1">
        <v>-9.9227125657430498E-3</v>
      </c>
      <c r="BO180" s="12">
        <v>1.1164633637779836E-2</v>
      </c>
      <c r="BP180" s="23"/>
      <c r="BQ180" s="23"/>
      <c r="BR180" s="23"/>
      <c r="BS180" s="23"/>
      <c r="BT180" s="23"/>
    </row>
    <row r="181" spans="1:72">
      <c r="A181">
        <v>27</v>
      </c>
      <c r="B181" s="11">
        <v>0</v>
      </c>
      <c r="C181" s="1">
        <v>0</v>
      </c>
      <c r="D181" s="1">
        <v>0</v>
      </c>
      <c r="E181" s="1">
        <v>0</v>
      </c>
      <c r="F181" s="1">
        <v>0</v>
      </c>
      <c r="G181" s="1">
        <v>0</v>
      </c>
      <c r="H181" s="1">
        <v>0</v>
      </c>
      <c r="I181" s="1">
        <v>0</v>
      </c>
      <c r="J181" s="1">
        <v>0</v>
      </c>
      <c r="K181" s="1">
        <v>0</v>
      </c>
      <c r="L181" s="1">
        <v>0</v>
      </c>
      <c r="M181" s="1">
        <v>0</v>
      </c>
      <c r="N181" s="1">
        <v>0</v>
      </c>
      <c r="O181" s="1">
        <v>0</v>
      </c>
      <c r="P181" s="1">
        <v>0</v>
      </c>
      <c r="Q181" s="1">
        <v>0</v>
      </c>
      <c r="R181" s="1">
        <v>0</v>
      </c>
      <c r="S181" s="1">
        <v>0</v>
      </c>
      <c r="T181" s="1">
        <v>0</v>
      </c>
      <c r="U181" s="1">
        <v>0</v>
      </c>
      <c r="V181" s="1">
        <v>0</v>
      </c>
      <c r="W181" s="1">
        <v>0</v>
      </c>
      <c r="X181" s="1">
        <v>0</v>
      </c>
      <c r="Y181" s="1">
        <v>0</v>
      </c>
      <c r="Z181" s="1">
        <v>0</v>
      </c>
      <c r="AA181" s="1">
        <v>0</v>
      </c>
      <c r="AB181" s="1">
        <v>1</v>
      </c>
      <c r="AC181" s="1">
        <v>0</v>
      </c>
      <c r="AD181" s="1">
        <v>0</v>
      </c>
      <c r="AE181" s="1">
        <v>0</v>
      </c>
      <c r="AF181" s="1">
        <v>0</v>
      </c>
      <c r="AG181" s="12">
        <v>0</v>
      </c>
      <c r="AH181" s="23"/>
      <c r="AI181" s="23">
        <v>27</v>
      </c>
      <c r="AJ181" s="11">
        <v>-6.6268927975805761E-2</v>
      </c>
      <c r="AK181" s="1">
        <v>-9.6840403671162978E-2</v>
      </c>
      <c r="AL181" s="1">
        <v>-1.6376259943086828E-2</v>
      </c>
      <c r="AM181" s="1">
        <v>6.2547747775596269E-2</v>
      </c>
      <c r="AN181" s="1">
        <v>-0.1023080305955953</v>
      </c>
      <c r="AO181" s="1">
        <v>0.13402833715725837</v>
      </c>
      <c r="AP181" s="1">
        <v>0.2951647663323545</v>
      </c>
      <c r="AQ181" s="1">
        <v>6.2547666054656031E-2</v>
      </c>
      <c r="AR181" s="1">
        <v>-8.2188016544886167E-2</v>
      </c>
      <c r="AS181" s="1">
        <v>1.5503003830108414E-2</v>
      </c>
      <c r="AT181" s="1">
        <v>2.1068124754105598E-2</v>
      </c>
      <c r="AU181" s="1">
        <v>-6.6268828966478843E-2</v>
      </c>
      <c r="AV181" s="1">
        <v>-7.5946182017718779E-3</v>
      </c>
      <c r="AW181" s="1">
        <v>-7.9936875021644656E-3</v>
      </c>
      <c r="AX181" s="1">
        <v>4.3344760484332751E-3</v>
      </c>
      <c r="AY181" s="1">
        <v>2.2779028965461266E-2</v>
      </c>
      <c r="AZ181" s="1">
        <v>-7.673547688908991E-2</v>
      </c>
      <c r="BA181" s="1">
        <v>-8.7719817493741997E-3</v>
      </c>
      <c r="BB181" s="1">
        <v>-8.2727917149427836E-3</v>
      </c>
      <c r="BC181" s="1">
        <v>0.10989953790021786</v>
      </c>
      <c r="BD181" s="1">
        <v>1.5255322514744957E-2</v>
      </c>
      <c r="BE181" s="1">
        <v>2.1548163081140659E-2</v>
      </c>
      <c r="BF181" s="1">
        <v>5.6842172200278991E-2</v>
      </c>
      <c r="BG181" s="1">
        <v>-7.8530460986659528E-2</v>
      </c>
      <c r="BH181" s="1">
        <v>-5.42531757554085E-3</v>
      </c>
      <c r="BI181" s="1">
        <v>-9.6898792339642076E-3</v>
      </c>
      <c r="BJ181" s="1">
        <v>0.48670696701137528</v>
      </c>
      <c r="BK181" s="1">
        <v>-0.2394130917736971</v>
      </c>
      <c r="BL181" s="1">
        <v>2.9543714658296128E-2</v>
      </c>
      <c r="BM181" s="1">
        <v>-5.9494707351183833E-2</v>
      </c>
      <c r="BN181" s="1">
        <v>-9.3651510324463283E-2</v>
      </c>
      <c r="BO181" s="12">
        <v>3.2964199121395532E-2</v>
      </c>
      <c r="BP181" s="23"/>
      <c r="BQ181" s="23"/>
      <c r="BR181" s="23"/>
      <c r="BS181" s="23"/>
      <c r="BT181" s="23"/>
    </row>
    <row r="182" spans="1:72">
      <c r="A182">
        <v>28</v>
      </c>
      <c r="B182" s="11">
        <v>0</v>
      </c>
      <c r="C182" s="1">
        <v>0</v>
      </c>
      <c r="D182" s="1">
        <v>0</v>
      </c>
      <c r="E182" s="1">
        <v>0</v>
      </c>
      <c r="F182" s="1">
        <v>0</v>
      </c>
      <c r="G182" s="1">
        <v>0</v>
      </c>
      <c r="H182" s="1">
        <v>0</v>
      </c>
      <c r="I182" s="1">
        <v>0</v>
      </c>
      <c r="J182" s="1">
        <v>0</v>
      </c>
      <c r="K182" s="1">
        <v>0</v>
      </c>
      <c r="L182" s="1">
        <v>0</v>
      </c>
      <c r="M182" s="1">
        <v>0</v>
      </c>
      <c r="N182" s="1">
        <v>0</v>
      </c>
      <c r="O182" s="1">
        <v>0</v>
      </c>
      <c r="P182" s="1">
        <v>0</v>
      </c>
      <c r="Q182" s="1">
        <v>0</v>
      </c>
      <c r="R182" s="1">
        <v>0</v>
      </c>
      <c r="S182" s="1">
        <v>0</v>
      </c>
      <c r="T182" s="1">
        <v>0</v>
      </c>
      <c r="U182" s="1">
        <v>0</v>
      </c>
      <c r="V182" s="1">
        <v>0</v>
      </c>
      <c r="W182" s="1">
        <v>0</v>
      </c>
      <c r="X182" s="1">
        <v>0</v>
      </c>
      <c r="Y182" s="1">
        <v>0</v>
      </c>
      <c r="Z182" s="1">
        <v>0</v>
      </c>
      <c r="AA182" s="1">
        <v>0</v>
      </c>
      <c r="AB182" s="1">
        <v>0</v>
      </c>
      <c r="AC182" s="1">
        <v>1</v>
      </c>
      <c r="AD182" s="1">
        <v>0</v>
      </c>
      <c r="AE182" s="1">
        <v>0</v>
      </c>
      <c r="AF182" s="1">
        <v>0</v>
      </c>
      <c r="AG182" s="12">
        <v>0</v>
      </c>
      <c r="AH182" s="23"/>
      <c r="AI182" s="23">
        <v>28</v>
      </c>
      <c r="AJ182" s="11">
        <v>-4.1566407837372032E-4</v>
      </c>
      <c r="AK182" s="1">
        <v>0.10709391282310644</v>
      </c>
      <c r="AL182" s="1">
        <v>-5.5094321129637844E-2</v>
      </c>
      <c r="AM182" s="1">
        <v>3.180898697656534E-2</v>
      </c>
      <c r="AN182" s="1">
        <v>7.8326267150415199E-2</v>
      </c>
      <c r="AO182" s="1">
        <v>3.4993143734999399E-2</v>
      </c>
      <c r="AP182" s="1">
        <v>0.13498676667465725</v>
      </c>
      <c r="AQ182" s="1">
        <v>3.180894541694998E-2</v>
      </c>
      <c r="AR182" s="1">
        <v>4.3019553471066868E-2</v>
      </c>
      <c r="AS182" s="1">
        <v>-2.6508214634452798E-3</v>
      </c>
      <c r="AT182" s="1">
        <v>-1.3837523869852493E-2</v>
      </c>
      <c r="AU182" s="1">
        <v>-4.1566345734923849E-4</v>
      </c>
      <c r="AV182" s="1">
        <v>-1.2837846433232103E-2</v>
      </c>
      <c r="AW182" s="1">
        <v>1.416924235416479E-2</v>
      </c>
      <c r="AX182" s="1">
        <v>-1.1332034717352224E-2</v>
      </c>
      <c r="AY182" s="1">
        <v>-3.5543014925591809E-2</v>
      </c>
      <c r="AZ182" s="1">
        <v>9.080955442687548E-2</v>
      </c>
      <c r="BA182" s="1">
        <v>-2.8136266857432618E-2</v>
      </c>
      <c r="BB182" s="1">
        <v>-0.12283200245872436</v>
      </c>
      <c r="BC182" s="1">
        <v>-0.23372937763409363</v>
      </c>
      <c r="BD182" s="1">
        <v>-7.2691012995189652E-3</v>
      </c>
      <c r="BE182" s="1">
        <v>3.9004882057204412E-3</v>
      </c>
      <c r="BF182" s="1">
        <v>-2.4843235666918515E-2</v>
      </c>
      <c r="BG182" s="1">
        <v>0.15265235747233377</v>
      </c>
      <c r="BH182" s="1">
        <v>-9.5056864609957492E-2</v>
      </c>
      <c r="BI182" s="1">
        <v>-2.9383644101659223E-2</v>
      </c>
      <c r="BJ182" s="1">
        <v>-0.23941309177369685</v>
      </c>
      <c r="BK182" s="1">
        <v>0.37488100887199988</v>
      </c>
      <c r="BL182" s="1">
        <v>-1.1209286795961462E-2</v>
      </c>
      <c r="BM182" s="1">
        <v>5.1782832520552852E-2</v>
      </c>
      <c r="BN182" s="1">
        <v>0.12461436089327038</v>
      </c>
      <c r="BO182" s="12">
        <v>-1.1512272199896076E-2</v>
      </c>
      <c r="BP182" s="23"/>
      <c r="BQ182" s="23"/>
      <c r="BR182" s="23"/>
      <c r="BS182" s="23"/>
      <c r="BT182" s="23"/>
    </row>
    <row r="183" spans="1:72">
      <c r="A183">
        <v>29</v>
      </c>
      <c r="B183" s="11">
        <v>0</v>
      </c>
      <c r="C183" s="1">
        <v>0</v>
      </c>
      <c r="D183" s="1">
        <v>0</v>
      </c>
      <c r="E183" s="1">
        <v>0</v>
      </c>
      <c r="F183" s="1">
        <v>0</v>
      </c>
      <c r="G183" s="1">
        <v>0</v>
      </c>
      <c r="H183" s="1">
        <v>0</v>
      </c>
      <c r="I183" s="1">
        <v>0</v>
      </c>
      <c r="J183" s="1">
        <v>0</v>
      </c>
      <c r="K183" s="1">
        <v>0</v>
      </c>
      <c r="L183" s="1">
        <v>0</v>
      </c>
      <c r="M183" s="1">
        <v>0</v>
      </c>
      <c r="N183" s="1">
        <v>0</v>
      </c>
      <c r="O183" s="1">
        <v>0</v>
      </c>
      <c r="P183" s="1">
        <v>0</v>
      </c>
      <c r="Q183" s="1">
        <v>0</v>
      </c>
      <c r="R183" s="1">
        <v>0</v>
      </c>
      <c r="S183" s="1">
        <v>0</v>
      </c>
      <c r="T183" s="1">
        <v>0</v>
      </c>
      <c r="U183" s="1">
        <v>0</v>
      </c>
      <c r="V183" s="1">
        <v>0</v>
      </c>
      <c r="W183" s="1">
        <v>0</v>
      </c>
      <c r="X183" s="1">
        <v>0</v>
      </c>
      <c r="Y183" s="1">
        <v>0</v>
      </c>
      <c r="Z183" s="1">
        <v>0</v>
      </c>
      <c r="AA183" s="1">
        <v>0</v>
      </c>
      <c r="AB183" s="1">
        <v>0</v>
      </c>
      <c r="AC183" s="1">
        <v>0</v>
      </c>
      <c r="AD183" s="1">
        <v>1</v>
      </c>
      <c r="AE183" s="1">
        <v>0</v>
      </c>
      <c r="AF183" s="1">
        <v>0</v>
      </c>
      <c r="AG183" s="12">
        <v>0</v>
      </c>
      <c r="AH183" s="23"/>
      <c r="AI183" s="23">
        <v>29</v>
      </c>
      <c r="AJ183" s="11">
        <v>1.6586856350141302E-2</v>
      </c>
      <c r="AK183" s="1">
        <v>0.14947050802207185</v>
      </c>
      <c r="AL183" s="1">
        <v>-0.10557878183471543</v>
      </c>
      <c r="AM183" s="1">
        <v>1.6978084199756382E-2</v>
      </c>
      <c r="AN183" s="1">
        <v>-6.338058699457496E-3</v>
      </c>
      <c r="AO183" s="1">
        <v>-1.2498420698125335E-3</v>
      </c>
      <c r="AP183" s="1">
        <v>-2.2560565015294524E-2</v>
      </c>
      <c r="AQ183" s="1">
        <v>1.6978062017262891E-2</v>
      </c>
      <c r="AR183" s="1">
        <v>-8.1304283303928859E-2</v>
      </c>
      <c r="AS183" s="1">
        <v>-2.4579881662974055E-2</v>
      </c>
      <c r="AT183" s="1">
        <v>-5.0264570014402722E-3</v>
      </c>
      <c r="AU183" s="1">
        <v>1.65868315684897E-2</v>
      </c>
      <c r="AV183" s="1">
        <v>8.2305825815446765E-2</v>
      </c>
      <c r="AW183" s="1">
        <v>-4.8575950971193042E-2</v>
      </c>
      <c r="AX183" s="1">
        <v>3.9052776029050343E-2</v>
      </c>
      <c r="AY183" s="1">
        <v>4.8160819694688141E-2</v>
      </c>
      <c r="AZ183" s="1">
        <v>3.5277901098467283E-2</v>
      </c>
      <c r="BA183" s="1">
        <v>0.10959516337618577</v>
      </c>
      <c r="BB183" s="1">
        <v>-7.8859825787565521E-2</v>
      </c>
      <c r="BC183" s="1">
        <v>-0.1181164011853631</v>
      </c>
      <c r="BD183" s="1">
        <v>3.9278072864108809E-2</v>
      </c>
      <c r="BE183" s="1">
        <v>-2.751114949087953E-2</v>
      </c>
      <c r="BF183" s="1">
        <v>-9.8779124407706531E-2</v>
      </c>
      <c r="BG183" s="1">
        <v>2.2902371699889526E-2</v>
      </c>
      <c r="BH183" s="1">
        <v>4.6084066425765881E-2</v>
      </c>
      <c r="BI183" s="1">
        <v>1.8025762908821859E-2</v>
      </c>
      <c r="BJ183" s="1">
        <v>2.9543714658296104E-2</v>
      </c>
      <c r="BK183" s="1">
        <v>-1.1209286795961452E-2</v>
      </c>
      <c r="BL183" s="1">
        <v>0.41367852618233092</v>
      </c>
      <c r="BM183" s="1">
        <v>-0.21014751855586147</v>
      </c>
      <c r="BN183" s="1">
        <v>-0.28681566096324862</v>
      </c>
      <c r="BO183" s="12">
        <v>-0.10622966540188541</v>
      </c>
      <c r="BP183" s="23"/>
      <c r="BQ183" s="23"/>
      <c r="BR183" s="23"/>
      <c r="BS183" s="23"/>
      <c r="BT183" s="23"/>
    </row>
    <row r="184" spans="1:72">
      <c r="A184">
        <v>30</v>
      </c>
      <c r="B184" s="11">
        <v>0</v>
      </c>
      <c r="C184" s="1">
        <v>0</v>
      </c>
      <c r="D184" s="1">
        <v>0</v>
      </c>
      <c r="E184" s="1">
        <v>0</v>
      </c>
      <c r="F184" s="1">
        <v>0</v>
      </c>
      <c r="G184" s="1">
        <v>0</v>
      </c>
      <c r="H184" s="1">
        <v>0</v>
      </c>
      <c r="I184" s="1">
        <v>0</v>
      </c>
      <c r="J184" s="1">
        <v>0</v>
      </c>
      <c r="K184" s="1">
        <v>0</v>
      </c>
      <c r="L184" s="1">
        <v>0</v>
      </c>
      <c r="M184" s="1">
        <v>0</v>
      </c>
      <c r="N184" s="1">
        <v>0</v>
      </c>
      <c r="O184" s="1">
        <v>0</v>
      </c>
      <c r="P184" s="1">
        <v>0</v>
      </c>
      <c r="Q184" s="1">
        <v>0</v>
      </c>
      <c r="R184" s="1">
        <v>0</v>
      </c>
      <c r="S184" s="1">
        <v>0</v>
      </c>
      <c r="T184" s="1">
        <v>0</v>
      </c>
      <c r="U184" s="1">
        <v>0</v>
      </c>
      <c r="V184" s="1">
        <v>0</v>
      </c>
      <c r="W184" s="1">
        <v>0</v>
      </c>
      <c r="X184" s="1">
        <v>0</v>
      </c>
      <c r="Y184" s="1">
        <v>0</v>
      </c>
      <c r="Z184" s="1">
        <v>0</v>
      </c>
      <c r="AA184" s="1">
        <v>0</v>
      </c>
      <c r="AB184" s="1">
        <v>0</v>
      </c>
      <c r="AC184" s="1">
        <v>0</v>
      </c>
      <c r="AD184" s="1">
        <v>0</v>
      </c>
      <c r="AE184" s="1">
        <v>1</v>
      </c>
      <c r="AF184" s="1">
        <v>0</v>
      </c>
      <c r="AG184" s="12">
        <v>0</v>
      </c>
      <c r="AH184" s="23"/>
      <c r="AI184" s="23">
        <v>30</v>
      </c>
      <c r="AJ184" s="11">
        <v>-3.8755575361244424E-2</v>
      </c>
      <c r="AK184" s="1">
        <v>-8.1827855951384171E-2</v>
      </c>
      <c r="AL184" s="1">
        <v>0.18803984729517512</v>
      </c>
      <c r="AM184" s="1">
        <v>-3.2196620368209833E-2</v>
      </c>
      <c r="AN184" s="1">
        <v>-9.7800324358733315E-2</v>
      </c>
      <c r="AO184" s="1">
        <v>4.3483204646852208E-2</v>
      </c>
      <c r="AP184" s="1">
        <v>2.8769850994326558E-2</v>
      </c>
      <c r="AQ184" s="1">
        <v>-3.2196578302137291E-2</v>
      </c>
      <c r="AR184" s="1">
        <v>0.144815015043261</v>
      </c>
      <c r="AS184" s="1">
        <v>1.199121594826974E-2</v>
      </c>
      <c r="AT184" s="1">
        <v>2.6509766918873821E-2</v>
      </c>
      <c r="AU184" s="1">
        <v>-3.8755517458339453E-2</v>
      </c>
      <c r="AV184" s="1">
        <v>1.2598692027296261E-2</v>
      </c>
      <c r="AW184" s="1">
        <v>-2.1827128984113615E-2</v>
      </c>
      <c r="AX184" s="1">
        <v>1.4134201505454969E-2</v>
      </c>
      <c r="AY184" s="1">
        <v>3.7629014560875314E-2</v>
      </c>
      <c r="AZ184" s="1">
        <v>-7.8466989716046945E-2</v>
      </c>
      <c r="BA184" s="1">
        <v>2.1289059140880917E-2</v>
      </c>
      <c r="BB184" s="1">
        <v>2.5387443585241896E-2</v>
      </c>
      <c r="BC184" s="1">
        <v>-0.21208096964396192</v>
      </c>
      <c r="BD184" s="1">
        <v>2.2079293852060172E-2</v>
      </c>
      <c r="BE184" s="1">
        <v>1.2790576887511548E-2</v>
      </c>
      <c r="BF184" s="1">
        <v>3.4295630681776837E-2</v>
      </c>
      <c r="BG184" s="1">
        <v>-0.10625270831937408</v>
      </c>
      <c r="BH184" s="1">
        <v>7.1146535446936776E-3</v>
      </c>
      <c r="BI184" s="1">
        <v>2.9972553353331849E-2</v>
      </c>
      <c r="BJ184" s="1">
        <v>-5.9494707351183819E-2</v>
      </c>
      <c r="BK184" s="1">
        <v>5.1782832520552741E-2</v>
      </c>
      <c r="BL184" s="1">
        <v>-0.21014751855586147</v>
      </c>
      <c r="BM184" s="1">
        <v>0.66332651115826002</v>
      </c>
      <c r="BN184" s="1">
        <v>-0.15191987315971966</v>
      </c>
      <c r="BO184" s="12">
        <v>8.8585485592613568E-3</v>
      </c>
      <c r="BP184" s="23"/>
      <c r="BQ184" s="23"/>
      <c r="BR184" s="23"/>
      <c r="BS184" s="23"/>
      <c r="BT184" s="23"/>
    </row>
    <row r="185" spans="1:72">
      <c r="A185">
        <v>31</v>
      </c>
      <c r="B185" s="11">
        <v>0</v>
      </c>
      <c r="C185" s="1">
        <v>0</v>
      </c>
      <c r="D185" s="1">
        <v>0</v>
      </c>
      <c r="E185" s="1">
        <v>0</v>
      </c>
      <c r="F185" s="1">
        <v>0</v>
      </c>
      <c r="G185" s="1">
        <v>0</v>
      </c>
      <c r="H185" s="1">
        <v>0</v>
      </c>
      <c r="I185" s="1">
        <v>0</v>
      </c>
      <c r="J185" s="1">
        <v>0</v>
      </c>
      <c r="K185" s="1">
        <v>0</v>
      </c>
      <c r="L185" s="1">
        <v>0</v>
      </c>
      <c r="M185" s="1">
        <v>0</v>
      </c>
      <c r="N185" s="1">
        <v>0</v>
      </c>
      <c r="O185" s="1">
        <v>0</v>
      </c>
      <c r="P185" s="1">
        <v>0</v>
      </c>
      <c r="Q185" s="1">
        <v>0</v>
      </c>
      <c r="R185" s="1">
        <v>0</v>
      </c>
      <c r="S185" s="1">
        <v>0</v>
      </c>
      <c r="T185" s="1">
        <v>0</v>
      </c>
      <c r="U185" s="1">
        <v>0</v>
      </c>
      <c r="V185" s="1">
        <v>0</v>
      </c>
      <c r="W185" s="1">
        <v>0</v>
      </c>
      <c r="X185" s="1">
        <v>0</v>
      </c>
      <c r="Y185" s="1">
        <v>0</v>
      </c>
      <c r="Z185" s="1">
        <v>0</v>
      </c>
      <c r="AA185" s="1">
        <v>0</v>
      </c>
      <c r="AB185" s="1">
        <v>0</v>
      </c>
      <c r="AC185" s="1">
        <v>0</v>
      </c>
      <c r="AD185" s="1">
        <v>0</v>
      </c>
      <c r="AE185" s="1">
        <v>0</v>
      </c>
      <c r="AF185" s="1">
        <v>1</v>
      </c>
      <c r="AG185" s="12">
        <v>0</v>
      </c>
      <c r="AH185" s="23"/>
      <c r="AI185" s="23">
        <v>31</v>
      </c>
      <c r="AJ185" s="11">
        <v>4.7150526264178844E-2</v>
      </c>
      <c r="AK185" s="1">
        <v>-0.13466997998523331</v>
      </c>
      <c r="AL185" s="1">
        <v>-0.11134325647389892</v>
      </c>
      <c r="AM185" s="1">
        <v>5.0125935394006331E-2</v>
      </c>
      <c r="AN185" s="1">
        <v>0.16543661845254165</v>
      </c>
      <c r="AO185" s="1">
        <v>-1.4664953617849058E-2</v>
      </c>
      <c r="AP185" s="1">
        <v>4.2221026929326562E-2</v>
      </c>
      <c r="AQ185" s="1">
        <v>5.0125869902622029E-2</v>
      </c>
      <c r="AR185" s="1">
        <v>-2.519726536434155E-2</v>
      </c>
      <c r="AS185" s="1">
        <v>-4.0805564456994244E-3</v>
      </c>
      <c r="AT185" s="1">
        <v>-5.7992645260746219E-2</v>
      </c>
      <c r="AU185" s="1">
        <v>4.7150455818767777E-2</v>
      </c>
      <c r="AV185" s="1">
        <v>-5.1910758627491727E-2</v>
      </c>
      <c r="AW185" s="1">
        <v>4.3700854787213014E-2</v>
      </c>
      <c r="AX185" s="1">
        <v>-2.1173193004731083E-2</v>
      </c>
      <c r="AY185" s="1">
        <v>-4.2513252302088918E-2</v>
      </c>
      <c r="AZ185" s="1">
        <v>3.104007110158985E-2</v>
      </c>
      <c r="BA185" s="1">
        <v>-0.10230803413675299</v>
      </c>
      <c r="BB185" s="1">
        <v>2.0974630436492614E-2</v>
      </c>
      <c r="BC185" s="1">
        <v>6.4629207329711474E-2</v>
      </c>
      <c r="BD185" s="1">
        <v>1.9213058501066305E-2</v>
      </c>
      <c r="BE185" s="1">
        <v>5.1968137285802726E-2</v>
      </c>
      <c r="BF185" s="1">
        <v>8.0788575842973345E-2</v>
      </c>
      <c r="BG185" s="1">
        <v>-6.6207319781938848E-2</v>
      </c>
      <c r="BH185" s="1">
        <v>-7.5839739282160465E-2</v>
      </c>
      <c r="BI185" s="1">
        <v>-9.9227125657430637E-3</v>
      </c>
      <c r="BJ185" s="1">
        <v>-9.3651510324463158E-2</v>
      </c>
      <c r="BK185" s="1">
        <v>0.12461436089327045</v>
      </c>
      <c r="BL185" s="1">
        <v>-0.28681566096324862</v>
      </c>
      <c r="BM185" s="1">
        <v>-0.15191987315971961</v>
      </c>
      <c r="BN185" s="1">
        <v>0.49463636787759435</v>
      </c>
      <c r="BO185" s="12">
        <v>6.4844976329674509E-2</v>
      </c>
      <c r="BP185" s="23"/>
      <c r="BQ185" s="23"/>
      <c r="BR185" s="23"/>
      <c r="BS185" s="23"/>
      <c r="BT185" s="23"/>
    </row>
    <row r="186" spans="1:72">
      <c r="A186">
        <v>32</v>
      </c>
      <c r="B186" s="13">
        <v>0</v>
      </c>
      <c r="C186" s="14">
        <v>0</v>
      </c>
      <c r="D186" s="14">
        <v>0</v>
      </c>
      <c r="E186" s="14">
        <v>0</v>
      </c>
      <c r="F186" s="14">
        <v>0</v>
      </c>
      <c r="G186" s="14">
        <v>0</v>
      </c>
      <c r="H186" s="14">
        <v>0</v>
      </c>
      <c r="I186" s="14">
        <v>0</v>
      </c>
      <c r="J186" s="14">
        <v>0</v>
      </c>
      <c r="K186" s="14">
        <v>0</v>
      </c>
      <c r="L186" s="14">
        <v>0</v>
      </c>
      <c r="M186" s="14">
        <v>0</v>
      </c>
      <c r="N186" s="14">
        <v>0</v>
      </c>
      <c r="O186" s="14">
        <v>0</v>
      </c>
      <c r="P186" s="14">
        <v>0</v>
      </c>
      <c r="Q186" s="14">
        <v>0</v>
      </c>
      <c r="R186" s="14">
        <v>0</v>
      </c>
      <c r="S186" s="14">
        <v>0</v>
      </c>
      <c r="T186" s="14">
        <v>0</v>
      </c>
      <c r="U186" s="14">
        <v>0</v>
      </c>
      <c r="V186" s="14">
        <v>0</v>
      </c>
      <c r="W186" s="14">
        <v>0</v>
      </c>
      <c r="X186" s="14">
        <v>0</v>
      </c>
      <c r="Y186" s="14">
        <v>0</v>
      </c>
      <c r="Z186" s="14">
        <v>0</v>
      </c>
      <c r="AA186" s="14">
        <v>0</v>
      </c>
      <c r="AB186" s="14">
        <v>0</v>
      </c>
      <c r="AC186" s="14">
        <v>0</v>
      </c>
      <c r="AD186" s="14">
        <v>0</v>
      </c>
      <c r="AE186" s="14">
        <v>0</v>
      </c>
      <c r="AF186" s="14">
        <v>0</v>
      </c>
      <c r="AG186" s="15">
        <v>1</v>
      </c>
      <c r="AH186" s="23"/>
      <c r="AI186" s="23">
        <v>32</v>
      </c>
      <c r="AJ186" s="13">
        <v>-2.5867361300831088E-2</v>
      </c>
      <c r="AK186" s="14">
        <v>-7.4894806747873535E-2</v>
      </c>
      <c r="AL186" s="14">
        <v>-1.9762941399467493E-2</v>
      </c>
      <c r="AM186" s="14">
        <v>-1.2229241617681387E-2</v>
      </c>
      <c r="AN186" s="14">
        <v>-8.5349249445453301E-2</v>
      </c>
      <c r="AO186" s="14">
        <v>8.2415485793311122E-3</v>
      </c>
      <c r="AP186" s="14">
        <v>-1.3461567189908583E-2</v>
      </c>
      <c r="AQ186" s="14">
        <v>-1.2229225639725928E-2</v>
      </c>
      <c r="AR186" s="14">
        <v>-3.5946242710450875E-2</v>
      </c>
      <c r="AS186" s="14">
        <v>2.3878893731126692E-2</v>
      </c>
      <c r="AT186" s="14">
        <v>1.5634494023554161E-2</v>
      </c>
      <c r="AU186" s="14">
        <v>-2.5867322653608138E-2</v>
      </c>
      <c r="AV186" s="14">
        <v>-0.15574578324700883</v>
      </c>
      <c r="AW186" s="14">
        <v>2.3288387740575997E-2</v>
      </c>
      <c r="AX186" s="14">
        <v>0.16598392079271426</v>
      </c>
      <c r="AY186" s="14">
        <v>-5.3175637621074461E-2</v>
      </c>
      <c r="AZ186" s="14">
        <v>0.13658357554618675</v>
      </c>
      <c r="BA186" s="14">
        <v>0.27301598336210248</v>
      </c>
      <c r="BB186" s="14">
        <v>-8.9448944319483442E-2</v>
      </c>
      <c r="BC186" s="14">
        <v>2.2936981086509108E-2</v>
      </c>
      <c r="BD186" s="14">
        <v>-1.2746454155899659E-2</v>
      </c>
      <c r="BE186" s="14">
        <v>-3.9576711371275775E-2</v>
      </c>
      <c r="BF186" s="14">
        <v>-6.8322065223417966E-2</v>
      </c>
      <c r="BG186" s="14">
        <v>5.3878319440112288E-2</v>
      </c>
      <c r="BH186" s="14">
        <v>5.5602277672701275E-2</v>
      </c>
      <c r="BI186" s="14">
        <v>1.1164633637779822E-2</v>
      </c>
      <c r="BJ186" s="14">
        <v>3.2964199121395456E-2</v>
      </c>
      <c r="BK186" s="14">
        <v>-1.1512272199896038E-2</v>
      </c>
      <c r="BL186" s="14">
        <v>-0.10622966540188528</v>
      </c>
      <c r="BM186" s="14">
        <v>8.8585485592612007E-3</v>
      </c>
      <c r="BN186" s="14">
        <v>6.4844976329674467E-2</v>
      </c>
      <c r="BO186" s="15">
        <v>0.71568943195317236</v>
      </c>
      <c r="BP186" s="23"/>
      <c r="BQ186" s="23"/>
      <c r="BR186" s="23"/>
      <c r="BS186" s="23"/>
      <c r="BT186" s="23"/>
    </row>
    <row r="187" spans="1:72">
      <c r="B187" s="23"/>
      <c r="C187" s="23"/>
      <c r="D187" s="23"/>
      <c r="E187" s="23"/>
      <c r="F187" s="23"/>
      <c r="G187" s="23"/>
      <c r="H187" s="23"/>
      <c r="I187" s="23"/>
      <c r="J187" s="23"/>
      <c r="K187" s="23"/>
      <c r="L187" s="23"/>
      <c r="M187" s="23"/>
      <c r="N187" s="23"/>
      <c r="O187" s="23"/>
      <c r="P187" s="23"/>
      <c r="Q187" s="23"/>
      <c r="R187" s="23"/>
      <c r="S187" s="23"/>
      <c r="T187" s="23"/>
      <c r="U187" s="23"/>
      <c r="V187" s="23"/>
      <c r="W187" s="23"/>
      <c r="X187" s="23"/>
      <c r="Y187" s="23"/>
      <c r="Z187" s="23"/>
      <c r="AA187" s="23"/>
      <c r="AB187" s="23"/>
      <c r="AC187" s="23"/>
      <c r="AD187" s="23"/>
      <c r="AE187" s="23"/>
      <c r="AF187" s="23"/>
      <c r="AG187" s="23"/>
      <c r="AH187" s="23"/>
      <c r="AI187" s="23"/>
      <c r="AJ187" s="23"/>
      <c r="AK187" s="23"/>
      <c r="AL187" s="23"/>
      <c r="AM187" s="23"/>
      <c r="AN187" s="23"/>
      <c r="AO187" s="23"/>
      <c r="AP187" s="23"/>
      <c r="AQ187" s="23"/>
      <c r="AR187" s="23"/>
      <c r="AS187" s="23"/>
      <c r="AT187" s="23"/>
      <c r="AU187" s="23"/>
      <c r="AV187" s="23"/>
      <c r="AW187" s="23"/>
      <c r="AX187" s="23"/>
      <c r="AY187" s="23"/>
      <c r="AZ187" s="23"/>
      <c r="BA187" s="23"/>
      <c r="BB187" s="23"/>
      <c r="BC187" s="23"/>
      <c r="BD187" s="23"/>
      <c r="BE187" s="23"/>
      <c r="BF187" s="23"/>
      <c r="BG187" s="23"/>
      <c r="BH187" s="23"/>
      <c r="BI187" s="23"/>
      <c r="BJ187" s="23"/>
      <c r="BK187" s="23"/>
      <c r="BL187" s="23"/>
      <c r="BM187" s="23"/>
      <c r="BN187" s="23"/>
      <c r="BO187" s="23"/>
      <c r="BP187" s="23"/>
      <c r="BQ187" s="23"/>
      <c r="BR187" s="23"/>
      <c r="BS187" s="23"/>
      <c r="BT187" s="23"/>
    </row>
    <row r="188" spans="1:72">
      <c r="B188" s="23"/>
      <c r="C188" s="23"/>
      <c r="D188" s="23"/>
      <c r="E188" s="23"/>
      <c r="F188" s="23"/>
      <c r="G188" s="23"/>
      <c r="H188" s="23"/>
      <c r="I188" s="23"/>
      <c r="J188" s="23"/>
      <c r="K188" s="23"/>
      <c r="L188" s="23"/>
      <c r="M188" s="23"/>
      <c r="N188" s="23"/>
      <c r="O188" s="23"/>
      <c r="P188" s="23"/>
      <c r="Q188" s="23"/>
      <c r="R188" s="23"/>
      <c r="S188" s="23"/>
      <c r="T188" s="23"/>
      <c r="U188" s="23"/>
      <c r="V188" s="23"/>
      <c r="W188" s="23"/>
      <c r="X188" s="23"/>
      <c r="Y188" s="23"/>
      <c r="Z188" s="23"/>
      <c r="AA188" s="23"/>
      <c r="AB188" s="23"/>
      <c r="AC188" s="23"/>
      <c r="AD188" s="23"/>
      <c r="AE188" s="23"/>
      <c r="AF188" s="23"/>
      <c r="AG188" s="23"/>
      <c r="AH188" s="23"/>
      <c r="AI188" s="23"/>
      <c r="AJ188" s="23"/>
      <c r="AK188" s="280" t="s">
        <v>72</v>
      </c>
      <c r="AL188" s="282"/>
      <c r="AM188" s="281"/>
      <c r="AN188" s="23"/>
      <c r="AO188" s="23"/>
      <c r="AP188" s="23"/>
      <c r="AQ188" s="23"/>
      <c r="AR188" s="23"/>
      <c r="AS188" s="23"/>
      <c r="AV188" s="23"/>
      <c r="AW188" s="23"/>
      <c r="AX188" s="23"/>
      <c r="AY188" s="23"/>
      <c r="AZ188" s="23"/>
      <c r="BA188" s="23"/>
      <c r="BB188" s="23"/>
      <c r="BC188" s="23"/>
      <c r="BD188" s="23"/>
      <c r="BE188" s="23"/>
      <c r="BF188" s="23"/>
      <c r="BG188" s="23"/>
      <c r="BH188" s="23"/>
      <c r="BI188" s="23"/>
      <c r="BJ188" s="23"/>
      <c r="BK188" s="23"/>
      <c r="BL188" s="23"/>
      <c r="BM188" s="23"/>
      <c r="BN188" s="23"/>
      <c r="BO188" s="23"/>
      <c r="BP188" s="23"/>
      <c r="BQ188" s="23"/>
      <c r="BR188" s="23"/>
      <c r="BS188" s="23"/>
      <c r="BT188" s="23"/>
    </row>
    <row r="189" spans="1:72">
      <c r="B189" s="275" t="s">
        <v>73</v>
      </c>
      <c r="C189" s="276"/>
      <c r="D189" s="276"/>
      <c r="E189" s="276"/>
      <c r="F189" s="276"/>
      <c r="G189" s="276"/>
      <c r="H189" s="276"/>
      <c r="I189" s="276"/>
      <c r="J189" s="276"/>
      <c r="K189" s="276"/>
      <c r="L189" s="276"/>
      <c r="M189" s="276"/>
      <c r="N189" s="276"/>
      <c r="O189" s="276"/>
      <c r="P189" s="276"/>
      <c r="Q189" s="276"/>
      <c r="R189" s="276"/>
      <c r="S189" s="276"/>
      <c r="T189" s="276"/>
      <c r="U189" s="276"/>
      <c r="V189" s="276"/>
      <c r="W189" s="276"/>
      <c r="X189" s="276"/>
      <c r="Y189" s="276"/>
      <c r="Z189" s="276"/>
      <c r="AA189" s="276"/>
      <c r="AB189" s="276"/>
      <c r="AC189" s="276"/>
      <c r="AD189" s="276"/>
      <c r="AE189" s="276"/>
      <c r="AF189" s="276"/>
      <c r="AG189" s="277"/>
      <c r="AH189" s="23"/>
      <c r="AI189" s="103" t="s">
        <v>74</v>
      </c>
      <c r="AJ189" s="23"/>
      <c r="AK189" s="69" t="s">
        <v>75</v>
      </c>
      <c r="AL189" s="86" t="s">
        <v>76</v>
      </c>
      <c r="AM189" s="69" t="s">
        <v>77</v>
      </c>
      <c r="AN189" s="23"/>
      <c r="AO189" s="278" t="s">
        <v>78</v>
      </c>
      <c r="AP189" s="279"/>
      <c r="AQ189" s="23"/>
      <c r="AR189" s="23"/>
      <c r="AV189" s="23"/>
      <c r="AW189" s="23"/>
      <c r="AX189" s="23"/>
      <c r="AY189" s="23"/>
      <c r="AZ189" s="23"/>
      <c r="BA189" s="23"/>
      <c r="BB189" s="23"/>
      <c r="BC189" s="23"/>
      <c r="BD189" s="23"/>
      <c r="BE189" s="23"/>
      <c r="BF189" s="23"/>
      <c r="BG189" s="23"/>
      <c r="BH189" s="23"/>
      <c r="BI189" s="23"/>
      <c r="BJ189" s="23"/>
      <c r="BK189" s="23"/>
      <c r="BL189" s="23"/>
      <c r="BM189" s="23"/>
      <c r="BN189" s="23"/>
      <c r="BO189" s="23"/>
      <c r="BP189" s="23"/>
      <c r="BQ189" s="23"/>
      <c r="BR189" s="23"/>
      <c r="BS189" s="23"/>
      <c r="BT189" s="23"/>
    </row>
    <row r="190" spans="1:72">
      <c r="A190">
        <v>1</v>
      </c>
      <c r="B190" s="8" cm="1">
        <f t="array" ref="B190:AG221">_xlfn.ANCHORARRAY(B155)-_xlfn.ANCHORARRAY(AJ155)</f>
        <v>0.73448467482461388</v>
      </c>
      <c r="C190" s="9">
        <v>4.5866562288461796E-3</v>
      </c>
      <c r="D190" s="9">
        <v>2.5145223961394625E-2</v>
      </c>
      <c r="E190" s="9">
        <v>-5.5711029091542803E-2</v>
      </c>
      <c r="F190" s="9">
        <v>-7.2598954586878525E-2</v>
      </c>
      <c r="G190" s="9">
        <v>-0.12860488592728345</v>
      </c>
      <c r="H190" s="9">
        <v>5.7209189673448312E-2</v>
      </c>
      <c r="I190" s="9">
        <v>-5.5710956303027484E-2</v>
      </c>
      <c r="J190" s="9">
        <v>-4.5375592248927142E-2</v>
      </c>
      <c r="K190" s="9">
        <v>-9.2835979198405041E-2</v>
      </c>
      <c r="L190" s="9">
        <v>-0.20836720331970307</v>
      </c>
      <c r="M190" s="9">
        <v>-0.26551492848127234</v>
      </c>
      <c r="N190" s="9">
        <v>7.8161097423122827E-3</v>
      </c>
      <c r="O190" s="9">
        <v>6.153297287199222E-2</v>
      </c>
      <c r="P190" s="9">
        <v>3.422558325052262E-3</v>
      </c>
      <c r="Q190" s="9">
        <v>-1.1114217287761168E-2</v>
      </c>
      <c r="R190" s="9">
        <v>-1.1401494794726481E-2</v>
      </c>
      <c r="S190" s="9">
        <v>-3.346618823590719E-2</v>
      </c>
      <c r="T190" s="9">
        <v>-4.9486552331661562E-2</v>
      </c>
      <c r="U190" s="9">
        <v>3.6789951666843443E-3</v>
      </c>
      <c r="V190" s="9">
        <v>4.6189304957522687E-2</v>
      </c>
      <c r="W190" s="9">
        <v>6.3655711128602355E-3</v>
      </c>
      <c r="X190" s="9">
        <v>3.2467671658609983E-2</v>
      </c>
      <c r="Y190" s="9">
        <v>7.4305118258602545E-2</v>
      </c>
      <c r="Z190" s="9">
        <v>-6.777500925307936E-2</v>
      </c>
      <c r="AA190" s="9">
        <v>-9.1552656734516097E-2</v>
      </c>
      <c r="AB190" s="9">
        <v>6.6268927975805747E-2</v>
      </c>
      <c r="AC190" s="9">
        <v>4.1566407837368216E-4</v>
      </c>
      <c r="AD190" s="9">
        <v>-1.6586856350141337E-2</v>
      </c>
      <c r="AE190" s="9">
        <v>3.8755575361244451E-2</v>
      </c>
      <c r="AF190" s="9">
        <v>-4.7150526264178885E-2</v>
      </c>
      <c r="AG190" s="10">
        <v>2.5867361300831164E-2</v>
      </c>
      <c r="AH190" s="23"/>
      <c r="AI190" s="2" cm="1">
        <f t="array" ref="AI190">SQRT(INDEX(_xlfn.ANCHORARRAY($B$190),A190,A190))</f>
        <v>0.85702081353057813</v>
      </c>
      <c r="AJ190" s="23"/>
      <c r="AK190" s="2">
        <f t="shared" ref="AK190:AK221" si="51">$AP$191*AI190</f>
        <v>0.79197171707966441</v>
      </c>
      <c r="AL190" s="104">
        <f>ABS(Y119/AK190)</f>
        <v>1.4011277931694752</v>
      </c>
      <c r="AM190" s="107" t="str">
        <f>IF(AL190&lt;2.5,"Spełniony","Nie spełniony")</f>
        <v>Spełniony</v>
      </c>
      <c r="AN190" s="23"/>
      <c r="AO190" s="101" t="s">
        <v>79</v>
      </c>
      <c r="AP190" s="102">
        <f>CHIINV(0.05,19)/19</f>
        <v>1.5865014318761135</v>
      </c>
      <c r="AQ190" s="23"/>
      <c r="AR190" s="23"/>
      <c r="AV190" s="23"/>
      <c r="AW190" s="23"/>
      <c r="AX190" s="23"/>
      <c r="AY190" s="23"/>
      <c r="AZ190" s="23"/>
      <c r="BA190" s="23"/>
      <c r="BB190" s="23"/>
      <c r="BC190" s="23"/>
      <c r="BD190" s="23"/>
      <c r="BE190" s="23"/>
      <c r="BF190" s="23"/>
      <c r="BG190" s="23"/>
      <c r="BH190" s="23"/>
      <c r="BI190" s="23"/>
      <c r="BJ190" s="23"/>
      <c r="BK190" s="23"/>
      <c r="BL190" s="23"/>
      <c r="BM190" s="23"/>
      <c r="BN190" s="23"/>
      <c r="BO190" s="23"/>
      <c r="BP190" s="23"/>
      <c r="BQ190" s="23"/>
      <c r="BR190" s="23"/>
      <c r="BS190" s="23"/>
      <c r="BT190" s="23"/>
    </row>
    <row r="191" spans="1:72">
      <c r="A191">
        <v>2</v>
      </c>
      <c r="B191" s="11">
        <v>4.5866562288462004E-3</v>
      </c>
      <c r="C191" s="1">
        <v>0.77279187287471574</v>
      </c>
      <c r="D191" s="1">
        <v>-9.644525657834678E-2</v>
      </c>
      <c r="E191" s="1">
        <v>5.0989492643736534E-3</v>
      </c>
      <c r="F191" s="1">
        <v>-3.1228702231296132E-2</v>
      </c>
      <c r="G191" s="1">
        <v>-1.7181511233458298E-2</v>
      </c>
      <c r="H191" s="1">
        <v>-5.4257313940119165E-2</v>
      </c>
      <c r="I191" s="1">
        <v>5.0989426024083198E-3</v>
      </c>
      <c r="J191" s="1">
        <v>-0.1013640240773068</v>
      </c>
      <c r="K191" s="1">
        <v>9.6110302755524658E-3</v>
      </c>
      <c r="L191" s="1">
        <v>-5.6951379289852701E-3</v>
      </c>
      <c r="M191" s="1">
        <v>4.5866493761361482E-3</v>
      </c>
      <c r="N191" s="1">
        <v>-3.2587542391212906E-2</v>
      </c>
      <c r="O191" s="1">
        <v>1.6530668118390841E-2</v>
      </c>
      <c r="P191" s="1">
        <v>-7.6010434317281203E-3</v>
      </c>
      <c r="Q191" s="1">
        <v>9.6755474002770542E-3</v>
      </c>
      <c r="R191" s="1">
        <v>-0.10721626237630028</v>
      </c>
      <c r="S191" s="1">
        <v>-4.4245805223073871E-2</v>
      </c>
      <c r="T191" s="1">
        <v>-5.5621797974056982E-2</v>
      </c>
      <c r="U191" s="1">
        <v>-4.2717016762418514E-2</v>
      </c>
      <c r="V191" s="1">
        <v>4.7917146708507177E-3</v>
      </c>
      <c r="W191" s="1">
        <v>2.644557448560203E-2</v>
      </c>
      <c r="X191" s="1">
        <v>9.5672251022472926E-2</v>
      </c>
      <c r="Y191" s="1">
        <v>-0.20870874742566431</v>
      </c>
      <c r="Z191" s="1">
        <v>6.6462063983670619E-2</v>
      </c>
      <c r="AA191" s="1">
        <v>1.5337143263068023E-2</v>
      </c>
      <c r="AB191" s="1">
        <v>9.6840403671162978E-2</v>
      </c>
      <c r="AC191" s="1">
        <v>-0.1070939128231065</v>
      </c>
      <c r="AD191" s="1">
        <v>-0.14947050802207179</v>
      </c>
      <c r="AE191" s="1">
        <v>8.1827855951384212E-2</v>
      </c>
      <c r="AF191" s="1">
        <v>0.13466997998523328</v>
      </c>
      <c r="AG191" s="12">
        <v>7.4894806747873591E-2</v>
      </c>
      <c r="AH191" s="23"/>
      <c r="AI191" s="3" cm="1">
        <f t="array" ref="AI191">SQRT(INDEX(_xlfn.ANCHORARRAY($B$190),A191,A191))</f>
        <v>0.87908581655872242</v>
      </c>
      <c r="AJ191" s="23"/>
      <c r="AK191" s="3">
        <f t="shared" si="51"/>
        <v>0.81236195505250675</v>
      </c>
      <c r="AL191" s="105">
        <f t="shared" ref="AL191:AL221" si="52">ABS(Y120/AK191)</f>
        <v>0.37996228635363638</v>
      </c>
      <c r="AM191" s="108" t="str">
        <f t="shared" ref="AM191:AM221" si="53">IF(AL191&lt;2.5,"Spełniony","Nie spełniony")</f>
        <v>Spełniony</v>
      </c>
      <c r="AN191" s="23"/>
      <c r="AO191" s="87" t="s">
        <v>67</v>
      </c>
      <c r="AP191" s="87">
        <f>AB131</f>
        <v>0.9240985803099252</v>
      </c>
      <c r="AQ191" s="23"/>
      <c r="AR191" s="23"/>
      <c r="AV191" s="23"/>
      <c r="AW191" s="23"/>
      <c r="AX191" s="23"/>
      <c r="AY191" s="23"/>
      <c r="AZ191" s="23"/>
      <c r="BA191" s="23"/>
      <c r="BB191" s="23"/>
      <c r="BC191" s="23"/>
      <c r="BD191" s="23"/>
      <c r="BE191" s="23"/>
      <c r="BF191" s="23"/>
      <c r="BG191" s="23"/>
      <c r="BH191" s="23"/>
      <c r="BI191" s="23"/>
      <c r="BJ191" s="23"/>
      <c r="BK191" s="23"/>
      <c r="BL191" s="23"/>
      <c r="BM191" s="23"/>
      <c r="BN191" s="23"/>
      <c r="BO191" s="23"/>
      <c r="BP191" s="23"/>
      <c r="BQ191" s="23"/>
      <c r="BR191" s="23"/>
      <c r="BS191" s="23"/>
      <c r="BT191" s="23"/>
    </row>
    <row r="192" spans="1:72">
      <c r="A192">
        <v>3</v>
      </c>
      <c r="B192" s="67">
        <v>2.5145223961394625E-2</v>
      </c>
      <c r="C192" s="25">
        <v>-9.6445256578346808E-2</v>
      </c>
      <c r="D192" s="25">
        <v>0.7514726700137544</v>
      </c>
      <c r="E192" s="25">
        <v>4.0888664216185699E-2</v>
      </c>
      <c r="F192" s="25">
        <v>3.170813279447196E-2</v>
      </c>
      <c r="G192" s="25">
        <v>-1.4512376834163735E-2</v>
      </c>
      <c r="H192" s="25">
        <v>-1.0527357356532135E-2</v>
      </c>
      <c r="I192" s="25">
        <v>4.0888610793637092E-2</v>
      </c>
      <c r="J192" s="25">
        <v>-0.17700290132975749</v>
      </c>
      <c r="K192" s="25">
        <v>-7.0464460536291311E-3</v>
      </c>
      <c r="L192" s="25">
        <v>-2.4168902350813384E-2</v>
      </c>
      <c r="M192" s="25">
        <v>2.5145186393083524E-2</v>
      </c>
      <c r="N192" s="25">
        <v>-3.9134983349880352E-3</v>
      </c>
      <c r="O192" s="25">
        <v>7.004161082915579E-3</v>
      </c>
      <c r="P192" s="25">
        <v>1.8073236610642689E-3</v>
      </c>
      <c r="Q192" s="25">
        <v>6.3253868098833675E-3</v>
      </c>
      <c r="R192" s="25">
        <v>-3.1047277352109902E-2</v>
      </c>
      <c r="S192" s="25">
        <v>-1.3304156636339813E-2</v>
      </c>
      <c r="T192" s="25">
        <v>-0.17588554510780513</v>
      </c>
      <c r="U192" s="25">
        <v>-0.16968009327727707</v>
      </c>
      <c r="V192" s="25">
        <v>1.5627497078603406E-2</v>
      </c>
      <c r="W192" s="25">
        <v>1.3536536008653451E-2</v>
      </c>
      <c r="X192" s="25">
        <v>3.247850192413676E-2</v>
      </c>
      <c r="Y192" s="25">
        <v>-0.11091149358397318</v>
      </c>
      <c r="Z192" s="25">
        <v>4.6888438861815367E-2</v>
      </c>
      <c r="AA192" s="25">
        <v>2.3805197107641882E-3</v>
      </c>
      <c r="AB192" s="25">
        <v>1.6376259943086894E-2</v>
      </c>
      <c r="AC192" s="25">
        <v>5.5094321129637872E-2</v>
      </c>
      <c r="AD192" s="25">
        <v>0.10557878183471538</v>
      </c>
      <c r="AE192" s="25">
        <v>-0.18803984729517509</v>
      </c>
      <c r="AF192" s="25">
        <v>0.11134325647389898</v>
      </c>
      <c r="AG192" s="45">
        <v>1.9762941399467479E-2</v>
      </c>
      <c r="AI192" s="3" cm="1">
        <f t="array" ref="AI192">SQRT(INDEX(_xlfn.ANCHORARRAY($B$190),A192,A192))</f>
        <v>0.86687523324510452</v>
      </c>
      <c r="AJ192" s="23"/>
      <c r="AK192" s="3">
        <f t="shared" si="51"/>
        <v>0.80107817234763634</v>
      </c>
      <c r="AL192" s="105">
        <f t="shared" si="52"/>
        <v>0.10238688235570266</v>
      </c>
      <c r="AM192" s="108" t="str">
        <f t="shared" si="53"/>
        <v>Spełniony</v>
      </c>
      <c r="AN192" s="23"/>
      <c r="AO192" s="280" t="str">
        <f>IF(AP190&gt;AP191,"Warunek spełniony","NIESPEŁNIONY!")</f>
        <v>Warunek spełniony</v>
      </c>
      <c r="AP192" s="281"/>
      <c r="AQ192" s="23"/>
    </row>
    <row r="193" spans="1:43">
      <c r="A193">
        <v>4</v>
      </c>
      <c r="B193" s="67">
        <v>-5.5711029091542831E-2</v>
      </c>
      <c r="C193" s="25">
        <v>5.0989492643736742E-3</v>
      </c>
      <c r="D193" s="25">
        <v>4.0888664216185686E-2</v>
      </c>
      <c r="E193" s="25">
        <v>0.78241175797497908</v>
      </c>
      <c r="F193" s="25">
        <v>-5.7559771004522392E-2</v>
      </c>
      <c r="G193" s="25">
        <v>1.4365609085434383E-3</v>
      </c>
      <c r="H193" s="25">
        <v>-0.15284377414578118</v>
      </c>
      <c r="I193" s="25">
        <v>-0.2175879577379537</v>
      </c>
      <c r="J193" s="25">
        <v>-0.14351812113858364</v>
      </c>
      <c r="K193" s="25">
        <v>3.3809428378350097E-2</v>
      </c>
      <c r="L193" s="25">
        <v>5.4420354358936732E-2</v>
      </c>
      <c r="M193" s="25">
        <v>-5.5710945856282154E-2</v>
      </c>
      <c r="N193" s="25">
        <v>-1.2232790217284753E-2</v>
      </c>
      <c r="O193" s="25">
        <v>-1.7094937458372012E-2</v>
      </c>
      <c r="P193" s="25">
        <v>6.9751472675838588E-4</v>
      </c>
      <c r="Q193" s="25">
        <v>5.4375837793629641E-3</v>
      </c>
      <c r="R193" s="25">
        <v>-3.2867068410813525E-3</v>
      </c>
      <c r="S193" s="25">
        <v>-1.9664805343708468E-2</v>
      </c>
      <c r="T193" s="25">
        <v>-1.0507488046316231E-2</v>
      </c>
      <c r="U193" s="25">
        <v>3.6077250996883845E-2</v>
      </c>
      <c r="V193" s="25">
        <v>1.5662871158552388E-2</v>
      </c>
      <c r="W193" s="25">
        <v>3.2878725227992414E-2</v>
      </c>
      <c r="X193" s="25">
        <v>3.4991088917147389E-2</v>
      </c>
      <c r="Y193" s="25">
        <v>5.1393950238650614E-2</v>
      </c>
      <c r="Z193" s="25">
        <v>-0.20553597678634755</v>
      </c>
      <c r="AA193" s="25">
        <v>7.0609341244004753E-2</v>
      </c>
      <c r="AB193" s="25">
        <v>-6.2547747775596352E-2</v>
      </c>
      <c r="AC193" s="25">
        <v>-3.1808986976565222E-2</v>
      </c>
      <c r="AD193" s="25">
        <v>-1.6978084199756424E-2</v>
      </c>
      <c r="AE193" s="25">
        <v>3.2196620368209902E-2</v>
      </c>
      <c r="AF193" s="25">
        <v>-5.0125935394006345E-2</v>
      </c>
      <c r="AG193" s="45">
        <v>1.2229241617681484E-2</v>
      </c>
      <c r="AI193" s="3" cm="1">
        <f t="array" ref="AI193">SQRT(INDEX(_xlfn.ANCHORARRAY($B$190),A193,A193))</f>
        <v>0.88454042189997117</v>
      </c>
      <c r="AJ193" s="23"/>
      <c r="AK193" s="3">
        <f t="shared" si="51"/>
        <v>0.81740254810450563</v>
      </c>
      <c r="AL193" s="105">
        <f t="shared" si="52"/>
        <v>0.14323244107228589</v>
      </c>
      <c r="AM193" s="108" t="str">
        <f t="shared" si="53"/>
        <v>Spełniony</v>
      </c>
      <c r="AN193" s="23"/>
      <c r="AO193" s="23"/>
      <c r="AP193" s="23"/>
      <c r="AQ193" s="23"/>
    </row>
    <row r="194" spans="1:43">
      <c r="A194">
        <v>5</v>
      </c>
      <c r="B194" s="67">
        <v>-7.2598954586878484E-2</v>
      </c>
      <c r="C194" s="25">
        <v>-3.1228702231296146E-2</v>
      </c>
      <c r="D194" s="25">
        <v>3.1708132794471947E-2</v>
      </c>
      <c r="E194" s="25">
        <v>-5.7559771004522357E-2</v>
      </c>
      <c r="F194" s="25">
        <v>0.81220270519362869</v>
      </c>
      <c r="G194" s="25">
        <v>-2.4364516320582452E-4</v>
      </c>
      <c r="H194" s="25">
        <v>-2.4501523257525106E-2</v>
      </c>
      <c r="I194" s="25">
        <v>-5.7559695800557524E-2</v>
      </c>
      <c r="J194" s="25">
        <v>-5.0688987796916926E-2</v>
      </c>
      <c r="K194" s="25">
        <v>3.8692117289562525E-2</v>
      </c>
      <c r="L194" s="25">
        <v>7.5898566660941899E-2</v>
      </c>
      <c r="M194" s="25">
        <v>-7.2598846120152771E-2</v>
      </c>
      <c r="N194" s="25">
        <v>-7.0979706374456275E-2</v>
      </c>
      <c r="O194" s="25">
        <v>3.2631778084408022E-2</v>
      </c>
      <c r="P194" s="25">
        <v>-4.3559553066843733E-2</v>
      </c>
      <c r="Q194" s="25">
        <v>-3.7850421393767208E-2</v>
      </c>
      <c r="R194" s="25">
        <v>-7.7850937276030985E-2</v>
      </c>
      <c r="S194" s="25">
        <v>-4.5086240218582797E-2</v>
      </c>
      <c r="T194" s="25">
        <v>-0.11957782970307206</v>
      </c>
      <c r="U194" s="25">
        <v>-7.9061122569618822E-3</v>
      </c>
      <c r="V194" s="25">
        <v>-0.11173607098958017</v>
      </c>
      <c r="W194" s="25">
        <v>-4.1667921164782164E-2</v>
      </c>
      <c r="X194" s="25">
        <v>3.2832100713948473E-2</v>
      </c>
      <c r="Y194" s="25">
        <v>9.1028619532276561E-2</v>
      </c>
      <c r="Z194" s="25">
        <v>7.0375187796777289E-2</v>
      </c>
      <c r="AA194" s="25">
        <v>-4.0831915888639998E-2</v>
      </c>
      <c r="AB194" s="25">
        <v>0.10230803059559525</v>
      </c>
      <c r="AC194" s="25">
        <v>-7.8326267150415296E-2</v>
      </c>
      <c r="AD194" s="25">
        <v>6.3380586994574717E-3</v>
      </c>
      <c r="AE194" s="25">
        <v>9.7800324358733343E-2</v>
      </c>
      <c r="AF194" s="25">
        <v>-0.16543661845254165</v>
      </c>
      <c r="AG194" s="45">
        <v>8.5349249445453385E-2</v>
      </c>
      <c r="AI194" s="3" cm="1">
        <f t="array" ref="AI194">SQRT(INDEX(_xlfn.ANCHORARRAY($B$190),A194,A194))</f>
        <v>0.90122289429065694</v>
      </c>
      <c r="AJ194" s="23"/>
      <c r="AK194" s="3">
        <f t="shared" si="51"/>
        <v>0.83281879715679785</v>
      </c>
      <c r="AL194" s="105">
        <f t="shared" si="52"/>
        <v>0.46221806476817628</v>
      </c>
      <c r="AM194" s="108" t="str">
        <f t="shared" si="53"/>
        <v>Spełniony</v>
      </c>
      <c r="AN194" s="23"/>
      <c r="AO194" s="23"/>
      <c r="AP194" s="23"/>
      <c r="AQ194" s="23"/>
    </row>
    <row r="195" spans="1:43">
      <c r="A195">
        <v>6</v>
      </c>
      <c r="B195" s="67">
        <v>-0.12860488592728342</v>
      </c>
      <c r="C195" s="25">
        <v>-1.7181511233458284E-2</v>
      </c>
      <c r="D195" s="25">
        <v>-1.4512376834163766E-2</v>
      </c>
      <c r="E195" s="25">
        <v>1.4365609085434522E-3</v>
      </c>
      <c r="F195" s="25">
        <v>-2.4364516320575513E-4</v>
      </c>
      <c r="G195" s="25">
        <v>0.69503973777159656</v>
      </c>
      <c r="H195" s="25">
        <v>-0.20911173452293141</v>
      </c>
      <c r="I195" s="25">
        <v>1.4365590316234994E-3</v>
      </c>
      <c r="J195" s="25">
        <v>2.3245237133629859E-2</v>
      </c>
      <c r="K195" s="25">
        <v>-4.4722970373039628E-2</v>
      </c>
      <c r="L195" s="25">
        <v>-0.10742108410420705</v>
      </c>
      <c r="M195" s="25">
        <v>-0.12860469378469724</v>
      </c>
      <c r="N195" s="25">
        <v>2.6193980892579405E-2</v>
      </c>
      <c r="O195" s="25">
        <v>8.4678518282021685E-3</v>
      </c>
      <c r="P195" s="25">
        <v>2.0883528001205846E-2</v>
      </c>
      <c r="Q195" s="25">
        <v>1.847167442388974E-2</v>
      </c>
      <c r="R195" s="25">
        <v>2.6960448993694304E-3</v>
      </c>
      <c r="S195" s="25">
        <v>-7.4295106480822895E-3</v>
      </c>
      <c r="T195" s="25">
        <v>3.6209164050798655E-3</v>
      </c>
      <c r="U195" s="25">
        <v>2.9658086456110642E-2</v>
      </c>
      <c r="V195" s="25">
        <v>7.7886042105369868E-2</v>
      </c>
      <c r="W195" s="25">
        <v>3.7804994771344066E-2</v>
      </c>
      <c r="X195" s="25">
        <v>3.1223752105135855E-2</v>
      </c>
      <c r="Y195" s="25">
        <v>-1.5347671626865265E-2</v>
      </c>
      <c r="Z195" s="25">
        <v>0.13340098013922741</v>
      </c>
      <c r="AA195" s="25">
        <v>-0.26496809749421191</v>
      </c>
      <c r="AB195" s="25">
        <v>-0.13402833715725843</v>
      </c>
      <c r="AC195" s="25">
        <v>-3.4993143734999371E-2</v>
      </c>
      <c r="AD195" s="25">
        <v>1.249842069812537E-3</v>
      </c>
      <c r="AE195" s="25">
        <v>-4.3483204646852298E-2</v>
      </c>
      <c r="AF195" s="25">
        <v>1.4664953617849153E-2</v>
      </c>
      <c r="AG195" s="45">
        <v>-8.2415485793311018E-3</v>
      </c>
      <c r="AI195" s="3" cm="1">
        <f t="array" ref="AI195">SQRT(INDEX(_xlfn.ANCHORARRAY($B$190),A195,A195))</f>
        <v>0.83369043281759958</v>
      </c>
      <c r="AJ195" s="23"/>
      <c r="AK195" s="3">
        <f t="shared" si="51"/>
        <v>0.77041214538471081</v>
      </c>
      <c r="AL195" s="105">
        <f t="shared" si="52"/>
        <v>1.9130191394448186</v>
      </c>
      <c r="AM195" s="108" t="str">
        <f t="shared" si="53"/>
        <v>Spełniony</v>
      </c>
      <c r="AN195" s="23"/>
      <c r="AO195" s="23"/>
      <c r="AP195" s="23"/>
      <c r="AQ195" s="23"/>
    </row>
    <row r="196" spans="1:43">
      <c r="A196">
        <v>7</v>
      </c>
      <c r="B196" s="67">
        <v>5.720918967344836E-2</v>
      </c>
      <c r="C196" s="25">
        <v>-5.4257313940119137E-2</v>
      </c>
      <c r="D196" s="25">
        <v>-1.0527357356532256E-2</v>
      </c>
      <c r="E196" s="25">
        <v>-0.15284377414578115</v>
      </c>
      <c r="F196" s="25">
        <v>-2.4501523257524978E-2</v>
      </c>
      <c r="G196" s="25">
        <v>-0.20911173452293152</v>
      </c>
      <c r="H196" s="25">
        <v>0.44800295361623965</v>
      </c>
      <c r="I196" s="25">
        <v>-0.1528435744497505</v>
      </c>
      <c r="J196" s="25">
        <v>-6.978487278544776E-2</v>
      </c>
      <c r="K196" s="25">
        <v>4.8858649567739025E-4</v>
      </c>
      <c r="L196" s="25">
        <v>1.5293336827920997E-2</v>
      </c>
      <c r="M196" s="25">
        <v>5.7209104199855483E-2</v>
      </c>
      <c r="N196" s="25">
        <v>-5.1688716605556226E-3</v>
      </c>
      <c r="O196" s="25">
        <v>5.421778186445618E-3</v>
      </c>
      <c r="P196" s="25">
        <v>-6.9636412207836401E-3</v>
      </c>
      <c r="Q196" s="25">
        <v>2.4099252778865604E-3</v>
      </c>
      <c r="R196" s="25">
        <v>-4.9375701809350955E-2</v>
      </c>
      <c r="S196" s="25">
        <v>1.6926656380652338E-2</v>
      </c>
      <c r="T196" s="25">
        <v>2.5370396987786765E-2</v>
      </c>
      <c r="U196" s="25">
        <v>5.5112447298938189E-2</v>
      </c>
      <c r="V196" s="25">
        <v>-3.9902939440466634E-2</v>
      </c>
      <c r="W196" s="25">
        <v>-3.3377865928935609E-2</v>
      </c>
      <c r="X196" s="25">
        <v>-9.4851257174401998E-3</v>
      </c>
      <c r="Y196" s="25">
        <v>-8.2855599490751886E-2</v>
      </c>
      <c r="Z196" s="25">
        <v>0.12157084355110293</v>
      </c>
      <c r="AA196" s="25">
        <v>4.4050687026491425E-2</v>
      </c>
      <c r="AB196" s="25">
        <v>-0.29516476633235472</v>
      </c>
      <c r="AC196" s="25">
        <v>-0.13498676667465709</v>
      </c>
      <c r="AD196" s="25">
        <v>2.256056501529452E-2</v>
      </c>
      <c r="AE196" s="25">
        <v>-2.8769850994326697E-2</v>
      </c>
      <c r="AF196" s="25">
        <v>-4.2221026929326375E-2</v>
      </c>
      <c r="AG196" s="45">
        <v>1.3461567189908603E-2</v>
      </c>
      <c r="AI196" s="3" cm="1">
        <f t="array" ref="AI196">SQRT(INDEX(_xlfn.ANCHORARRAY($B$190),A196,A196))</f>
        <v>0.66933022762776795</v>
      </c>
      <c r="AJ196" s="23"/>
      <c r="AK196" s="3">
        <f t="shared" si="51"/>
        <v>0.61852711310933939</v>
      </c>
      <c r="AL196" s="105">
        <f t="shared" si="52"/>
        <v>3.3437672634845333E-3</v>
      </c>
      <c r="AM196" s="108" t="str">
        <f t="shared" si="53"/>
        <v>Spełniony</v>
      </c>
      <c r="AN196" s="23"/>
      <c r="AO196" s="23"/>
      <c r="AP196" s="23"/>
      <c r="AQ196" s="23"/>
    </row>
    <row r="197" spans="1:43">
      <c r="A197">
        <v>8</v>
      </c>
      <c r="B197" s="67">
        <v>-5.5710956303027505E-2</v>
      </c>
      <c r="C197" s="25">
        <v>5.0989426024083233E-3</v>
      </c>
      <c r="D197" s="25">
        <v>4.0888610793637065E-2</v>
      </c>
      <c r="E197" s="25">
        <v>-0.21758795773795367</v>
      </c>
      <c r="F197" s="25">
        <v>-5.7559695800557531E-2</v>
      </c>
      <c r="G197" s="25">
        <v>1.4365590316234716E-3</v>
      </c>
      <c r="H197" s="25">
        <v>-0.15284357444975052</v>
      </c>
      <c r="I197" s="25">
        <v>0.78241232654874215</v>
      </c>
      <c r="J197" s="25">
        <v>-0.14351793362686244</v>
      </c>
      <c r="K197" s="25">
        <v>3.3809384205084336E-2</v>
      </c>
      <c r="L197" s="25">
        <v>5.4420283256735619E-2</v>
      </c>
      <c r="M197" s="25">
        <v>-5.5710873067875574E-2</v>
      </c>
      <c r="N197" s="25">
        <v>-1.2232774234692934E-2</v>
      </c>
      <c r="O197" s="25">
        <v>-1.709491512320541E-2</v>
      </c>
      <c r="P197" s="25">
        <v>6.9751381542965812E-4</v>
      </c>
      <c r="Q197" s="25">
        <v>5.4375766749591003E-3</v>
      </c>
      <c r="R197" s="25">
        <v>-3.2867025468775561E-3</v>
      </c>
      <c r="S197" s="25">
        <v>-1.9664779650914632E-2</v>
      </c>
      <c r="T197" s="25">
        <v>-1.0507474317895334E-2</v>
      </c>
      <c r="U197" s="25">
        <v>3.6077203860624144E-2</v>
      </c>
      <c r="V197" s="25">
        <v>1.5662850694433281E-2</v>
      </c>
      <c r="W197" s="25">
        <v>3.287868227072465E-2</v>
      </c>
      <c r="X197" s="25">
        <v>3.4991043199998517E-2</v>
      </c>
      <c r="Y197" s="25">
        <v>5.1393883090558153E-2</v>
      </c>
      <c r="Z197" s="25">
        <v>-0.20553570824600947</v>
      </c>
      <c r="AA197" s="25">
        <v>7.0609248990294859E-2</v>
      </c>
      <c r="AB197" s="25">
        <v>-6.2547666054656115E-2</v>
      </c>
      <c r="AC197" s="25">
        <v>-3.180894541694991E-2</v>
      </c>
      <c r="AD197" s="25">
        <v>-1.6978062017262936E-2</v>
      </c>
      <c r="AE197" s="25">
        <v>3.2196578302137312E-2</v>
      </c>
      <c r="AF197" s="25">
        <v>-5.0125869902622015E-2</v>
      </c>
      <c r="AG197" s="45">
        <v>1.2229225639726019E-2</v>
      </c>
      <c r="AI197" s="3" cm="1">
        <f t="array" ref="AI197">SQRT(INDEX(_xlfn.ANCHORARRAY($B$190),A197,A197))</f>
        <v>0.88454074329492716</v>
      </c>
      <c r="AJ197" s="23"/>
      <c r="AK197" s="3">
        <f t="shared" si="51"/>
        <v>0.81740284510512817</v>
      </c>
      <c r="AL197" s="105">
        <f t="shared" si="52"/>
        <v>1.4551680338104909</v>
      </c>
      <c r="AM197" s="108" t="str">
        <f t="shared" si="53"/>
        <v>Spełniony</v>
      </c>
      <c r="AN197" s="23"/>
      <c r="AO197" s="23"/>
      <c r="AP197" s="23"/>
      <c r="AQ197" s="23"/>
    </row>
    <row r="198" spans="1:43">
      <c r="A198">
        <v>9</v>
      </c>
      <c r="B198" s="67">
        <v>-4.5375592248927205E-2</v>
      </c>
      <c r="C198" s="25">
        <v>-0.10136402407730681</v>
      </c>
      <c r="D198" s="25">
        <v>-0.17700290132975754</v>
      </c>
      <c r="E198" s="25">
        <v>-0.14351812113858364</v>
      </c>
      <c r="F198" s="25">
        <v>-5.0688987796916968E-2</v>
      </c>
      <c r="G198" s="25">
        <v>2.3245237133629887E-2</v>
      </c>
      <c r="H198" s="25">
        <v>-6.9784872785447705E-2</v>
      </c>
      <c r="I198" s="25">
        <v>-0.14351793362686249</v>
      </c>
      <c r="J198" s="25">
        <v>0.70210497175876285</v>
      </c>
      <c r="K198" s="25">
        <v>2.814962661415947E-2</v>
      </c>
      <c r="L198" s="25">
        <v>3.3518785459383596E-2</v>
      </c>
      <c r="M198" s="25">
        <v>-4.5375524455362637E-2</v>
      </c>
      <c r="N198" s="25">
        <v>-1.6133310730986679E-2</v>
      </c>
      <c r="O198" s="25">
        <v>-1.1375102680091172E-2</v>
      </c>
      <c r="P198" s="25">
        <v>3.2489012665392752E-3</v>
      </c>
      <c r="Q198" s="25">
        <v>1.598158917279589E-2</v>
      </c>
      <c r="R198" s="25">
        <v>-4.8642925008163591E-2</v>
      </c>
      <c r="S198" s="25">
        <v>-3.0963576024931085E-2</v>
      </c>
      <c r="T198" s="25">
        <v>-0.1595715360825059</v>
      </c>
      <c r="U198" s="25">
        <v>-8.2692745626762473E-2</v>
      </c>
      <c r="V198" s="25">
        <v>3.100721610365359E-2</v>
      </c>
      <c r="W198" s="25">
        <v>4.6193240061393331E-2</v>
      </c>
      <c r="X198" s="25">
        <v>7.3026957657980548E-2</v>
      </c>
      <c r="Y198" s="25">
        <v>-6.7619727363402299E-2</v>
      </c>
      <c r="Z198" s="25">
        <v>-0.14506297354320796</v>
      </c>
      <c r="AA198" s="25">
        <v>6.2455287083582778E-2</v>
      </c>
      <c r="AB198" s="25">
        <v>8.2188016544886153E-2</v>
      </c>
      <c r="AC198" s="25">
        <v>-4.3019553471066792E-2</v>
      </c>
      <c r="AD198" s="25">
        <v>8.1304283303928776E-2</v>
      </c>
      <c r="AE198" s="25">
        <v>-0.14481501504326089</v>
      </c>
      <c r="AF198" s="25">
        <v>2.5197265364341553E-2</v>
      </c>
      <c r="AG198" s="45">
        <v>3.5946242710450993E-2</v>
      </c>
      <c r="AI198" s="3" cm="1">
        <f t="array" ref="AI198">SQRT(INDEX(_xlfn.ANCHORARRAY($B$190),A198,A198))</f>
        <v>0.83791704348268436</v>
      </c>
      <c r="AJ198" s="23"/>
      <c r="AK198" s="3">
        <f t="shared" si="51"/>
        <v>0.77431795029983852</v>
      </c>
      <c r="AL198" s="105">
        <f t="shared" si="52"/>
        <v>0.88167354285834654</v>
      </c>
      <c r="AM198" s="108" t="str">
        <f t="shared" si="53"/>
        <v>Spełniony</v>
      </c>
      <c r="AN198" s="23"/>
      <c r="AO198" s="23"/>
      <c r="AP198" s="23"/>
      <c r="AQ198" s="23"/>
    </row>
    <row r="199" spans="1:43">
      <c r="A199">
        <v>10</v>
      </c>
      <c r="B199" s="67">
        <v>-9.2835979198405028E-2</v>
      </c>
      <c r="C199" s="25">
        <v>9.6110302755524797E-3</v>
      </c>
      <c r="D199" s="25">
        <v>-7.0464460536291407E-3</v>
      </c>
      <c r="E199" s="25">
        <v>3.380942837835009E-2</v>
      </c>
      <c r="F199" s="25">
        <v>3.8692117289562511E-2</v>
      </c>
      <c r="G199" s="25">
        <v>-4.4722970373039565E-2</v>
      </c>
      <c r="H199" s="25">
        <v>4.8858649567743882E-4</v>
      </c>
      <c r="I199" s="25">
        <v>3.3809384205084336E-2</v>
      </c>
      <c r="J199" s="25">
        <v>2.8149626614159474E-2</v>
      </c>
      <c r="K199" s="25">
        <v>0.53223441247542169</v>
      </c>
      <c r="L199" s="25">
        <v>-0.24104000207500301</v>
      </c>
      <c r="M199" s="25">
        <v>-9.2835840496480748E-2</v>
      </c>
      <c r="N199" s="25">
        <v>-0.11749319579297124</v>
      </c>
      <c r="O199" s="25">
        <v>-0.30045342774525136</v>
      </c>
      <c r="P199" s="25">
        <v>-3.602766232087036E-2</v>
      </c>
      <c r="Q199" s="25">
        <v>3.6656322264936356E-2</v>
      </c>
      <c r="R199" s="25">
        <v>2.9758498502099051E-2</v>
      </c>
      <c r="S199" s="25">
        <v>3.180404754121946E-2</v>
      </c>
      <c r="T199" s="25">
        <v>2.9853105984760774E-2</v>
      </c>
      <c r="U199" s="25">
        <v>-9.4194947351103654E-3</v>
      </c>
      <c r="V199" s="25">
        <v>-0.18636068770851827</v>
      </c>
      <c r="W199" s="25">
        <v>8.1946124763595335E-2</v>
      </c>
      <c r="X199" s="25">
        <v>6.9645390329386679E-3</v>
      </c>
      <c r="Y199" s="25">
        <v>-3.6876800487610592E-2</v>
      </c>
      <c r="Z199" s="25">
        <v>2.3276578237856112E-2</v>
      </c>
      <c r="AA199" s="25">
        <v>0.11105024616173874</v>
      </c>
      <c r="AB199" s="25">
        <v>-1.5503003830108414E-2</v>
      </c>
      <c r="AC199" s="25">
        <v>2.6508214634453492E-3</v>
      </c>
      <c r="AD199" s="25">
        <v>2.457988166297409E-2</v>
      </c>
      <c r="AE199" s="25">
        <v>-1.199121594826973E-2</v>
      </c>
      <c r="AF199" s="25">
        <v>4.0805564456994001E-3</v>
      </c>
      <c r="AG199" s="45">
        <v>-2.3878893731126789E-2</v>
      </c>
      <c r="AI199" s="3" cm="1">
        <f t="array" ref="AI199">SQRT(INDEX(_xlfn.ANCHORARRAY($B$190),A199,A199))</f>
        <v>0.729543975696751</v>
      </c>
      <c r="AJ199" s="23"/>
      <c r="AK199" s="3">
        <f t="shared" si="51"/>
        <v>0.6741705522150262</v>
      </c>
      <c r="AL199" s="105">
        <f t="shared" si="52"/>
        <v>0.18144409678913836</v>
      </c>
      <c r="AM199" s="108" t="str">
        <f t="shared" si="53"/>
        <v>Spełniony</v>
      </c>
      <c r="AN199" s="23"/>
      <c r="AO199" s="23"/>
      <c r="AP199" s="23"/>
      <c r="AQ199" s="23"/>
    </row>
    <row r="200" spans="1:43">
      <c r="A200">
        <v>11</v>
      </c>
      <c r="B200" s="67">
        <v>-0.20836720331970321</v>
      </c>
      <c r="C200" s="25">
        <v>-5.6951379289852458E-3</v>
      </c>
      <c r="D200" s="25">
        <v>-2.4168902350813384E-2</v>
      </c>
      <c r="E200" s="25">
        <v>5.4420354358936711E-2</v>
      </c>
      <c r="F200" s="25">
        <v>7.5898566660941885E-2</v>
      </c>
      <c r="G200" s="25">
        <v>-0.10742108410420713</v>
      </c>
      <c r="H200" s="25">
        <v>1.5293336827920978E-2</v>
      </c>
      <c r="I200" s="25">
        <v>5.4420283256735591E-2</v>
      </c>
      <c r="J200" s="25">
        <v>3.3518785459383568E-2</v>
      </c>
      <c r="K200" s="25">
        <v>-0.24104000207500306</v>
      </c>
      <c r="L200" s="25">
        <v>0.52964631255064609</v>
      </c>
      <c r="M200" s="25">
        <v>-0.20836689200794348</v>
      </c>
      <c r="N200" s="25">
        <v>6.3815913623576165E-2</v>
      </c>
      <c r="O200" s="25">
        <v>0.1307950111959128</v>
      </c>
      <c r="P200" s="25">
        <v>1.2065331789432296E-2</v>
      </c>
      <c r="Q200" s="25">
        <v>-1.990799016749881E-2</v>
      </c>
      <c r="R200" s="25">
        <v>-6.969318240715448E-3</v>
      </c>
      <c r="S200" s="25">
        <v>2.8033094353982088E-2</v>
      </c>
      <c r="T200" s="25">
        <v>4.7373649130423467E-2</v>
      </c>
      <c r="U200" s="25">
        <v>-1.2200560687870513E-2</v>
      </c>
      <c r="V200" s="25">
        <v>3.5518917829259117E-2</v>
      </c>
      <c r="W200" s="25">
        <v>-8.7817476383006229E-2</v>
      </c>
      <c r="X200" s="25">
        <v>-6.6574845029766655E-2</v>
      </c>
      <c r="Y200" s="25">
        <v>-7.2395112690400665E-2</v>
      </c>
      <c r="Z200" s="25">
        <v>1.7751734960046756E-2</v>
      </c>
      <c r="AA200" s="25">
        <v>0.17351678131386769</v>
      </c>
      <c r="AB200" s="25">
        <v>-2.1068124754105629E-2</v>
      </c>
      <c r="AC200" s="25">
        <v>1.3837523869852545E-2</v>
      </c>
      <c r="AD200" s="25">
        <v>5.0264570014403043E-3</v>
      </c>
      <c r="AE200" s="25">
        <v>-2.6509766918873828E-2</v>
      </c>
      <c r="AF200" s="25">
        <v>5.7992645260746184E-2</v>
      </c>
      <c r="AG200" s="45">
        <v>-1.5634494023554227E-2</v>
      </c>
      <c r="AI200" s="3" cm="1">
        <f t="array" ref="AI200">SQRT(INDEX(_xlfn.ANCHORARRAY($B$190),A200,A200))</f>
        <v>0.72776803485083497</v>
      </c>
      <c r="AJ200" s="23"/>
      <c r="AK200" s="3">
        <f t="shared" si="51"/>
        <v>0.67252940780060078</v>
      </c>
      <c r="AL200" s="105">
        <f t="shared" si="52"/>
        <v>1.6687667627074925</v>
      </c>
      <c r="AM200" s="108" t="str">
        <f t="shared" si="53"/>
        <v>Spełniony</v>
      </c>
      <c r="AN200" s="23"/>
      <c r="AO200" s="23"/>
      <c r="AP200" s="23"/>
      <c r="AQ200" s="23"/>
    </row>
    <row r="201" spans="1:43">
      <c r="A201">
        <v>12</v>
      </c>
      <c r="B201" s="67">
        <v>-0.26551492848127234</v>
      </c>
      <c r="C201" s="25">
        <v>4.5866493761361482E-3</v>
      </c>
      <c r="D201" s="25">
        <v>2.5145186393083552E-2</v>
      </c>
      <c r="E201" s="25">
        <v>-5.571094585628214E-2</v>
      </c>
      <c r="F201" s="25">
        <v>-7.2598846120152827E-2</v>
      </c>
      <c r="G201" s="25">
        <v>-0.12860469378469727</v>
      </c>
      <c r="H201" s="25">
        <v>5.7209104199855421E-2</v>
      </c>
      <c r="I201" s="25">
        <v>-5.5710873067875574E-2</v>
      </c>
      <c r="J201" s="25">
        <v>-4.5375524455362581E-2</v>
      </c>
      <c r="K201" s="25">
        <v>-9.2835840496480804E-2</v>
      </c>
      <c r="L201" s="25">
        <v>-0.20836689200794339</v>
      </c>
      <c r="M201" s="25">
        <v>0.7344854682122488</v>
      </c>
      <c r="N201" s="25">
        <v>7.8160980646257774E-3</v>
      </c>
      <c r="O201" s="25">
        <v>6.1532880938435675E-2</v>
      </c>
      <c r="P201" s="25">
        <v>3.4225532115668492E-3</v>
      </c>
      <c r="Q201" s="25">
        <v>-1.1114200682525353E-2</v>
      </c>
      <c r="R201" s="25">
        <v>-1.1401477760282724E-2</v>
      </c>
      <c r="S201" s="25">
        <v>-3.346613823562989E-2</v>
      </c>
      <c r="T201" s="25">
        <v>-4.9486478396102422E-2</v>
      </c>
      <c r="U201" s="25">
        <v>3.6789896700686227E-3</v>
      </c>
      <c r="V201" s="25">
        <v>4.6189235948227783E-2</v>
      </c>
      <c r="W201" s="25">
        <v>6.3655616023561568E-3</v>
      </c>
      <c r="X201" s="25">
        <v>3.2467623150169961E-2</v>
      </c>
      <c r="Y201" s="25">
        <v>7.4305007242776902E-2</v>
      </c>
      <c r="Z201" s="25">
        <v>-6.777490799358632E-2</v>
      </c>
      <c r="AA201" s="25">
        <v>-9.1552519949944483E-2</v>
      </c>
      <c r="AB201" s="25">
        <v>6.6268828966478802E-2</v>
      </c>
      <c r="AC201" s="25">
        <v>4.1566345734920379E-4</v>
      </c>
      <c r="AD201" s="25">
        <v>-1.6586831568489731E-2</v>
      </c>
      <c r="AE201" s="25">
        <v>3.8755517458339522E-2</v>
      </c>
      <c r="AF201" s="25">
        <v>-4.7150455818767811E-2</v>
      </c>
      <c r="AG201" s="45">
        <v>2.5867322653608221E-2</v>
      </c>
      <c r="AI201" s="3" cm="1">
        <f t="array" ref="AI201">SQRT(INDEX(_xlfn.ANCHORARRAY($B$190),A201,A201))</f>
        <v>0.85702127640581294</v>
      </c>
      <c r="AJ201" s="23"/>
      <c r="AK201" s="3">
        <f t="shared" si="51"/>
        <v>0.79197214482201173</v>
      </c>
      <c r="AL201" s="105">
        <f t="shared" si="52"/>
        <v>0.48537265495623327</v>
      </c>
      <c r="AM201" s="108" t="str">
        <f t="shared" si="53"/>
        <v>Spełniony</v>
      </c>
      <c r="AN201" s="23"/>
      <c r="AO201" s="23"/>
      <c r="AP201" s="23"/>
      <c r="AQ201" s="23"/>
    </row>
    <row r="202" spans="1:43">
      <c r="A202">
        <v>13</v>
      </c>
      <c r="B202" s="67">
        <v>7.8161097423123244E-3</v>
      </c>
      <c r="C202" s="25">
        <v>-3.2587542391212893E-2</v>
      </c>
      <c r="D202" s="25">
        <v>-3.9134983349880248E-3</v>
      </c>
      <c r="E202" s="25">
        <v>-1.2232790217284711E-2</v>
      </c>
      <c r="F202" s="25">
        <v>-7.097970637445622E-2</v>
      </c>
      <c r="G202" s="25">
        <v>2.6193980892579474E-2</v>
      </c>
      <c r="H202" s="25">
        <v>-5.1688716605555688E-3</v>
      </c>
      <c r="I202" s="25">
        <v>-1.2232774234692885E-2</v>
      </c>
      <c r="J202" s="25">
        <v>-1.613331073098663E-2</v>
      </c>
      <c r="K202" s="25">
        <v>-0.11749319579297124</v>
      </c>
      <c r="L202" s="25">
        <v>6.3815913623576165E-2</v>
      </c>
      <c r="M202" s="25">
        <v>7.8160980646258399E-3</v>
      </c>
      <c r="N202" s="25">
        <v>0.64858675953568867</v>
      </c>
      <c r="O202" s="25">
        <v>-0.25835200255510171</v>
      </c>
      <c r="P202" s="25">
        <v>-0.19948857783851459</v>
      </c>
      <c r="Q202" s="25">
        <v>-0.12538725810923942</v>
      </c>
      <c r="R202" s="25">
        <v>-5.9217225391996982E-2</v>
      </c>
      <c r="S202" s="25">
        <v>-4.5568951247791249E-2</v>
      </c>
      <c r="T202" s="25">
        <v>-7.4482089190183232E-2</v>
      </c>
      <c r="U202" s="25">
        <v>3.2953034539100819E-2</v>
      </c>
      <c r="V202" s="25">
        <v>6.3453505169733804E-2</v>
      </c>
      <c r="W202" s="25">
        <v>-0.12834772218954171</v>
      </c>
      <c r="X202" s="25">
        <v>-6.1836772414213793E-2</v>
      </c>
      <c r="Y202" s="25">
        <v>8.9907630323771678E-2</v>
      </c>
      <c r="Z202" s="25">
        <v>3.918665275137187E-2</v>
      </c>
      <c r="AA202" s="25">
        <v>-2.3632936411218525E-3</v>
      </c>
      <c r="AB202" s="25">
        <v>7.5946182017718675E-3</v>
      </c>
      <c r="AC202" s="25">
        <v>1.2837846433232124E-2</v>
      </c>
      <c r="AD202" s="25">
        <v>-8.2305825815446751E-2</v>
      </c>
      <c r="AE202" s="25">
        <v>-1.2598692027296285E-2</v>
      </c>
      <c r="AF202" s="25">
        <v>5.1910758627491754E-2</v>
      </c>
      <c r="AG202" s="45">
        <v>0.15574578324700891</v>
      </c>
      <c r="AI202" s="3" cm="1">
        <f t="array" ref="AI202">SQRT(INDEX(_xlfn.ANCHORARRAY($B$190),A202,A202))</f>
        <v>0.80534884338135648</v>
      </c>
      <c r="AJ202" s="23"/>
      <c r="AK202" s="3">
        <f t="shared" si="51"/>
        <v>0.74422172282295185</v>
      </c>
      <c r="AL202" s="105">
        <f t="shared" si="52"/>
        <v>9.8493896223199429E-2</v>
      </c>
      <c r="AM202" s="108" t="str">
        <f t="shared" si="53"/>
        <v>Spełniony</v>
      </c>
      <c r="AN202" s="23"/>
      <c r="AO202" s="23"/>
      <c r="AP202" s="23"/>
      <c r="AQ202" s="23"/>
    </row>
    <row r="203" spans="1:43">
      <c r="A203">
        <v>14</v>
      </c>
      <c r="B203" s="67">
        <v>6.1532972871992241E-2</v>
      </c>
      <c r="C203" s="25">
        <v>1.6530668118390879E-2</v>
      </c>
      <c r="D203" s="25">
        <v>7.0041610829155859E-3</v>
      </c>
      <c r="E203" s="25">
        <v>-1.7094937458372032E-2</v>
      </c>
      <c r="F203" s="25">
        <v>3.2631778084408036E-2</v>
      </c>
      <c r="G203" s="25">
        <v>8.4678518282022483E-3</v>
      </c>
      <c r="H203" s="25">
        <v>5.4217781864457117E-3</v>
      </c>
      <c r="I203" s="25">
        <v>-1.709491512320542E-2</v>
      </c>
      <c r="J203" s="25">
        <v>-1.1375102680091197E-2</v>
      </c>
      <c r="K203" s="25">
        <v>-0.30045342774525136</v>
      </c>
      <c r="L203" s="25">
        <v>0.13079501119591283</v>
      </c>
      <c r="M203" s="25">
        <v>6.1532880938435695E-2</v>
      </c>
      <c r="N203" s="25">
        <v>-0.25835200255510171</v>
      </c>
      <c r="O203" s="25">
        <v>0.41703162364852997</v>
      </c>
      <c r="P203" s="25">
        <v>-9.1573670745334651E-2</v>
      </c>
      <c r="Q203" s="25">
        <v>5.3855728380468718E-2</v>
      </c>
      <c r="R203" s="25">
        <v>3.4140011113333812E-2</v>
      </c>
      <c r="S203" s="25">
        <v>5.991131054364237E-2</v>
      </c>
      <c r="T203" s="25">
        <v>4.149602164619863E-2</v>
      </c>
      <c r="U203" s="25">
        <v>-2.2199523527976519E-2</v>
      </c>
      <c r="V203" s="25">
        <v>7.457033706959286E-2</v>
      </c>
      <c r="W203" s="25">
        <v>0.12508195682657133</v>
      </c>
      <c r="X203" s="25">
        <v>7.1531246832823303E-4</v>
      </c>
      <c r="Y203" s="25">
        <v>-5.4179768083804758E-2</v>
      </c>
      <c r="Z203" s="25">
        <v>-5.6066119368337719E-2</v>
      </c>
      <c r="AA203" s="25">
        <v>-9.0121718912349935E-2</v>
      </c>
      <c r="AB203" s="25">
        <v>7.9936875021645211E-3</v>
      </c>
      <c r="AC203" s="25">
        <v>-1.4169242354164776E-2</v>
      </c>
      <c r="AD203" s="25">
        <v>4.8575950971193077E-2</v>
      </c>
      <c r="AE203" s="25">
        <v>2.1827128984113577E-2</v>
      </c>
      <c r="AF203" s="25">
        <v>-4.3700854787213035E-2</v>
      </c>
      <c r="AG203" s="45">
        <v>-2.3288387740576039E-2</v>
      </c>
      <c r="AI203" s="3" cm="1">
        <f t="array" ref="AI203">SQRT(INDEX(_xlfn.ANCHORARRAY($B$190),A203,A203))</f>
        <v>0.64577985695477524</v>
      </c>
      <c r="AJ203" s="23"/>
      <c r="AK203" s="3">
        <f t="shared" si="51"/>
        <v>0.59676424900465441</v>
      </c>
      <c r="AL203" s="105">
        <f t="shared" si="52"/>
        <v>0.37660831976833653</v>
      </c>
      <c r="AM203" s="108" t="str">
        <f t="shared" si="53"/>
        <v>Spełniony</v>
      </c>
      <c r="AN203" s="23"/>
      <c r="AO203" s="23"/>
      <c r="AP203" s="23"/>
      <c r="AQ203" s="23"/>
    </row>
    <row r="204" spans="1:43">
      <c r="A204">
        <v>15</v>
      </c>
      <c r="B204" s="67">
        <v>3.4225583250522829E-3</v>
      </c>
      <c r="C204" s="25">
        <v>-7.6010434317281689E-3</v>
      </c>
      <c r="D204" s="25">
        <v>1.8073236610642932E-3</v>
      </c>
      <c r="E204" s="25">
        <v>6.9751472675837894E-4</v>
      </c>
      <c r="F204" s="25">
        <v>-4.3559553066843726E-2</v>
      </c>
      <c r="G204" s="25">
        <v>2.0883528001205895E-2</v>
      </c>
      <c r="H204" s="25">
        <v>-6.9636412207836635E-3</v>
      </c>
      <c r="I204" s="25">
        <v>6.9751381542965118E-4</v>
      </c>
      <c r="J204" s="25">
        <v>3.2489012665392822E-3</v>
      </c>
      <c r="K204" s="25">
        <v>-3.6027662320870367E-2</v>
      </c>
      <c r="L204" s="25">
        <v>1.2065331789432317E-2</v>
      </c>
      <c r="M204" s="25">
        <v>3.4225532115668839E-3</v>
      </c>
      <c r="N204" s="25">
        <v>-0.19948857783851462</v>
      </c>
      <c r="O204" s="25">
        <v>-9.1573670745334679E-2</v>
      </c>
      <c r="P204" s="25">
        <v>0.69157588704851003</v>
      </c>
      <c r="Q204" s="25">
        <v>-1.1137072743129875E-3</v>
      </c>
      <c r="R204" s="25">
        <v>-5.064030198678697E-2</v>
      </c>
      <c r="S204" s="25">
        <v>-0.15204709861768373</v>
      </c>
      <c r="T204" s="25">
        <v>-4.4048109144191612E-2</v>
      </c>
      <c r="U204" s="25">
        <v>2.2519177073732046E-2</v>
      </c>
      <c r="V204" s="25">
        <v>5.8701672424736617E-2</v>
      </c>
      <c r="W204" s="25">
        <v>-0.28955269437067466</v>
      </c>
      <c r="X204" s="25">
        <v>9.5108971377245999E-2</v>
      </c>
      <c r="Y204" s="25">
        <v>6.6421539659161116E-2</v>
      </c>
      <c r="Z204" s="25">
        <v>3.9475384243096309E-2</v>
      </c>
      <c r="AA204" s="25">
        <v>2.9845126666434602E-2</v>
      </c>
      <c r="AB204" s="25">
        <v>-4.3344760484332655E-3</v>
      </c>
      <c r="AC204" s="25">
        <v>1.1332034717352177E-2</v>
      </c>
      <c r="AD204" s="25">
        <v>-3.9052776029050426E-2</v>
      </c>
      <c r="AE204" s="25">
        <v>-1.4134201505454871E-2</v>
      </c>
      <c r="AF204" s="25">
        <v>2.1173193004731153E-2</v>
      </c>
      <c r="AG204" s="45">
        <v>-0.16598392079271401</v>
      </c>
      <c r="AI204" s="3" cm="1">
        <f t="array" ref="AI204">SQRT(INDEX(_xlfn.ANCHORARRAY($B$190),A204,A204))</f>
        <v>0.8316104178330801</v>
      </c>
      <c r="AJ204" s="23"/>
      <c r="AK204" s="3">
        <f t="shared" si="51"/>
        <v>0.76849000649049304</v>
      </c>
      <c r="AL204" s="105">
        <f t="shared" si="52"/>
        <v>1.3230621879418043</v>
      </c>
      <c r="AM204" s="108" t="str">
        <f t="shared" si="53"/>
        <v>Spełniony</v>
      </c>
      <c r="AN204" s="23"/>
      <c r="AO204" s="23"/>
      <c r="AP204" s="23"/>
      <c r="AQ204" s="23"/>
    </row>
    <row r="205" spans="1:43">
      <c r="A205">
        <v>16</v>
      </c>
      <c r="B205" s="67">
        <v>-1.1114217287761158E-2</v>
      </c>
      <c r="C205" s="25">
        <v>9.6755474002770681E-3</v>
      </c>
      <c r="D205" s="25">
        <v>6.3253868098833502E-3</v>
      </c>
      <c r="E205" s="25">
        <v>5.4375837793630144E-3</v>
      </c>
      <c r="F205" s="25">
        <v>-3.7850421393767202E-2</v>
      </c>
      <c r="G205" s="25">
        <v>1.8471674423889771E-2</v>
      </c>
      <c r="H205" s="25">
        <v>2.4099252778866202E-3</v>
      </c>
      <c r="I205" s="25">
        <v>5.4375766749591506E-3</v>
      </c>
      <c r="J205" s="25">
        <v>1.5981589172795914E-2</v>
      </c>
      <c r="K205" s="25">
        <v>3.6656322264936328E-2</v>
      </c>
      <c r="L205" s="25">
        <v>-1.9907990167498803E-2</v>
      </c>
      <c r="M205" s="25">
        <v>-1.1114200682525346E-2</v>
      </c>
      <c r="N205" s="25">
        <v>-0.12538725810923945</v>
      </c>
      <c r="O205" s="25">
        <v>5.3855728380468731E-2</v>
      </c>
      <c r="P205" s="25">
        <v>-1.1137072743130499E-3</v>
      </c>
      <c r="Q205" s="25">
        <v>0.6727598506568111</v>
      </c>
      <c r="R205" s="25">
        <v>-0.21535800349026321</v>
      </c>
      <c r="S205" s="25">
        <v>-0.12016312611018937</v>
      </c>
      <c r="T205" s="25">
        <v>-4.5438203768553849E-2</v>
      </c>
      <c r="U205" s="25">
        <v>3.6683275464135863E-2</v>
      </c>
      <c r="V205" s="25">
        <v>3.26892848541913E-2</v>
      </c>
      <c r="W205" s="25">
        <v>9.8904889623451203E-2</v>
      </c>
      <c r="X205" s="25">
        <v>-0.31377869002776587</v>
      </c>
      <c r="Y205" s="25">
        <v>0.10186786005863627</v>
      </c>
      <c r="Z205" s="25">
        <v>3.6690718983130352E-2</v>
      </c>
      <c r="AA205" s="25">
        <v>4.3625936508356736E-2</v>
      </c>
      <c r="AB205" s="25">
        <v>-2.2779028965461304E-2</v>
      </c>
      <c r="AC205" s="25">
        <v>3.5543014925591872E-2</v>
      </c>
      <c r="AD205" s="25">
        <v>-4.8160819694688134E-2</v>
      </c>
      <c r="AE205" s="25">
        <v>-3.7629014560875348E-2</v>
      </c>
      <c r="AF205" s="25">
        <v>4.2513252302088939E-2</v>
      </c>
      <c r="AG205" s="45">
        <v>5.3175637621074454E-2</v>
      </c>
      <c r="AI205" s="3" cm="1">
        <f t="array" ref="AI205">SQRT(INDEX(_xlfn.ANCHORARRAY($B$190),A205,A205))</f>
        <v>0.82021939178296144</v>
      </c>
      <c r="AJ205" s="23"/>
      <c r="AK205" s="3">
        <f t="shared" si="51"/>
        <v>0.75796357548930504</v>
      </c>
      <c r="AL205" s="105">
        <f t="shared" si="52"/>
        <v>0.37396550207425255</v>
      </c>
      <c r="AM205" s="108" t="str">
        <f t="shared" si="53"/>
        <v>Spełniony</v>
      </c>
      <c r="AN205" s="23"/>
      <c r="AO205" s="23"/>
      <c r="AP205" s="23"/>
      <c r="AQ205" s="23"/>
    </row>
    <row r="206" spans="1:43">
      <c r="A206">
        <v>17</v>
      </c>
      <c r="B206" s="67">
        <v>-1.1401494794726465E-2</v>
      </c>
      <c r="C206" s="25">
        <v>-0.10721626237630028</v>
      </c>
      <c r="D206" s="25">
        <v>-3.104727735210993E-2</v>
      </c>
      <c r="E206" s="25">
        <v>-3.2867068410813282E-3</v>
      </c>
      <c r="F206" s="25">
        <v>-7.7850937276030985E-2</v>
      </c>
      <c r="G206" s="25">
        <v>2.6960448993693957E-3</v>
      </c>
      <c r="H206" s="25">
        <v>-4.9375701809351011E-2</v>
      </c>
      <c r="I206" s="25">
        <v>-3.2867025468775353E-3</v>
      </c>
      <c r="J206" s="25">
        <v>-4.8642925008163612E-2</v>
      </c>
      <c r="K206" s="25">
        <v>2.9758498502099072E-2</v>
      </c>
      <c r="L206" s="25">
        <v>-6.9693182407154289E-3</v>
      </c>
      <c r="M206" s="25">
        <v>-1.1401477760282719E-2</v>
      </c>
      <c r="N206" s="25">
        <v>-5.921722539199703E-2</v>
      </c>
      <c r="O206" s="25">
        <v>3.4140011113333812E-2</v>
      </c>
      <c r="P206" s="25">
        <v>-5.0640301986786998E-2</v>
      </c>
      <c r="Q206" s="25">
        <v>-0.21535800349026332</v>
      </c>
      <c r="R206" s="25">
        <v>0.69945723300330243</v>
      </c>
      <c r="S206" s="25">
        <v>-0.17884120431417677</v>
      </c>
      <c r="T206" s="25">
        <v>-5.785075581306319E-2</v>
      </c>
      <c r="U206" s="25">
        <v>-3.1744819406079094E-2</v>
      </c>
      <c r="V206" s="25">
        <v>2.6962073027519115E-2</v>
      </c>
      <c r="W206" s="25">
        <v>9.3112401406864276E-2</v>
      </c>
      <c r="X206" s="25">
        <v>-0.17032315689675398</v>
      </c>
      <c r="Y206" s="25">
        <v>-8.1440267212843073E-2</v>
      </c>
      <c r="Z206" s="25">
        <v>8.6461394460190744E-2</v>
      </c>
      <c r="AA206" s="25">
        <v>4.5227555215022933E-2</v>
      </c>
      <c r="AB206" s="25">
        <v>7.6735476889089882E-2</v>
      </c>
      <c r="AC206" s="25">
        <v>-9.0809554426875508E-2</v>
      </c>
      <c r="AD206" s="25">
        <v>-3.5277901098467276E-2</v>
      </c>
      <c r="AE206" s="25">
        <v>7.8466989716046931E-2</v>
      </c>
      <c r="AF206" s="25">
        <v>-3.1040071101589843E-2</v>
      </c>
      <c r="AG206" s="45">
        <v>-0.13658357554618666</v>
      </c>
      <c r="AI206" s="3" cm="1">
        <f t="array" ref="AI206">SQRT(INDEX(_xlfn.ANCHORARRAY($B$190),A206,A206))</f>
        <v>0.83633559831164817</v>
      </c>
      <c r="AJ206" s="23"/>
      <c r="AK206" s="3">
        <f t="shared" si="51"/>
        <v>0.77285653906244589</v>
      </c>
      <c r="AL206" s="105">
        <f t="shared" si="52"/>
        <v>0.58245231109930218</v>
      </c>
      <c r="AM206" s="108" t="str">
        <f t="shared" si="53"/>
        <v>Spełniony</v>
      </c>
      <c r="AN206" s="23"/>
      <c r="AO206" s="23"/>
      <c r="AP206" s="23"/>
      <c r="AQ206" s="23"/>
    </row>
    <row r="207" spans="1:43">
      <c r="A207">
        <v>18</v>
      </c>
      <c r="B207" s="67">
        <v>-3.3466188235907218E-2</v>
      </c>
      <c r="C207" s="25">
        <v>-4.4245805223073899E-2</v>
      </c>
      <c r="D207" s="25">
        <v>-1.3304156636339798E-2</v>
      </c>
      <c r="E207" s="25">
        <v>-1.9664805343708455E-2</v>
      </c>
      <c r="F207" s="25">
        <v>-4.5086240218582846E-2</v>
      </c>
      <c r="G207" s="25">
        <v>-7.4295106480823207E-3</v>
      </c>
      <c r="H207" s="25">
        <v>1.6926656380652352E-2</v>
      </c>
      <c r="I207" s="25">
        <v>-1.9664779650914621E-2</v>
      </c>
      <c r="J207" s="25">
        <v>-3.0963576024931081E-2</v>
      </c>
      <c r="K207" s="25">
        <v>3.1804047541219516E-2</v>
      </c>
      <c r="L207" s="25">
        <v>2.8033094353982137E-2</v>
      </c>
      <c r="M207" s="25">
        <v>-3.3466138235629925E-2</v>
      </c>
      <c r="N207" s="25">
        <v>-4.5568951247791298E-2</v>
      </c>
      <c r="O207" s="25">
        <v>5.9911310543642377E-2</v>
      </c>
      <c r="P207" s="25">
        <v>-0.15204709861768384</v>
      </c>
      <c r="Q207" s="25">
        <v>-0.12016312611018932</v>
      </c>
      <c r="R207" s="25">
        <v>-0.17884120431417677</v>
      </c>
      <c r="S207" s="25">
        <v>0.70825740241809554</v>
      </c>
      <c r="T207" s="25">
        <v>-6.3548929167367582E-2</v>
      </c>
      <c r="U207" s="25">
        <v>3.491106352929272E-2</v>
      </c>
      <c r="V207" s="25">
        <v>-8.8094520199125295E-2</v>
      </c>
      <c r="W207" s="25">
        <v>3.4376980750482122E-2</v>
      </c>
      <c r="X207" s="25">
        <v>3.2604596569059674E-2</v>
      </c>
      <c r="Y207" s="25">
        <v>7.3528332474411637E-2</v>
      </c>
      <c r="Z207" s="25">
        <v>-6.6855149753896614E-3</v>
      </c>
      <c r="AA207" s="25">
        <v>-4.572987461943849E-2</v>
      </c>
      <c r="AB207" s="25">
        <v>8.7719817493742379E-3</v>
      </c>
      <c r="AC207" s="25">
        <v>2.8136266857432594E-2</v>
      </c>
      <c r="AD207" s="25">
        <v>-0.1095951633761858</v>
      </c>
      <c r="AE207" s="25">
        <v>-2.1289059140880806E-2</v>
      </c>
      <c r="AF207" s="25">
        <v>0.10230803413675298</v>
      </c>
      <c r="AG207" s="45">
        <v>-0.27301598336210242</v>
      </c>
      <c r="AI207" s="3" cm="1">
        <f t="array" ref="AI207">SQRT(INDEX(_xlfn.ANCHORARRAY($B$190),A207,A207))</f>
        <v>0.8415803006357121</v>
      </c>
      <c r="AJ207" s="23"/>
      <c r="AK207" s="3">
        <f t="shared" si="51"/>
        <v>0.77770316103426163</v>
      </c>
      <c r="AL207" s="105">
        <f t="shared" si="52"/>
        <v>0.1782948269407309</v>
      </c>
      <c r="AM207" s="108" t="str">
        <f t="shared" si="53"/>
        <v>Spełniony</v>
      </c>
      <c r="AN207" s="23"/>
      <c r="AO207" s="23"/>
      <c r="AP207" s="23"/>
      <c r="AQ207" s="23"/>
    </row>
    <row r="208" spans="1:43">
      <c r="A208">
        <v>19</v>
      </c>
      <c r="B208" s="67">
        <v>-4.9486552331661549E-2</v>
      </c>
      <c r="C208" s="25">
        <v>-5.5621797974057044E-2</v>
      </c>
      <c r="D208" s="25">
        <v>-0.17588554510780507</v>
      </c>
      <c r="E208" s="25">
        <v>-1.0507488046316155E-2</v>
      </c>
      <c r="F208" s="25">
        <v>-0.11957782970307206</v>
      </c>
      <c r="G208" s="25">
        <v>3.6209164050798326E-3</v>
      </c>
      <c r="H208" s="25">
        <v>2.5370396987786828E-2</v>
      </c>
      <c r="I208" s="25">
        <v>-1.0507474317895255E-2</v>
      </c>
      <c r="J208" s="25">
        <v>-0.15957153608250582</v>
      </c>
      <c r="K208" s="25">
        <v>2.985310598476083E-2</v>
      </c>
      <c r="L208" s="25">
        <v>4.7373649130423523E-2</v>
      </c>
      <c r="M208" s="25">
        <v>-4.9486478396102415E-2</v>
      </c>
      <c r="N208" s="25">
        <v>-7.4482089190183301E-2</v>
      </c>
      <c r="O208" s="25">
        <v>4.1496021646198616E-2</v>
      </c>
      <c r="P208" s="25">
        <v>-4.4048109144191647E-2</v>
      </c>
      <c r="Q208" s="25">
        <v>-4.5438203768553828E-2</v>
      </c>
      <c r="R208" s="25">
        <v>-5.7850755813063155E-2</v>
      </c>
      <c r="S208" s="25">
        <v>-6.354892916736754E-2</v>
      </c>
      <c r="T208" s="25">
        <v>0.70813250058926069</v>
      </c>
      <c r="U208" s="25">
        <v>-0.22902257694445838</v>
      </c>
      <c r="V208" s="25">
        <v>-9.5870263890287744E-2</v>
      </c>
      <c r="W208" s="25">
        <v>-2.7344025683931593E-2</v>
      </c>
      <c r="X208" s="25">
        <v>4.4223609792484644E-2</v>
      </c>
      <c r="Y208" s="25">
        <v>6.6807497279415692E-2</v>
      </c>
      <c r="Z208" s="25">
        <v>6.0749991798416753E-2</v>
      </c>
      <c r="AA208" s="25">
        <v>-4.856680929609776E-2</v>
      </c>
      <c r="AB208" s="25">
        <v>8.2727917149428565E-3</v>
      </c>
      <c r="AC208" s="25">
        <v>0.12283200245872436</v>
      </c>
      <c r="AD208" s="25">
        <v>7.8859825787565507E-2</v>
      </c>
      <c r="AE208" s="25">
        <v>-2.5387443585241809E-2</v>
      </c>
      <c r="AF208" s="25">
        <v>-2.0974630436492586E-2</v>
      </c>
      <c r="AG208" s="45">
        <v>8.9448944319483539E-2</v>
      </c>
      <c r="AI208" s="3" cm="1">
        <f t="array" ref="AI208">SQRT(INDEX(_xlfn.ANCHORARRAY($B$190),A208,A208))</f>
        <v>0.84150609064299753</v>
      </c>
      <c r="AJ208" s="23"/>
      <c r="AK208" s="3">
        <f t="shared" si="51"/>
        <v>0.77763458368534921</v>
      </c>
      <c r="AL208" s="105">
        <f t="shared" si="52"/>
        <v>0.76943509646157104</v>
      </c>
      <c r="AM208" s="108" t="str">
        <f t="shared" si="53"/>
        <v>Spełniony</v>
      </c>
      <c r="AN208" s="23"/>
      <c r="AO208" s="23"/>
      <c r="AP208" s="23"/>
      <c r="AQ208" s="23"/>
    </row>
    <row r="209" spans="1:43">
      <c r="A209">
        <v>20</v>
      </c>
      <c r="B209" s="67">
        <v>3.6789951666843373E-3</v>
      </c>
      <c r="C209" s="25">
        <v>-4.2717016762418507E-2</v>
      </c>
      <c r="D209" s="25">
        <v>-0.16968009327727712</v>
      </c>
      <c r="E209" s="25">
        <v>3.6077250996883942E-2</v>
      </c>
      <c r="F209" s="25">
        <v>-7.9061122569618961E-3</v>
      </c>
      <c r="G209" s="25">
        <v>2.9658086456110594E-2</v>
      </c>
      <c r="H209" s="25">
        <v>5.5112447298938272E-2</v>
      </c>
      <c r="I209" s="25">
        <v>3.6077203860624227E-2</v>
      </c>
      <c r="J209" s="25">
        <v>-8.2692745626762459E-2</v>
      </c>
      <c r="K209" s="25">
        <v>-9.4194947351102648E-3</v>
      </c>
      <c r="L209" s="25">
        <v>-1.2200560687870468E-2</v>
      </c>
      <c r="M209" s="25">
        <v>3.6789896700686053E-3</v>
      </c>
      <c r="N209" s="25">
        <v>3.2953034539100826E-2</v>
      </c>
      <c r="O209" s="25">
        <v>-2.2199523527976529E-2</v>
      </c>
      <c r="P209" s="25">
        <v>2.251917707373205E-2</v>
      </c>
      <c r="Q209" s="25">
        <v>3.6683275464135849E-2</v>
      </c>
      <c r="R209" s="25">
        <v>-3.1744819406079108E-2</v>
      </c>
      <c r="S209" s="25">
        <v>3.4911063529292768E-2</v>
      </c>
      <c r="T209" s="25">
        <v>-0.22902257694445841</v>
      </c>
      <c r="U209" s="25">
        <v>0.55427371795621694</v>
      </c>
      <c r="V209" s="25">
        <v>4.2628130971346961E-2</v>
      </c>
      <c r="W209" s="25">
        <v>1.188929758152088E-2</v>
      </c>
      <c r="X209" s="25">
        <v>3.9607691641663778E-3</v>
      </c>
      <c r="Y209" s="25">
        <v>-0.10562850507983457</v>
      </c>
      <c r="Z209" s="25">
        <v>2.9062351031274442E-2</v>
      </c>
      <c r="AA209" s="25">
        <v>1.8087956331525906E-2</v>
      </c>
      <c r="AB209" s="25">
        <v>-0.10989953790021771</v>
      </c>
      <c r="AC209" s="25">
        <v>0.23372937763409357</v>
      </c>
      <c r="AD209" s="25">
        <v>0.11811640118536315</v>
      </c>
      <c r="AE209" s="25">
        <v>0.21208096964396189</v>
      </c>
      <c r="AF209" s="25">
        <v>-6.4629207329711502E-2</v>
      </c>
      <c r="AG209" s="45">
        <v>-2.2936981086509087E-2</v>
      </c>
      <c r="AI209" s="3" cm="1">
        <f t="array" ref="AI209">SQRT(INDEX(_xlfn.ANCHORARRAY($B$190),A209,A209))</f>
        <v>0.74449561312086787</v>
      </c>
      <c r="AJ209" s="23"/>
      <c r="AK209" s="3">
        <f t="shared" si="51"/>
        <v>0.68798733913196131</v>
      </c>
      <c r="AL209" s="105">
        <f t="shared" si="52"/>
        <v>2.3653510894893257</v>
      </c>
      <c r="AM209" s="108" t="str">
        <f t="shared" si="53"/>
        <v>Spełniony</v>
      </c>
      <c r="AN209" s="23"/>
      <c r="AO209" s="23"/>
      <c r="AP209" s="23"/>
      <c r="AQ209" s="23"/>
    </row>
    <row r="210" spans="1:43">
      <c r="A210">
        <v>21</v>
      </c>
      <c r="B210" s="67">
        <v>4.6189304957522673E-2</v>
      </c>
      <c r="C210" s="25">
        <v>4.7917146708506414E-3</v>
      </c>
      <c r="D210" s="25">
        <v>1.5627497078603406E-2</v>
      </c>
      <c r="E210" s="25">
        <v>1.566287115855243E-2</v>
      </c>
      <c r="F210" s="25">
        <v>-0.11173607098958024</v>
      </c>
      <c r="G210" s="25">
        <v>7.7886042105369729E-2</v>
      </c>
      <c r="H210" s="25">
        <v>-3.9902939440466662E-2</v>
      </c>
      <c r="I210" s="25">
        <v>1.5662850694433295E-2</v>
      </c>
      <c r="J210" s="25">
        <v>3.1007216103653631E-2</v>
      </c>
      <c r="K210" s="25">
        <v>-0.18636068770851807</v>
      </c>
      <c r="L210" s="25">
        <v>3.5518917829259158E-2</v>
      </c>
      <c r="M210" s="25">
        <v>4.6189235948227728E-2</v>
      </c>
      <c r="N210" s="25">
        <v>6.3453505169733776E-2</v>
      </c>
      <c r="O210" s="25">
        <v>7.4570337069592846E-2</v>
      </c>
      <c r="P210" s="25">
        <v>5.870167242473659E-2</v>
      </c>
      <c r="Q210" s="25">
        <v>3.2689284854191356E-2</v>
      </c>
      <c r="R210" s="25">
        <v>2.6962073027519021E-2</v>
      </c>
      <c r="S210" s="25">
        <v>-8.8094520199125406E-2</v>
      </c>
      <c r="T210" s="25">
        <v>-9.5870263890287827E-2</v>
      </c>
      <c r="U210" s="25">
        <v>4.262813097134685E-2</v>
      </c>
      <c r="V210" s="25">
        <v>0.28148273312916317</v>
      </c>
      <c r="W210" s="25">
        <v>0.15047871940258839</v>
      </c>
      <c r="X210" s="25">
        <v>0.15043195275849619</v>
      </c>
      <c r="Y210" s="25">
        <v>0.15190033092748553</v>
      </c>
      <c r="Z210" s="25">
        <v>0.13713106848292855</v>
      </c>
      <c r="AA210" s="25">
        <v>0.12857519529933814</v>
      </c>
      <c r="AB210" s="25">
        <v>-1.5255322514744927E-2</v>
      </c>
      <c r="AC210" s="25">
        <v>7.2691012995190103E-3</v>
      </c>
      <c r="AD210" s="25">
        <v>-3.9278072864108865E-2</v>
      </c>
      <c r="AE210" s="25">
        <v>-2.2079293852060061E-2</v>
      </c>
      <c r="AF210" s="25">
        <v>-1.9213058501066332E-2</v>
      </c>
      <c r="AG210" s="45">
        <v>1.2746454155899561E-2</v>
      </c>
      <c r="AI210" s="3" cm="1">
        <f t="array" ref="AI210">SQRT(INDEX(_xlfn.ANCHORARRAY($B$190),A210,A210))</f>
        <v>0.53054946341426368</v>
      </c>
      <c r="AJ210" s="23"/>
      <c r="AK210" s="3">
        <f t="shared" si="51"/>
        <v>0.49028000592531368</v>
      </c>
      <c r="AL210" s="105">
        <f t="shared" si="52"/>
        <v>1.3644012961787995</v>
      </c>
      <c r="AM210" s="108" t="str">
        <f t="shared" si="53"/>
        <v>Spełniony</v>
      </c>
      <c r="AN210" s="23"/>
      <c r="AO210" s="23"/>
      <c r="AP210" s="23"/>
      <c r="AQ210" s="23"/>
    </row>
    <row r="211" spans="1:43">
      <c r="A211">
        <v>22</v>
      </c>
      <c r="B211" s="67">
        <v>6.365571112860284E-3</v>
      </c>
      <c r="C211" s="25">
        <v>2.6445574485602051E-2</v>
      </c>
      <c r="D211" s="25">
        <v>1.3536536008653469E-2</v>
      </c>
      <c r="E211" s="25">
        <v>3.2878725227992407E-2</v>
      </c>
      <c r="F211" s="25">
        <v>-4.1667921164782087E-2</v>
      </c>
      <c r="G211" s="25">
        <v>3.7804994771344094E-2</v>
      </c>
      <c r="H211" s="25">
        <v>-3.3377865928935713E-2</v>
      </c>
      <c r="I211" s="25">
        <v>3.2878682270724643E-2</v>
      </c>
      <c r="J211" s="25">
        <v>4.6193240061393373E-2</v>
      </c>
      <c r="K211" s="25">
        <v>8.194612476359521E-2</v>
      </c>
      <c r="L211" s="25">
        <v>-8.7817476383006299E-2</v>
      </c>
      <c r="M211" s="25">
        <v>6.3655616023562331E-3</v>
      </c>
      <c r="N211" s="25">
        <v>-0.12834772218954163</v>
      </c>
      <c r="O211" s="25">
        <v>0.12508195682657128</v>
      </c>
      <c r="P211" s="25">
        <v>-0.2895526943706746</v>
      </c>
      <c r="Q211" s="25">
        <v>9.8904889623451245E-2</v>
      </c>
      <c r="R211" s="25">
        <v>9.311240140686429E-2</v>
      </c>
      <c r="S211" s="25">
        <v>3.4376980750482219E-2</v>
      </c>
      <c r="T211" s="25">
        <v>-2.7344025683931503E-2</v>
      </c>
      <c r="U211" s="25">
        <v>1.1889297581520925E-2</v>
      </c>
      <c r="V211" s="25">
        <v>0.15047871940258831</v>
      </c>
      <c r="W211" s="25">
        <v>0.40886881099171601</v>
      </c>
      <c r="X211" s="25">
        <v>0.12121358047569276</v>
      </c>
      <c r="Y211" s="25">
        <v>6.0870804693707412E-2</v>
      </c>
      <c r="Z211" s="25">
        <v>0.10573461505332955</v>
      </c>
      <c r="AA211" s="25">
        <v>0.15283346938296599</v>
      </c>
      <c r="AB211" s="25">
        <v>-2.1548163081140735E-2</v>
      </c>
      <c r="AC211" s="25">
        <v>-3.9004882057204846E-3</v>
      </c>
      <c r="AD211" s="25">
        <v>2.7511149490879516E-2</v>
      </c>
      <c r="AE211" s="25">
        <v>-1.2790576887511562E-2</v>
      </c>
      <c r="AF211" s="25">
        <v>-5.1968137285802643E-2</v>
      </c>
      <c r="AG211" s="45">
        <v>3.9576711371275913E-2</v>
      </c>
      <c r="AI211" s="3" cm="1">
        <f t="array" ref="AI211">SQRT(INDEX(_xlfn.ANCHORARRAY($B$190),A211,A211))</f>
        <v>0.63942850342451585</v>
      </c>
      <c r="AJ211" s="23"/>
      <c r="AK211" s="3">
        <f t="shared" si="51"/>
        <v>0.59089497222429521</v>
      </c>
      <c r="AL211" s="105">
        <f t="shared" si="52"/>
        <v>6.7800627733336283E-2</v>
      </c>
      <c r="AM211" s="108" t="str">
        <f t="shared" si="53"/>
        <v>Spełniony</v>
      </c>
      <c r="AN211" s="23"/>
      <c r="AO211" s="23"/>
      <c r="AP211" s="23"/>
      <c r="AQ211" s="23"/>
    </row>
    <row r="212" spans="1:43">
      <c r="A212">
        <v>23</v>
      </c>
      <c r="B212" s="67">
        <v>3.2467671658609976E-2</v>
      </c>
      <c r="C212" s="25">
        <v>9.5672251022472968E-2</v>
      </c>
      <c r="D212" s="25">
        <v>3.2478501924136705E-2</v>
      </c>
      <c r="E212" s="25">
        <v>3.4991088917147438E-2</v>
      </c>
      <c r="F212" s="25">
        <v>3.2832100713948514E-2</v>
      </c>
      <c r="G212" s="25">
        <v>3.122375210513588E-2</v>
      </c>
      <c r="H212" s="25">
        <v>-9.485125717440139E-3</v>
      </c>
      <c r="I212" s="25">
        <v>3.4991043199998552E-2</v>
      </c>
      <c r="J212" s="25">
        <v>7.3026957657980535E-2</v>
      </c>
      <c r="K212" s="25">
        <v>6.9645390329386159E-3</v>
      </c>
      <c r="L212" s="25">
        <v>-6.6574845029766669E-2</v>
      </c>
      <c r="M212" s="25">
        <v>3.2467623150169968E-2</v>
      </c>
      <c r="N212" s="25">
        <v>-6.1836772414213745E-2</v>
      </c>
      <c r="O212" s="25">
        <v>7.1531246832828854E-4</v>
      </c>
      <c r="P212" s="25">
        <v>9.5108971377246054E-2</v>
      </c>
      <c r="Q212" s="25">
        <v>-0.31377869002776582</v>
      </c>
      <c r="R212" s="25">
        <v>-0.17032315689675384</v>
      </c>
      <c r="S212" s="25">
        <v>3.2604596569059674E-2</v>
      </c>
      <c r="T212" s="25">
        <v>4.4223609792484596E-2</v>
      </c>
      <c r="U212" s="25">
        <v>3.9607691641663431E-3</v>
      </c>
      <c r="V212" s="25">
        <v>0.15043195275849605</v>
      </c>
      <c r="W212" s="25">
        <v>0.12121358047569286</v>
      </c>
      <c r="X212" s="25">
        <v>0.54241257776130514</v>
      </c>
      <c r="Y212" s="25">
        <v>4.1293452059883357E-2</v>
      </c>
      <c r="Z212" s="25">
        <v>3.5975830070977738E-2</v>
      </c>
      <c r="AA212" s="25">
        <v>0.1086726068736448</v>
      </c>
      <c r="AB212" s="25">
        <v>-5.6842172200279067E-2</v>
      </c>
      <c r="AC212" s="25">
        <v>2.4843235666918609E-2</v>
      </c>
      <c r="AD212" s="25">
        <v>9.8779124407706587E-2</v>
      </c>
      <c r="AE212" s="25">
        <v>-3.4295630681776906E-2</v>
      </c>
      <c r="AF212" s="25">
        <v>-8.0788575842973304E-2</v>
      </c>
      <c r="AG212" s="45">
        <v>6.8322065223417938E-2</v>
      </c>
      <c r="AI212" s="3" cm="1">
        <f t="array" ref="AI212">SQRT(INDEX(_xlfn.ANCHORARRAY($B$190),A212,A212))</f>
        <v>0.73648664465915814</v>
      </c>
      <c r="AJ212" s="23"/>
      <c r="AK212" s="3">
        <f t="shared" si="51"/>
        <v>0.68058626274674838</v>
      </c>
      <c r="AL212" s="105">
        <f t="shared" si="52"/>
        <v>0.70743769789746203</v>
      </c>
      <c r="AM212" s="108" t="str">
        <f t="shared" si="53"/>
        <v>Spełniony</v>
      </c>
      <c r="AN212" s="23"/>
      <c r="AO212" s="23"/>
      <c r="AP212" s="23"/>
      <c r="AQ212" s="23"/>
    </row>
    <row r="213" spans="1:43">
      <c r="A213">
        <v>24</v>
      </c>
      <c r="B213" s="67">
        <v>7.4305118258602532E-2</v>
      </c>
      <c r="C213" s="25">
        <v>-0.20870874742566425</v>
      </c>
      <c r="D213" s="25">
        <v>-0.11091149358397315</v>
      </c>
      <c r="E213" s="25">
        <v>5.1393950238650538E-2</v>
      </c>
      <c r="F213" s="25">
        <v>9.1028619532276617E-2</v>
      </c>
      <c r="G213" s="25">
        <v>-1.5347671626865247E-2</v>
      </c>
      <c r="H213" s="25">
        <v>-8.2855599490751941E-2</v>
      </c>
      <c r="I213" s="25">
        <v>5.139388309055809E-2</v>
      </c>
      <c r="J213" s="25">
        <v>-6.7619727363402368E-2</v>
      </c>
      <c r="K213" s="25">
        <v>-3.6876800487610634E-2</v>
      </c>
      <c r="L213" s="25">
        <v>-7.239511269040072E-2</v>
      </c>
      <c r="M213" s="25">
        <v>7.4305007242776874E-2</v>
      </c>
      <c r="N213" s="25">
        <v>8.990763032377172E-2</v>
      </c>
      <c r="O213" s="25">
        <v>-5.4179768083804772E-2</v>
      </c>
      <c r="P213" s="25">
        <v>6.64215396591612E-2</v>
      </c>
      <c r="Q213" s="25">
        <v>0.10186786005863624</v>
      </c>
      <c r="R213" s="25">
        <v>-8.1440267212843087E-2</v>
      </c>
      <c r="S213" s="25">
        <v>7.3528332474411651E-2</v>
      </c>
      <c r="T213" s="25">
        <v>6.6807497279415734E-2</v>
      </c>
      <c r="U213" s="25">
        <v>-0.1056285050798345</v>
      </c>
      <c r="V213" s="25">
        <v>0.15190033092748556</v>
      </c>
      <c r="W213" s="25">
        <v>6.0870804693707467E-2</v>
      </c>
      <c r="X213" s="25">
        <v>4.1293452059883273E-2</v>
      </c>
      <c r="Y213" s="25">
        <v>0.59345448363307596</v>
      </c>
      <c r="Z213" s="25">
        <v>6.2576592855147661E-2</v>
      </c>
      <c r="AA213" s="25">
        <v>8.9904335830699969E-2</v>
      </c>
      <c r="AB213" s="25">
        <v>7.8530460986659528E-2</v>
      </c>
      <c r="AC213" s="25">
        <v>-0.15265235747233383</v>
      </c>
      <c r="AD213" s="25">
        <v>-2.2902371699889457E-2</v>
      </c>
      <c r="AE213" s="25">
        <v>0.10625270831937397</v>
      </c>
      <c r="AF213" s="25">
        <v>6.6207319781938834E-2</v>
      </c>
      <c r="AG213" s="45">
        <v>-5.3878319440112316E-2</v>
      </c>
      <c r="AI213" s="3" cm="1">
        <f t="array" ref="AI213">SQRT(INDEX(_xlfn.ANCHORARRAY($B$190),A213,A213))</f>
        <v>0.77035997016529612</v>
      </c>
      <c r="AJ213" s="23"/>
      <c r="AK213" s="3">
        <f t="shared" si="51"/>
        <v>0.71188855475734647</v>
      </c>
      <c r="AL213" s="105">
        <f t="shared" si="52"/>
        <v>3.9961857407019401E-2</v>
      </c>
      <c r="AM213" s="108" t="str">
        <f t="shared" si="53"/>
        <v>Spełniony</v>
      </c>
      <c r="AN213" s="23"/>
      <c r="AO213" s="23"/>
      <c r="AP213" s="23"/>
      <c r="AQ213" s="23"/>
    </row>
    <row r="214" spans="1:43">
      <c r="A214">
        <v>25</v>
      </c>
      <c r="B214" s="67">
        <v>-6.777500925307943E-2</v>
      </c>
      <c r="C214" s="25">
        <v>6.6462063983670633E-2</v>
      </c>
      <c r="D214" s="25">
        <v>4.6888438861815387E-2</v>
      </c>
      <c r="E214" s="25">
        <v>-0.20553597678634752</v>
      </c>
      <c r="F214" s="25">
        <v>7.0375187796777164E-2</v>
      </c>
      <c r="G214" s="25">
        <v>0.13340098013922744</v>
      </c>
      <c r="H214" s="25">
        <v>0.12157084355110298</v>
      </c>
      <c r="I214" s="25">
        <v>-0.20553570824600947</v>
      </c>
      <c r="J214" s="25">
        <v>-0.14506297354320791</v>
      </c>
      <c r="K214" s="25">
        <v>2.3276578237856158E-2</v>
      </c>
      <c r="L214" s="25">
        <v>1.7751734960046783E-2</v>
      </c>
      <c r="M214" s="25">
        <v>-6.7774907993586375E-2</v>
      </c>
      <c r="N214" s="25">
        <v>3.9186652751371863E-2</v>
      </c>
      <c r="O214" s="25">
        <v>-5.6066119368337636E-2</v>
      </c>
      <c r="P214" s="25">
        <v>3.9475384243096309E-2</v>
      </c>
      <c r="Q214" s="25">
        <v>3.6690718983130324E-2</v>
      </c>
      <c r="R214" s="25">
        <v>8.6461394460190702E-2</v>
      </c>
      <c r="S214" s="25">
        <v>-6.6855149753897083E-3</v>
      </c>
      <c r="T214" s="25">
        <v>6.0749991798416648E-2</v>
      </c>
      <c r="U214" s="25">
        <v>2.9062351031274334E-2</v>
      </c>
      <c r="V214" s="25">
        <v>0.13713106848292847</v>
      </c>
      <c r="W214" s="25">
        <v>0.10573461505332954</v>
      </c>
      <c r="X214" s="25">
        <v>3.5975830070977738E-2</v>
      </c>
      <c r="Y214" s="25">
        <v>6.2576592855147842E-2</v>
      </c>
      <c r="Z214" s="25">
        <v>0.54195143489598641</v>
      </c>
      <c r="AA214" s="25">
        <v>0.11663045864163005</v>
      </c>
      <c r="AB214" s="25">
        <v>5.4253175755408847E-3</v>
      </c>
      <c r="AC214" s="25">
        <v>9.5056864609957645E-2</v>
      </c>
      <c r="AD214" s="25">
        <v>-4.6084066425765915E-2</v>
      </c>
      <c r="AE214" s="25">
        <v>-7.1146535446935995E-3</v>
      </c>
      <c r="AF214" s="25">
        <v>7.5839739282160396E-2</v>
      </c>
      <c r="AG214" s="45">
        <v>-5.5602277672701247E-2</v>
      </c>
      <c r="AI214" s="3" cm="1">
        <f t="array" ref="AI214">SQRT(INDEX(_xlfn.ANCHORARRAY($B$190),A214,A214))</f>
        <v>0.73617350868934861</v>
      </c>
      <c r="AJ214" s="23"/>
      <c r="AK214" s="3">
        <f t="shared" si="51"/>
        <v>0.68029689424160344</v>
      </c>
      <c r="AL214" s="105">
        <f t="shared" si="52"/>
        <v>2.0572636465497971</v>
      </c>
      <c r="AM214" s="108" t="str">
        <f t="shared" si="53"/>
        <v>Spełniony</v>
      </c>
      <c r="AN214" s="23"/>
      <c r="AO214" s="23"/>
      <c r="AP214" s="23"/>
      <c r="AQ214" s="23"/>
    </row>
    <row r="215" spans="1:43">
      <c r="A215">
        <v>26</v>
      </c>
      <c r="B215" s="67">
        <v>-9.1552656734516069E-2</v>
      </c>
      <c r="C215" s="25">
        <v>1.5337143263067995E-2</v>
      </c>
      <c r="D215" s="25">
        <v>2.3805197107642229E-3</v>
      </c>
      <c r="E215" s="25">
        <v>7.0609341244004711E-2</v>
      </c>
      <c r="F215" s="25">
        <v>-4.0831915888639998E-2</v>
      </c>
      <c r="G215" s="25">
        <v>-0.26496809749421191</v>
      </c>
      <c r="H215" s="25">
        <v>4.4050687026491453E-2</v>
      </c>
      <c r="I215" s="25">
        <v>7.0609248990294887E-2</v>
      </c>
      <c r="J215" s="25">
        <v>6.2455287083582785E-2</v>
      </c>
      <c r="K215" s="25">
        <v>0.11105024616173878</v>
      </c>
      <c r="L215" s="25">
        <v>0.1735167813138678</v>
      </c>
      <c r="M215" s="25">
        <v>-9.1552519949944483E-2</v>
      </c>
      <c r="N215" s="25">
        <v>-2.3632936411218733E-3</v>
      </c>
      <c r="O215" s="25">
        <v>-9.0121718912349977E-2</v>
      </c>
      <c r="P215" s="25">
        <v>2.9845126666434546E-2</v>
      </c>
      <c r="Q215" s="25">
        <v>4.362593650835675E-2</v>
      </c>
      <c r="R215" s="25">
        <v>4.522755521502296E-2</v>
      </c>
      <c r="S215" s="25">
        <v>-4.5729874619438407E-2</v>
      </c>
      <c r="T215" s="25">
        <v>-4.8566809296097649E-2</v>
      </c>
      <c r="U215" s="25">
        <v>1.8087956331526028E-2</v>
      </c>
      <c r="V215" s="25">
        <v>0.12857519529933842</v>
      </c>
      <c r="W215" s="25">
        <v>0.15283346938296583</v>
      </c>
      <c r="X215" s="25">
        <v>0.10867260687364486</v>
      </c>
      <c r="Y215" s="25">
        <v>8.9904335830699872E-2</v>
      </c>
      <c r="Z215" s="25">
        <v>0.11663045864163006</v>
      </c>
      <c r="AA215" s="25">
        <v>0.4033839339717209</v>
      </c>
      <c r="AB215" s="25">
        <v>9.6898792339642995E-3</v>
      </c>
      <c r="AC215" s="25">
        <v>2.9383644101659057E-2</v>
      </c>
      <c r="AD215" s="25">
        <v>-1.8025762908821859E-2</v>
      </c>
      <c r="AE215" s="25">
        <v>-2.9972553353331807E-2</v>
      </c>
      <c r="AF215" s="25">
        <v>9.9227125657430498E-3</v>
      </c>
      <c r="AG215" s="45">
        <v>-1.1164633637779836E-2</v>
      </c>
      <c r="AI215" s="3" cm="1">
        <f t="array" ref="AI215">SQRT(INDEX(_xlfn.ANCHORARRAY($B$190),A215,A215))</f>
        <v>0.63512513253037062</v>
      </c>
      <c r="AJ215" s="23"/>
      <c r="AK215" s="3">
        <f t="shared" si="51"/>
        <v>0.58691823329046855</v>
      </c>
      <c r="AL215" s="105">
        <f t="shared" si="52"/>
        <v>0.95682116046598997</v>
      </c>
      <c r="AM215" s="108" t="str">
        <f t="shared" si="53"/>
        <v>Spełniony</v>
      </c>
      <c r="AN215" s="23"/>
      <c r="AO215" s="23"/>
      <c r="AP215" s="23"/>
      <c r="AQ215" s="23"/>
    </row>
    <row r="216" spans="1:43">
      <c r="A216">
        <v>27</v>
      </c>
      <c r="B216" s="67">
        <v>6.6268927975805761E-2</v>
      </c>
      <c r="C216" s="25">
        <v>9.6840403671162978E-2</v>
      </c>
      <c r="D216" s="25">
        <v>1.6376259943086828E-2</v>
      </c>
      <c r="E216" s="25">
        <v>-6.2547747775596269E-2</v>
      </c>
      <c r="F216" s="25">
        <v>0.1023080305955953</v>
      </c>
      <c r="G216" s="25">
        <v>-0.13402833715725837</v>
      </c>
      <c r="H216" s="25">
        <v>-0.2951647663323545</v>
      </c>
      <c r="I216" s="25">
        <v>-6.2547666054656031E-2</v>
      </c>
      <c r="J216" s="25">
        <v>8.2188016544886167E-2</v>
      </c>
      <c r="K216" s="25">
        <v>-1.5503003830108414E-2</v>
      </c>
      <c r="L216" s="25">
        <v>-2.1068124754105598E-2</v>
      </c>
      <c r="M216" s="25">
        <v>6.6268828966478843E-2</v>
      </c>
      <c r="N216" s="25">
        <v>7.5946182017718779E-3</v>
      </c>
      <c r="O216" s="25">
        <v>7.9936875021644656E-3</v>
      </c>
      <c r="P216" s="25">
        <v>-4.3344760484332751E-3</v>
      </c>
      <c r="Q216" s="25">
        <v>-2.2779028965461266E-2</v>
      </c>
      <c r="R216" s="25">
        <v>7.673547688908991E-2</v>
      </c>
      <c r="S216" s="25">
        <v>8.7719817493741997E-3</v>
      </c>
      <c r="T216" s="25">
        <v>8.2727917149427836E-3</v>
      </c>
      <c r="U216" s="25">
        <v>-0.10989953790021786</v>
      </c>
      <c r="V216" s="25">
        <v>-1.5255322514744957E-2</v>
      </c>
      <c r="W216" s="25">
        <v>-2.1548163081140659E-2</v>
      </c>
      <c r="X216" s="25">
        <v>-5.6842172200278991E-2</v>
      </c>
      <c r="Y216" s="25">
        <v>7.8530460986659528E-2</v>
      </c>
      <c r="Z216" s="25">
        <v>5.42531757554085E-3</v>
      </c>
      <c r="AA216" s="25">
        <v>9.6898792339642076E-3</v>
      </c>
      <c r="AB216" s="25">
        <v>0.51329303298862472</v>
      </c>
      <c r="AC216" s="25">
        <v>0.2394130917736971</v>
      </c>
      <c r="AD216" s="25">
        <v>-2.9543714658296128E-2</v>
      </c>
      <c r="AE216" s="25">
        <v>5.9494707351183833E-2</v>
      </c>
      <c r="AF216" s="25">
        <v>9.3651510324463283E-2</v>
      </c>
      <c r="AG216" s="45">
        <v>-3.2964199121395532E-2</v>
      </c>
      <c r="AI216" s="3" cm="1">
        <f t="array" ref="AI216">SQRT(INDEX(_xlfn.ANCHORARRAY($B$190),A216,A216))</f>
        <v>0.71644471732899584</v>
      </c>
      <c r="AJ216" s="23"/>
      <c r="AK216" s="3">
        <f t="shared" si="51"/>
        <v>0.66206554615427071</v>
      </c>
      <c r="AL216" s="105">
        <f t="shared" si="52"/>
        <v>0.24351598189923312</v>
      </c>
      <c r="AM216" s="108" t="str">
        <f t="shared" si="53"/>
        <v>Spełniony</v>
      </c>
      <c r="AN216" s="23"/>
      <c r="AO216" s="23"/>
      <c r="AP216" s="23"/>
      <c r="AQ216" s="23"/>
    </row>
    <row r="217" spans="1:43">
      <c r="A217">
        <v>28</v>
      </c>
      <c r="B217" s="67">
        <v>4.1566407837372032E-4</v>
      </c>
      <c r="C217" s="25">
        <v>-0.10709391282310644</v>
      </c>
      <c r="D217" s="25">
        <v>5.5094321129637844E-2</v>
      </c>
      <c r="E217" s="25">
        <v>-3.180898697656534E-2</v>
      </c>
      <c r="F217" s="25">
        <v>-7.8326267150415199E-2</v>
      </c>
      <c r="G217" s="25">
        <v>-3.4993143734999399E-2</v>
      </c>
      <c r="H217" s="25">
        <v>-0.13498676667465725</v>
      </c>
      <c r="I217" s="25">
        <v>-3.180894541694998E-2</v>
      </c>
      <c r="J217" s="25">
        <v>-4.3019553471066868E-2</v>
      </c>
      <c r="K217" s="25">
        <v>2.6508214634452798E-3</v>
      </c>
      <c r="L217" s="25">
        <v>1.3837523869852493E-2</v>
      </c>
      <c r="M217" s="25">
        <v>4.1566345734923849E-4</v>
      </c>
      <c r="N217" s="25">
        <v>1.2837846433232103E-2</v>
      </c>
      <c r="O217" s="25">
        <v>-1.416924235416479E-2</v>
      </c>
      <c r="P217" s="25">
        <v>1.1332034717352224E-2</v>
      </c>
      <c r="Q217" s="25">
        <v>3.5543014925591809E-2</v>
      </c>
      <c r="R217" s="25">
        <v>-9.080955442687548E-2</v>
      </c>
      <c r="S217" s="25">
        <v>2.8136266857432618E-2</v>
      </c>
      <c r="T217" s="25">
        <v>0.12283200245872436</v>
      </c>
      <c r="U217" s="25">
        <v>0.23372937763409363</v>
      </c>
      <c r="V217" s="25">
        <v>7.2691012995189652E-3</v>
      </c>
      <c r="W217" s="25">
        <v>-3.9004882057204412E-3</v>
      </c>
      <c r="X217" s="25">
        <v>2.4843235666918515E-2</v>
      </c>
      <c r="Y217" s="25">
        <v>-0.15265235747233377</v>
      </c>
      <c r="Z217" s="25">
        <v>9.5056864609957492E-2</v>
      </c>
      <c r="AA217" s="25">
        <v>2.9383644101659223E-2</v>
      </c>
      <c r="AB217" s="25">
        <v>0.23941309177369685</v>
      </c>
      <c r="AC217" s="25">
        <v>0.62511899112800018</v>
      </c>
      <c r="AD217" s="25">
        <v>1.1209286795961462E-2</v>
      </c>
      <c r="AE217" s="25">
        <v>-5.1782832520552852E-2</v>
      </c>
      <c r="AF217" s="25">
        <v>-0.12461436089327038</v>
      </c>
      <c r="AG217" s="45">
        <v>1.1512272199896076E-2</v>
      </c>
      <c r="AI217" s="3" cm="1">
        <f t="array" ref="AI217">SQRT(INDEX(_xlfn.ANCHORARRAY($B$190),A217,A217))</f>
        <v>0.79064466805765543</v>
      </c>
      <c r="AJ217" s="23"/>
      <c r="AK217" s="3">
        <f t="shared" si="51"/>
        <v>0.73063361528169146</v>
      </c>
      <c r="AL217" s="105">
        <f t="shared" si="52"/>
        <v>1.4126879373293513</v>
      </c>
      <c r="AM217" s="108" t="str">
        <f t="shared" si="53"/>
        <v>Spełniony</v>
      </c>
      <c r="AN217" s="23"/>
      <c r="AO217" s="23"/>
      <c r="AP217" s="23"/>
      <c r="AQ217" s="23"/>
    </row>
    <row r="218" spans="1:43">
      <c r="A218">
        <v>29</v>
      </c>
      <c r="B218" s="67">
        <v>-1.6586856350141302E-2</v>
      </c>
      <c r="C218" s="25">
        <v>-0.14947050802207185</v>
      </c>
      <c r="D218" s="25">
        <v>0.10557878183471543</v>
      </c>
      <c r="E218" s="25">
        <v>-1.6978084199756382E-2</v>
      </c>
      <c r="F218" s="25">
        <v>6.338058699457496E-3</v>
      </c>
      <c r="G218" s="25">
        <v>1.2498420698125335E-3</v>
      </c>
      <c r="H218" s="25">
        <v>2.2560565015294524E-2</v>
      </c>
      <c r="I218" s="25">
        <v>-1.6978062017262891E-2</v>
      </c>
      <c r="J218" s="25">
        <v>8.1304283303928859E-2</v>
      </c>
      <c r="K218" s="25">
        <v>2.4579881662974055E-2</v>
      </c>
      <c r="L218" s="25">
        <v>5.0264570014402722E-3</v>
      </c>
      <c r="M218" s="25">
        <v>-1.65868315684897E-2</v>
      </c>
      <c r="N218" s="25">
        <v>-8.2305825815446765E-2</v>
      </c>
      <c r="O218" s="25">
        <v>4.8575950971193042E-2</v>
      </c>
      <c r="P218" s="25">
        <v>-3.9052776029050343E-2</v>
      </c>
      <c r="Q218" s="25">
        <v>-4.8160819694688141E-2</v>
      </c>
      <c r="R218" s="25">
        <v>-3.5277901098467283E-2</v>
      </c>
      <c r="S218" s="25">
        <v>-0.10959516337618577</v>
      </c>
      <c r="T218" s="25">
        <v>7.8859825787565521E-2</v>
      </c>
      <c r="U218" s="25">
        <v>0.1181164011853631</v>
      </c>
      <c r="V218" s="25">
        <v>-3.9278072864108809E-2</v>
      </c>
      <c r="W218" s="25">
        <v>2.751114949087953E-2</v>
      </c>
      <c r="X218" s="25">
        <v>9.8779124407706531E-2</v>
      </c>
      <c r="Y218" s="25">
        <v>-2.2902371699889526E-2</v>
      </c>
      <c r="Z218" s="25">
        <v>-4.6084066425765881E-2</v>
      </c>
      <c r="AA218" s="25">
        <v>-1.8025762908821859E-2</v>
      </c>
      <c r="AB218" s="25">
        <v>-2.9543714658296104E-2</v>
      </c>
      <c r="AC218" s="25">
        <v>1.1209286795961452E-2</v>
      </c>
      <c r="AD218" s="25">
        <v>0.58632147381766908</v>
      </c>
      <c r="AE218" s="25">
        <v>0.21014751855586147</v>
      </c>
      <c r="AF218" s="25">
        <v>0.28681566096324862</v>
      </c>
      <c r="AG218" s="45">
        <v>0.10622966540188541</v>
      </c>
      <c r="AI218" s="3" cm="1">
        <f t="array" ref="AI218">SQRT(INDEX(_xlfn.ANCHORARRAY($B$190),A218,A218))</f>
        <v>0.76571631419062047</v>
      </c>
      <c r="AJ218" s="23"/>
      <c r="AK218" s="3">
        <f t="shared" si="51"/>
        <v>0.70759735886370101</v>
      </c>
      <c r="AL218" s="105">
        <f t="shared" si="52"/>
        <v>0.6618814492048346</v>
      </c>
      <c r="AM218" s="108" t="str">
        <f t="shared" si="53"/>
        <v>Spełniony</v>
      </c>
      <c r="AN218" s="23"/>
      <c r="AO218" s="23"/>
      <c r="AP218" s="23"/>
      <c r="AQ218" s="23"/>
    </row>
    <row r="219" spans="1:43">
      <c r="A219">
        <v>30</v>
      </c>
      <c r="B219" s="67">
        <v>3.8755575361244424E-2</v>
      </c>
      <c r="C219" s="25">
        <v>8.1827855951384171E-2</v>
      </c>
      <c r="D219" s="25">
        <v>-0.18803984729517512</v>
      </c>
      <c r="E219" s="25">
        <v>3.2196620368209833E-2</v>
      </c>
      <c r="F219" s="25">
        <v>9.7800324358733315E-2</v>
      </c>
      <c r="G219" s="25">
        <v>-4.3483204646852208E-2</v>
      </c>
      <c r="H219" s="25">
        <v>-2.8769850994326558E-2</v>
      </c>
      <c r="I219" s="25">
        <v>3.2196578302137291E-2</v>
      </c>
      <c r="J219" s="25">
        <v>-0.144815015043261</v>
      </c>
      <c r="K219" s="25">
        <v>-1.199121594826974E-2</v>
      </c>
      <c r="L219" s="25">
        <v>-2.6509766918873821E-2</v>
      </c>
      <c r="M219" s="25">
        <v>3.8755517458339453E-2</v>
      </c>
      <c r="N219" s="25">
        <v>-1.2598692027296261E-2</v>
      </c>
      <c r="O219" s="25">
        <v>2.1827128984113615E-2</v>
      </c>
      <c r="P219" s="25">
        <v>-1.4134201505454969E-2</v>
      </c>
      <c r="Q219" s="25">
        <v>-3.7629014560875314E-2</v>
      </c>
      <c r="R219" s="25">
        <v>7.8466989716046945E-2</v>
      </c>
      <c r="S219" s="25">
        <v>-2.1289059140880917E-2</v>
      </c>
      <c r="T219" s="25">
        <v>-2.5387443585241896E-2</v>
      </c>
      <c r="U219" s="25">
        <v>0.21208096964396192</v>
      </c>
      <c r="V219" s="25">
        <v>-2.2079293852060172E-2</v>
      </c>
      <c r="W219" s="25">
        <v>-1.2790576887511548E-2</v>
      </c>
      <c r="X219" s="25">
        <v>-3.4295630681776837E-2</v>
      </c>
      <c r="Y219" s="25">
        <v>0.10625270831937408</v>
      </c>
      <c r="Z219" s="25">
        <v>-7.1146535446936776E-3</v>
      </c>
      <c r="AA219" s="25">
        <v>-2.9972553353331849E-2</v>
      </c>
      <c r="AB219" s="25">
        <v>5.9494707351183819E-2</v>
      </c>
      <c r="AC219" s="25">
        <v>-5.1782832520552741E-2</v>
      </c>
      <c r="AD219" s="25">
        <v>0.21014751855586147</v>
      </c>
      <c r="AE219" s="25">
        <v>0.33667348884173998</v>
      </c>
      <c r="AF219" s="25">
        <v>0.15191987315971966</v>
      </c>
      <c r="AG219" s="45">
        <v>-8.8585485592613568E-3</v>
      </c>
      <c r="AI219" s="3" cm="1">
        <f t="array" ref="AI219">SQRT(INDEX(_xlfn.ANCHORARRAY($B$190),A219,A219))</f>
        <v>0.58023571834362275</v>
      </c>
      <c r="AJ219" s="23"/>
      <c r="AK219" s="3">
        <f t="shared" si="51"/>
        <v>0.53619500356645144</v>
      </c>
      <c r="AL219" s="105">
        <f t="shared" si="52"/>
        <v>1.1146166758578444</v>
      </c>
      <c r="AM219" s="108" t="str">
        <f t="shared" si="53"/>
        <v>Spełniony</v>
      </c>
      <c r="AN219" s="23"/>
      <c r="AO219" s="23"/>
      <c r="AP219" s="23"/>
      <c r="AQ219" s="23"/>
    </row>
    <row r="220" spans="1:43">
      <c r="A220">
        <v>31</v>
      </c>
      <c r="B220" s="67">
        <v>-4.7150526264178844E-2</v>
      </c>
      <c r="C220" s="25">
        <v>0.13466997998523331</v>
      </c>
      <c r="D220" s="25">
        <v>0.11134325647389892</v>
      </c>
      <c r="E220" s="25">
        <v>-5.0125935394006331E-2</v>
      </c>
      <c r="F220" s="25">
        <v>-0.16543661845254165</v>
      </c>
      <c r="G220" s="25">
        <v>1.4664953617849058E-2</v>
      </c>
      <c r="H220" s="25">
        <v>-4.2221026929326562E-2</v>
      </c>
      <c r="I220" s="25">
        <v>-5.0125869902622029E-2</v>
      </c>
      <c r="J220" s="25">
        <v>2.519726536434155E-2</v>
      </c>
      <c r="K220" s="25">
        <v>4.0805564456994244E-3</v>
      </c>
      <c r="L220" s="25">
        <v>5.7992645260746219E-2</v>
      </c>
      <c r="M220" s="25">
        <v>-4.7150455818767777E-2</v>
      </c>
      <c r="N220" s="25">
        <v>5.1910758627491727E-2</v>
      </c>
      <c r="O220" s="25">
        <v>-4.3700854787213014E-2</v>
      </c>
      <c r="P220" s="25">
        <v>2.1173193004731083E-2</v>
      </c>
      <c r="Q220" s="25">
        <v>4.2513252302088918E-2</v>
      </c>
      <c r="R220" s="25">
        <v>-3.104007110158985E-2</v>
      </c>
      <c r="S220" s="25">
        <v>0.10230803413675299</v>
      </c>
      <c r="T220" s="25">
        <v>-2.0974630436492614E-2</v>
      </c>
      <c r="U220" s="25">
        <v>-6.4629207329711474E-2</v>
      </c>
      <c r="V220" s="25">
        <v>-1.9213058501066305E-2</v>
      </c>
      <c r="W220" s="25">
        <v>-5.1968137285802726E-2</v>
      </c>
      <c r="X220" s="25">
        <v>-8.0788575842973345E-2</v>
      </c>
      <c r="Y220" s="25">
        <v>6.6207319781938848E-2</v>
      </c>
      <c r="Z220" s="25">
        <v>7.5839739282160465E-2</v>
      </c>
      <c r="AA220" s="25">
        <v>9.9227125657430637E-3</v>
      </c>
      <c r="AB220" s="25">
        <v>9.3651510324463158E-2</v>
      </c>
      <c r="AC220" s="25">
        <v>-0.12461436089327045</v>
      </c>
      <c r="AD220" s="25">
        <v>0.28681566096324862</v>
      </c>
      <c r="AE220" s="25">
        <v>0.15191987315971961</v>
      </c>
      <c r="AF220" s="25">
        <v>0.50536363212240565</v>
      </c>
      <c r="AG220" s="45">
        <v>-6.4844976329674509E-2</v>
      </c>
      <c r="AI220" s="3" cm="1">
        <f t="array" ref="AI220">SQRT(INDEX(_xlfn.ANCHORARRAY($B$190),A220,A220))</f>
        <v>0.71088932480549016</v>
      </c>
      <c r="AJ220" s="23"/>
      <c r="AK220" s="3">
        <f t="shared" si="51"/>
        <v>0.65693181581023474</v>
      </c>
      <c r="AL220" s="105">
        <f t="shared" si="52"/>
        <v>0.127210072195131</v>
      </c>
      <c r="AM220" s="108" t="str">
        <f t="shared" si="53"/>
        <v>Spełniony</v>
      </c>
      <c r="AN220" s="23"/>
      <c r="AO220" s="23"/>
      <c r="AP220" s="23"/>
      <c r="AQ220" s="23"/>
    </row>
    <row r="221" spans="1:43">
      <c r="A221">
        <v>32</v>
      </c>
      <c r="B221" s="68">
        <v>2.5867361300831088E-2</v>
      </c>
      <c r="C221" s="32">
        <v>7.4894806747873535E-2</v>
      </c>
      <c r="D221" s="32">
        <v>1.9762941399467493E-2</v>
      </c>
      <c r="E221" s="32">
        <v>1.2229241617681387E-2</v>
      </c>
      <c r="F221" s="32">
        <v>8.5349249445453301E-2</v>
      </c>
      <c r="G221" s="32">
        <v>-8.2415485793311122E-3</v>
      </c>
      <c r="H221" s="32">
        <v>1.3461567189908583E-2</v>
      </c>
      <c r="I221" s="32">
        <v>1.2229225639725928E-2</v>
      </c>
      <c r="J221" s="32">
        <v>3.5946242710450875E-2</v>
      </c>
      <c r="K221" s="32">
        <v>-2.3878893731126692E-2</v>
      </c>
      <c r="L221" s="32">
        <v>-1.5634494023554161E-2</v>
      </c>
      <c r="M221" s="32">
        <v>2.5867322653608138E-2</v>
      </c>
      <c r="N221" s="32">
        <v>0.15574578324700883</v>
      </c>
      <c r="O221" s="32">
        <v>-2.3288387740575997E-2</v>
      </c>
      <c r="P221" s="32">
        <v>-0.16598392079271426</v>
      </c>
      <c r="Q221" s="32">
        <v>5.3175637621074461E-2</v>
      </c>
      <c r="R221" s="32">
        <v>-0.13658357554618675</v>
      </c>
      <c r="S221" s="32">
        <v>-0.27301598336210248</v>
      </c>
      <c r="T221" s="32">
        <v>8.9448944319483442E-2</v>
      </c>
      <c r="U221" s="32">
        <v>-2.2936981086509108E-2</v>
      </c>
      <c r="V221" s="32">
        <v>1.2746454155899659E-2</v>
      </c>
      <c r="W221" s="32">
        <v>3.9576711371275775E-2</v>
      </c>
      <c r="X221" s="32">
        <v>6.8322065223417966E-2</v>
      </c>
      <c r="Y221" s="32">
        <v>-5.3878319440112288E-2</v>
      </c>
      <c r="Z221" s="32">
        <v>-5.5602277672701275E-2</v>
      </c>
      <c r="AA221" s="32">
        <v>-1.1164633637779822E-2</v>
      </c>
      <c r="AB221" s="32">
        <v>-3.2964199121395456E-2</v>
      </c>
      <c r="AC221" s="32">
        <v>1.1512272199896038E-2</v>
      </c>
      <c r="AD221" s="32">
        <v>0.10622966540188528</v>
      </c>
      <c r="AE221" s="32">
        <v>-8.8585485592612007E-3</v>
      </c>
      <c r="AF221" s="32">
        <v>-6.4844976329674467E-2</v>
      </c>
      <c r="AG221" s="49">
        <v>0.28431056804682764</v>
      </c>
      <c r="AI221" s="3" cm="1">
        <f t="array" ref="AI221">SQRT(INDEX(_xlfn.ANCHORARRAY($B$190),A221,A221))</f>
        <v>0.53320780943908508</v>
      </c>
      <c r="AJ221" s="23"/>
      <c r="AK221" s="4">
        <f t="shared" si="51"/>
        <v>0.49273657971282364</v>
      </c>
      <c r="AL221" s="106">
        <f t="shared" si="52"/>
        <v>0.96460330088522661</v>
      </c>
      <c r="AM221" s="109" t="str">
        <f t="shared" si="53"/>
        <v>Spełniony</v>
      </c>
      <c r="AN221" s="23"/>
      <c r="AO221" s="23"/>
      <c r="AP221" s="23"/>
      <c r="AQ221" s="23"/>
    </row>
  </sheetData>
  <mergeCells count="17">
    <mergeCell ref="B189:AG189"/>
    <mergeCell ref="AO189:AP189"/>
    <mergeCell ref="AO192:AP192"/>
    <mergeCell ref="AK188:AM188"/>
    <mergeCell ref="U91:AZ91"/>
    <mergeCell ref="AJ154:BO154"/>
    <mergeCell ref="A126:A128"/>
    <mergeCell ref="A147:A149"/>
    <mergeCell ref="R130:T130"/>
    <mergeCell ref="B130:Q130"/>
    <mergeCell ref="B154:AG154"/>
    <mergeCell ref="P3:R3"/>
    <mergeCell ref="B39:Q39"/>
    <mergeCell ref="S39:S41"/>
    <mergeCell ref="B75:Q75"/>
    <mergeCell ref="R109:T109"/>
    <mergeCell ref="B109:Q109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mc="http://schemas.openxmlformats.org/markup-compatibility/2006" xmlns:x14ac="http://schemas.microsoft.com/office/spreadsheetml/2009/9/ac" xmlns:xr="http://schemas.microsoft.com/office/spreadsheetml/2014/revision" mc:Ignorable="x14ac xr xr2 xr3" xr:uid="{00000000-0001-0000-0200-000000000000}">
  <dimension ref="A3:BT221"/>
  <sheetViews>
    <sheetView workbookViewId="0"/>
  </sheetViews>
  <sheetFormatPr baseColWidth="10" defaultColWidth="8.83203125" defaultRowHeight="15"/>
  <cols>
    <col min="1" max="1" width="5" customWidth="1"/>
    <col min="2" max="4" width="10" customWidth="1"/>
    <col min="5" max="5" width="12" customWidth="1"/>
    <col min="6" max="7" width="10" customWidth="1"/>
    <col min="8" max="13" width="11" customWidth="1"/>
    <col min="14" max="16" width="12" customWidth="1"/>
    <col min="17" max="23" width="11" customWidth="1"/>
  </cols>
  <sheetData>
    <row r="3" spans="2:18" ht="18" customHeight="1">
      <c r="B3" s="408" t="s">
        <v>4</v>
      </c>
      <c r="C3" s="409" t="s">
        <v>5</v>
      </c>
      <c r="D3" s="409" t="s">
        <v>6</v>
      </c>
      <c r="E3" s="409" t="s">
        <v>16</v>
      </c>
      <c r="F3" s="409" t="s">
        <v>17</v>
      </c>
      <c r="G3" s="409" t="s">
        <v>18</v>
      </c>
      <c r="H3" s="409" t="s">
        <v>19</v>
      </c>
      <c r="I3" s="409" t="s">
        <v>20</v>
      </c>
      <c r="J3" s="409" t="s">
        <v>21</v>
      </c>
      <c r="K3" s="409" t="s">
        <v>22</v>
      </c>
      <c r="L3" s="409" t="s">
        <v>23</v>
      </c>
      <c r="M3" s="410" t="s">
        <v>24</v>
      </c>
      <c r="N3" s="411"/>
      <c r="O3" s="411"/>
      <c r="P3" s="412" t="s">
        <v>3</v>
      </c>
      <c r="Q3" s="255"/>
      <c r="R3" s="256"/>
    </row>
    <row r="4" spans="2:18">
      <c r="B4" s="34">
        <f>Dane!F5</f>
        <v>7</v>
      </c>
      <c r="C4" s="35">
        <f>Dane!G5</f>
        <v>1</v>
      </c>
      <c r="D4" s="35">
        <f>Dane!H5</f>
        <v>0</v>
      </c>
      <c r="E4" s="35">
        <f>Dane!I5</f>
        <v>271.702</v>
      </c>
      <c r="F4" s="35">
        <f>Dane!M5-Dane!M11</f>
        <v>60</v>
      </c>
      <c r="G4" s="35">
        <f>Dane!N5-Dane!N11</f>
        <v>-265</v>
      </c>
      <c r="H4" s="36">
        <f>SQRT(F4^2+G4^2)</f>
        <v>271.70756338387048</v>
      </c>
      <c r="I4" s="35">
        <f>IF(ATAN2(F4,G4)*200/PI()&lt;0,ATAN2(F4,G4)*200/PI()+400)</f>
        <v>314.17503573430741</v>
      </c>
      <c r="J4" s="35">
        <f>SIN(I4*PI()/200)</f>
        <v>-0.97531329897359553</v>
      </c>
      <c r="K4" s="35">
        <f>COS(I4*PI()/200)</f>
        <v>0.22082565259779471</v>
      </c>
      <c r="L4" s="111">
        <f>0.001+0.000001*E4</f>
        <v>1.271702E-3</v>
      </c>
      <c r="M4" s="38">
        <f>H4-E4</f>
        <v>5.5633838704807204E-3</v>
      </c>
      <c r="N4" s="413"/>
      <c r="O4" s="413"/>
      <c r="P4" s="414" t="s">
        <v>8</v>
      </c>
      <c r="Q4" s="6" t="s">
        <v>9</v>
      </c>
      <c r="R4" s="7" t="s">
        <v>10</v>
      </c>
    </row>
    <row r="5" spans="2:18">
      <c r="B5" s="34">
        <f>Dane!F6</f>
        <v>7</v>
      </c>
      <c r="C5" s="35">
        <f>Dane!G6</f>
        <v>5</v>
      </c>
      <c r="D5" s="35">
        <f>Dane!H6</f>
        <v>0</v>
      </c>
      <c r="E5" s="35">
        <f>Dane!I6</f>
        <v>155.72790000000001</v>
      </c>
      <c r="F5" s="1">
        <f>Dane!M9-Dane!M11</f>
        <v>115</v>
      </c>
      <c r="G5" s="1">
        <f>Dane!N9-Dane!N11</f>
        <v>105</v>
      </c>
      <c r="H5" s="24">
        <f t="shared" ref="H5:H23" si="0">SQRT(F5^2+G5^2)</f>
        <v>155.72411502397438</v>
      </c>
      <c r="I5" s="1">
        <f>IF(ATAN2(F5,G5)*200/PI()&lt;0,ATAN2(F5,G5)*200/PI()+400,ATAN2(F5,G5)*200/PI())</f>
        <v>47.108264219444663</v>
      </c>
      <c r="J5" s="1">
        <f t="shared" ref="J5:J23" si="1">SIN(I5*PI()/200)</f>
        <v>0.67426936402133231</v>
      </c>
      <c r="K5" s="1">
        <f t="shared" ref="K5:K23" si="2">COS(I5*PI()/200)</f>
        <v>0.7384854939281259</v>
      </c>
      <c r="L5" s="26">
        <f t="shared" ref="L5:L23" si="3">0.001+0.000001*E5</f>
        <v>1.1557278999999999E-3</v>
      </c>
      <c r="M5" s="30">
        <f t="shared" ref="M5:M23" si="4">H5-E5</f>
        <v>-3.7849760256278842E-3</v>
      </c>
      <c r="P5" s="8">
        <v>1</v>
      </c>
      <c r="Q5" s="9">
        <v>240</v>
      </c>
      <c r="R5" s="10">
        <v>120</v>
      </c>
    </row>
    <row r="6" spans="2:18">
      <c r="B6" s="34">
        <f>Dane!F7</f>
        <v>7</v>
      </c>
      <c r="C6" s="35">
        <f>Dane!G7</f>
        <v>6</v>
      </c>
      <c r="D6" s="35">
        <f>Dane!H7</f>
        <v>0</v>
      </c>
      <c r="E6" s="35">
        <f>Dane!I7</f>
        <v>178.46850000000001</v>
      </c>
      <c r="F6" s="1">
        <f>Dane!M10-Dane!M11</f>
        <v>-35</v>
      </c>
      <c r="G6" s="1">
        <f>Dane!N10-Dane!N11</f>
        <v>175</v>
      </c>
      <c r="H6" s="24">
        <f t="shared" si="0"/>
        <v>178.46568297574746</v>
      </c>
      <c r="I6" s="1">
        <f>IF(ATAN2(F6,G6)*200/PI()&lt;0,ATAN2(F6,G6)*200/PI()+400,ATAN2(F6,G6)*200/PI())</f>
        <v>112.56659163780024</v>
      </c>
      <c r="J6" s="1">
        <f t="shared" si="1"/>
        <v>0.98058067569092011</v>
      </c>
      <c r="K6" s="1">
        <f t="shared" si="2"/>
        <v>-0.1961161351381841</v>
      </c>
      <c r="L6" s="26">
        <f t="shared" si="3"/>
        <v>1.1784685E-3</v>
      </c>
      <c r="M6" s="30">
        <f t="shared" si="4"/>
        <v>-2.8170242525504818E-3</v>
      </c>
      <c r="P6" s="11">
        <v>2</v>
      </c>
      <c r="Q6" s="1">
        <v>385</v>
      </c>
      <c r="R6" s="12">
        <v>145</v>
      </c>
    </row>
    <row r="7" spans="2:18">
      <c r="B7" s="34">
        <f>Dane!F8</f>
        <v>7</v>
      </c>
      <c r="C7" s="35">
        <f>Dane!G8</f>
        <v>8</v>
      </c>
      <c r="D7" s="35">
        <f>Dane!H8</f>
        <v>0</v>
      </c>
      <c r="E7" s="35">
        <f>Dane!I8</f>
        <v>148.06890000000001</v>
      </c>
      <c r="F7" s="1">
        <f>Dane!M12-Dane!M11</f>
        <v>-30</v>
      </c>
      <c r="G7" s="1">
        <f>Dane!N12-Dane!N11</f>
        <v>-145</v>
      </c>
      <c r="H7" s="24">
        <f t="shared" si="0"/>
        <v>148.07092894960846</v>
      </c>
      <c r="I7" s="1">
        <f t="shared" ref="I7:I23" si="5">IF(ATAN2(F7,G7)*200/PI()&lt;0,ATAN2(F7,G7)*200/PI()+400)</f>
        <v>287.01181202728981</v>
      </c>
      <c r="J7" s="1">
        <f t="shared" si="1"/>
        <v>-0.97926041950710285</v>
      </c>
      <c r="K7" s="1">
        <f t="shared" si="2"/>
        <v>-0.20260560403595176</v>
      </c>
      <c r="L7" s="26">
        <f t="shared" si="3"/>
        <v>1.1480689E-3</v>
      </c>
      <c r="M7" s="30">
        <f t="shared" si="4"/>
        <v>2.0289496084444636E-3</v>
      </c>
      <c r="P7" s="11">
        <v>3</v>
      </c>
      <c r="Q7" s="1">
        <v>475</v>
      </c>
      <c r="R7" s="12">
        <v>245</v>
      </c>
    </row>
    <row r="8" spans="2:18">
      <c r="B8" s="34">
        <f>Dane!F9</f>
        <v>7</v>
      </c>
      <c r="C8" s="35">
        <f>Dane!G9</f>
        <v>9</v>
      </c>
      <c r="D8" s="35">
        <f>Dane!H9</f>
        <v>0</v>
      </c>
      <c r="E8" s="35">
        <f>Dane!I9</f>
        <v>174.52199999999999</v>
      </c>
      <c r="F8" s="1">
        <f>Dane!M13-Dane!M11</f>
        <v>133</v>
      </c>
      <c r="G8" s="1">
        <f>Dane!N13-Dane!N11</f>
        <v>-113</v>
      </c>
      <c r="H8" s="24">
        <f t="shared" si="0"/>
        <v>174.52220489095365</v>
      </c>
      <c r="I8" s="1">
        <f t="shared" si="5"/>
        <v>355.16441187931889</v>
      </c>
      <c r="J8" s="1">
        <f t="shared" si="1"/>
        <v>-0.64748207868795626</v>
      </c>
      <c r="K8" s="1">
        <f t="shared" si="2"/>
        <v>0.76208067668582391</v>
      </c>
      <c r="L8" s="26">
        <f t="shared" si="3"/>
        <v>1.1745219999999999E-3</v>
      </c>
      <c r="M8" s="30">
        <f t="shared" si="4"/>
        <v>2.0489095365405774E-4</v>
      </c>
      <c r="P8" s="11">
        <v>4</v>
      </c>
      <c r="Q8" s="1">
        <v>435</v>
      </c>
      <c r="R8" s="12">
        <v>435</v>
      </c>
    </row>
    <row r="9" spans="2:18">
      <c r="B9" s="34">
        <f>Dane!F10</f>
        <v>8</v>
      </c>
      <c r="C9" s="35">
        <f>Dane!G10</f>
        <v>1</v>
      </c>
      <c r="D9" s="35">
        <f>Dane!H10</f>
        <v>0</v>
      </c>
      <c r="E9" s="35">
        <f>Dane!I10</f>
        <v>150.00059999999999</v>
      </c>
      <c r="F9" s="1">
        <f>Dane!M5-Dane!M12</f>
        <v>90</v>
      </c>
      <c r="G9" s="1">
        <f>Dane!N5-Dane!N12</f>
        <v>-120</v>
      </c>
      <c r="H9" s="24">
        <f t="shared" si="0"/>
        <v>150</v>
      </c>
      <c r="I9" s="1">
        <f t="shared" si="5"/>
        <v>340.96655293982667</v>
      </c>
      <c r="J9" s="1">
        <f t="shared" si="1"/>
        <v>-0.80000000000000016</v>
      </c>
      <c r="K9" s="1">
        <f t="shared" si="2"/>
        <v>0.59999999999999976</v>
      </c>
      <c r="L9" s="26">
        <f t="shared" si="3"/>
        <v>1.1500006E-3</v>
      </c>
      <c r="M9" s="30">
        <f t="shared" si="4"/>
        <v>-5.9999999999149622E-4</v>
      </c>
      <c r="P9" s="11">
        <v>5</v>
      </c>
      <c r="Q9" s="1">
        <v>295</v>
      </c>
      <c r="R9" s="12">
        <v>490</v>
      </c>
    </row>
    <row r="10" spans="2:18">
      <c r="B10" s="34">
        <f>Dane!F11</f>
        <v>8</v>
      </c>
      <c r="C10" s="35">
        <f>Dane!G11</f>
        <v>9</v>
      </c>
      <c r="D10" s="35">
        <f>Dane!H11</f>
        <v>0</v>
      </c>
      <c r="E10" s="35">
        <f>Dane!I11</f>
        <v>166.11449999999999</v>
      </c>
      <c r="F10" s="1">
        <f>Dane!M13-Dane!M12</f>
        <v>163</v>
      </c>
      <c r="G10" s="1">
        <f>Dane!N13-Dane!N12</f>
        <v>32</v>
      </c>
      <c r="H10" s="24">
        <f t="shared" si="0"/>
        <v>166.11140839809889</v>
      </c>
      <c r="I10" s="1">
        <f>IF(ATAN2(F10,G10)*200/PI()&lt;0,ATAN2(F10,G10)*200/PI()+400,ATAN2(F10,G10)*200/PI())</f>
        <v>12.341107419302547</v>
      </c>
      <c r="J10" s="1">
        <f t="shared" si="1"/>
        <v>0.19264179569960369</v>
      </c>
      <c r="K10" s="1">
        <f t="shared" si="2"/>
        <v>0.98126914684485633</v>
      </c>
      <c r="L10" s="26">
        <f t="shared" si="3"/>
        <v>1.1661144999999999E-3</v>
      </c>
      <c r="M10" s="30">
        <f t="shared" si="4"/>
        <v>-3.0916019011044682E-3</v>
      </c>
      <c r="P10" s="11">
        <v>6</v>
      </c>
      <c r="Q10" s="1">
        <v>145</v>
      </c>
      <c r="R10" s="12">
        <v>560</v>
      </c>
    </row>
    <row r="11" spans="2:18">
      <c r="B11" s="34">
        <f>Dane!F12</f>
        <v>8</v>
      </c>
      <c r="C11" s="35">
        <f>Dane!G12</f>
        <v>7</v>
      </c>
      <c r="D11" s="35">
        <f>Dane!H12</f>
        <v>0</v>
      </c>
      <c r="E11" s="35">
        <f>Dane!I12</f>
        <v>148.0712</v>
      </c>
      <c r="F11" s="1">
        <f>Dane!M11-Dane!M12</f>
        <v>30</v>
      </c>
      <c r="G11" s="1">
        <f>Dane!N11-Dane!N12</f>
        <v>145</v>
      </c>
      <c r="H11" s="24">
        <f t="shared" si="0"/>
        <v>148.07092894960846</v>
      </c>
      <c r="I11" s="1">
        <f t="shared" ref="I11:I19" si="6">IF(ATAN2(F11,G11)*200/PI()&lt;0,ATAN2(F11,G11)*200/PI()+400,ATAN2(F11,G11)*200/PI())</f>
        <v>87.011812027289793</v>
      </c>
      <c r="J11" s="1">
        <f t="shared" si="1"/>
        <v>0.97926041950710274</v>
      </c>
      <c r="K11" s="1">
        <f t="shared" si="2"/>
        <v>0.20260560403595229</v>
      </c>
      <c r="L11" s="26">
        <f t="shared" si="3"/>
        <v>1.1480711999999999E-3</v>
      </c>
      <c r="M11" s="30">
        <f t="shared" si="4"/>
        <v>-2.7105039154662336E-4</v>
      </c>
      <c r="P11" s="11">
        <v>7</v>
      </c>
      <c r="Q11" s="1">
        <v>180</v>
      </c>
      <c r="R11" s="12">
        <v>385</v>
      </c>
    </row>
    <row r="12" spans="2:18">
      <c r="B12" s="34">
        <f>Dane!F13</f>
        <v>8</v>
      </c>
      <c r="C12" s="35">
        <f>Dane!G13</f>
        <v>6</v>
      </c>
      <c r="D12" s="35">
        <f>Dane!H13</f>
        <v>0</v>
      </c>
      <c r="E12" s="35">
        <f>Dane!I13</f>
        <v>320.04450000000003</v>
      </c>
      <c r="F12" s="1">
        <f>Dane!M10-Dane!M12</f>
        <v>-5</v>
      </c>
      <c r="G12" s="1">
        <f>Dane!N10-Dane!N12</f>
        <v>320</v>
      </c>
      <c r="H12" s="24">
        <f t="shared" si="0"/>
        <v>320.03906011610519</v>
      </c>
      <c r="I12" s="1">
        <f t="shared" si="6"/>
        <v>100.99463745579008</v>
      </c>
      <c r="J12" s="1">
        <f t="shared" si="1"/>
        <v>0.99987795203469532</v>
      </c>
      <c r="K12" s="1">
        <f t="shared" si="2"/>
        <v>-1.5623093000542007E-2</v>
      </c>
      <c r="L12" s="26">
        <f t="shared" si="3"/>
        <v>1.3200445E-3</v>
      </c>
      <c r="M12" s="30">
        <f t="shared" si="4"/>
        <v>-5.4398838948372941E-3</v>
      </c>
      <c r="P12" s="11">
        <v>8</v>
      </c>
      <c r="Q12" s="1">
        <v>150</v>
      </c>
      <c r="R12" s="12">
        <v>240</v>
      </c>
    </row>
    <row r="13" spans="2:18">
      <c r="B13" s="34">
        <f>Dane!F14</f>
        <v>1</v>
      </c>
      <c r="C13" s="35">
        <f>Dane!G14</f>
        <v>2</v>
      </c>
      <c r="D13" s="35">
        <f>Dane!H14</f>
        <v>0</v>
      </c>
      <c r="E13" s="35">
        <f>Dane!I14</f>
        <v>147.1241</v>
      </c>
      <c r="F13" s="1">
        <f>Dane!M6-Dane!M5</f>
        <v>145</v>
      </c>
      <c r="G13" s="1">
        <f>Dane!N6-Dane!N5</f>
        <v>25</v>
      </c>
      <c r="H13" s="24">
        <f t="shared" si="0"/>
        <v>147.13938969562162</v>
      </c>
      <c r="I13" s="1">
        <f t="shared" si="6"/>
        <v>10.869341146452541</v>
      </c>
      <c r="J13" s="1">
        <f t="shared" si="1"/>
        <v>0.16990691650764622</v>
      </c>
      <c r="K13" s="1">
        <f t="shared" si="2"/>
        <v>0.985460115744348</v>
      </c>
      <c r="L13" s="26">
        <f t="shared" si="3"/>
        <v>1.1471241000000001E-3</v>
      </c>
      <c r="M13" s="30">
        <f t="shared" si="4"/>
        <v>1.5289695621618193E-2</v>
      </c>
      <c r="P13" s="13">
        <v>9</v>
      </c>
      <c r="Q13" s="14">
        <v>314</v>
      </c>
      <c r="R13" s="15">
        <v>271</v>
      </c>
    </row>
    <row r="14" spans="2:18">
      <c r="B14" s="34">
        <f>Dane!F15</f>
        <v>1</v>
      </c>
      <c r="C14" s="35">
        <f>Dane!G15</f>
        <v>9</v>
      </c>
      <c r="D14" s="35">
        <f>Dane!H15</f>
        <v>0</v>
      </c>
      <c r="E14" s="35">
        <f>Dane!I15</f>
        <v>168.61080000000001</v>
      </c>
      <c r="F14" s="1">
        <f>Dane!M13-Dane!M5</f>
        <v>73</v>
      </c>
      <c r="G14" s="1">
        <f>Dane!N13-Dane!N5</f>
        <v>152</v>
      </c>
      <c r="H14" s="24">
        <f t="shared" si="0"/>
        <v>168.62087652482418</v>
      </c>
      <c r="I14" s="1">
        <f t="shared" si="6"/>
        <v>71.496378905738268</v>
      </c>
      <c r="J14" s="1">
        <f t="shared" si="1"/>
        <v>0.90143049385479113</v>
      </c>
      <c r="K14" s="1">
        <f t="shared" si="2"/>
        <v>0.43292385560131397</v>
      </c>
      <c r="L14" s="26">
        <f t="shared" si="3"/>
        <v>1.1686108000000001E-3</v>
      </c>
      <c r="M14" s="30">
        <f t="shared" si="4"/>
        <v>1.0076524824171429E-2</v>
      </c>
    </row>
    <row r="15" spans="2:18">
      <c r="B15" s="34">
        <f>Dane!F16</f>
        <v>1</v>
      </c>
      <c r="C15" s="35">
        <f>Dane!G16</f>
        <v>7</v>
      </c>
      <c r="D15" s="35">
        <f>Dane!H16</f>
        <v>0</v>
      </c>
      <c r="E15" s="35">
        <f>Dane!I16</f>
        <v>271.70080000000002</v>
      </c>
      <c r="F15" s="1">
        <f>Dane!M11-Dane!M5</f>
        <v>-60</v>
      </c>
      <c r="G15" s="1">
        <f>Dane!N11-Dane!N5</f>
        <v>265</v>
      </c>
      <c r="H15" s="24">
        <f t="shared" si="0"/>
        <v>271.70756338387048</v>
      </c>
      <c r="I15" s="1">
        <f t="shared" si="6"/>
        <v>114.17503573430741</v>
      </c>
      <c r="J15" s="1">
        <f t="shared" si="1"/>
        <v>0.97531329897359542</v>
      </c>
      <c r="K15" s="1">
        <f t="shared" si="2"/>
        <v>-0.22082565259779505</v>
      </c>
      <c r="L15" s="26">
        <f t="shared" si="3"/>
        <v>1.2717008E-3</v>
      </c>
      <c r="M15" s="30">
        <f t="shared" si="4"/>
        <v>6.7633838704637128E-3</v>
      </c>
    </row>
    <row r="16" spans="2:18">
      <c r="B16" s="34">
        <f>Dane!F17</f>
        <v>2</v>
      </c>
      <c r="C16" s="35">
        <f>Dane!G17</f>
        <v>8</v>
      </c>
      <c r="D16" s="35">
        <f>Dane!H17</f>
        <v>0</v>
      </c>
      <c r="E16" s="35">
        <f>Dane!I17</f>
        <v>253.47229999999999</v>
      </c>
      <c r="F16" s="1">
        <f>Dane!M12-Dane!M6</f>
        <v>-235</v>
      </c>
      <c r="G16" s="1">
        <f>Dane!N12-Dane!N6</f>
        <v>95</v>
      </c>
      <c r="H16" s="24">
        <f t="shared" si="0"/>
        <v>253.47583711273151</v>
      </c>
      <c r="I16" s="1">
        <f t="shared" si="6"/>
        <v>175.54301866897848</v>
      </c>
      <c r="J16" s="1">
        <f t="shared" si="1"/>
        <v>0.37478917549742424</v>
      </c>
      <c r="K16" s="1">
        <f t="shared" si="2"/>
        <v>-0.92711006570415411</v>
      </c>
      <c r="L16" s="26">
        <f t="shared" si="3"/>
        <v>1.2534722999999999E-3</v>
      </c>
      <c r="M16" s="30">
        <f t="shared" si="4"/>
        <v>3.5371127315215745E-3</v>
      </c>
    </row>
    <row r="17" spans="2:20">
      <c r="B17" s="34">
        <f>Dane!F18</f>
        <v>2</v>
      </c>
      <c r="C17" s="35">
        <f>Dane!G18</f>
        <v>9</v>
      </c>
      <c r="D17" s="35">
        <f>Dane!H18</f>
        <v>0</v>
      </c>
      <c r="E17" s="35">
        <f>Dane!I18</f>
        <v>145.98650000000001</v>
      </c>
      <c r="F17" s="1">
        <f>Dane!M13-Dane!M6</f>
        <v>-72</v>
      </c>
      <c r="G17" s="1">
        <f>Dane!N13-Dane!N6</f>
        <v>127</v>
      </c>
      <c r="H17" s="24">
        <f t="shared" si="0"/>
        <v>145.98972566588375</v>
      </c>
      <c r="I17" s="1">
        <f t="shared" si="6"/>
        <v>132.83351557704827</v>
      </c>
      <c r="J17" s="1">
        <f t="shared" si="1"/>
        <v>0.86992423213847114</v>
      </c>
      <c r="K17" s="1">
        <f t="shared" si="2"/>
        <v>-0.49318539144858226</v>
      </c>
      <c r="L17" s="26">
        <f t="shared" si="3"/>
        <v>1.1459865000000001E-3</v>
      </c>
      <c r="M17" s="30">
        <f t="shared" si="4"/>
        <v>3.2256658837468422E-3</v>
      </c>
    </row>
    <row r="18" spans="2:20">
      <c r="B18" s="34">
        <f>Dane!F19</f>
        <v>2</v>
      </c>
      <c r="C18" s="35">
        <f>Dane!G19</f>
        <v>4</v>
      </c>
      <c r="D18" s="35">
        <f>Dane!H19</f>
        <v>0</v>
      </c>
      <c r="E18" s="35">
        <f>Dane!I19</f>
        <v>294.27249999999998</v>
      </c>
      <c r="F18" s="1">
        <f>Dane!M8-Dane!M6</f>
        <v>50</v>
      </c>
      <c r="G18" s="1">
        <f>Dane!N8-Dane!N6</f>
        <v>290</v>
      </c>
      <c r="H18" s="24">
        <f t="shared" si="0"/>
        <v>294.27877939124323</v>
      </c>
      <c r="I18" s="1">
        <f t="shared" si="6"/>
        <v>89.130658853547459</v>
      </c>
      <c r="J18" s="1">
        <f t="shared" si="1"/>
        <v>0.985460115744348</v>
      </c>
      <c r="K18" s="1">
        <f t="shared" si="2"/>
        <v>0.16990691650764617</v>
      </c>
      <c r="L18" s="26">
        <f t="shared" si="3"/>
        <v>1.2942724999999999E-3</v>
      </c>
      <c r="M18" s="30">
        <f t="shared" si="4"/>
        <v>6.27939124325394E-3</v>
      </c>
    </row>
    <row r="19" spans="2:20">
      <c r="B19" s="34">
        <f>Dane!F20</f>
        <v>4</v>
      </c>
      <c r="C19" s="35">
        <f>Dane!G20</f>
        <v>5</v>
      </c>
      <c r="D19" s="35">
        <f>Dane!H20</f>
        <v>0</v>
      </c>
      <c r="E19" s="35">
        <f>Dane!I20</f>
        <v>150.42429999999999</v>
      </c>
      <c r="F19" s="1">
        <f>Dane!M9-Dane!M8</f>
        <v>-140</v>
      </c>
      <c r="G19" s="1">
        <f>Dane!N9-Dane!N8</f>
        <v>55</v>
      </c>
      <c r="H19" s="24">
        <f t="shared" si="0"/>
        <v>150.41608956491322</v>
      </c>
      <c r="I19" s="1">
        <f t="shared" si="6"/>
        <v>176.16918185877182</v>
      </c>
      <c r="J19" s="1">
        <f t="shared" si="1"/>
        <v>0.36565237242299375</v>
      </c>
      <c r="K19" s="1">
        <f t="shared" si="2"/>
        <v>-0.93075149344034702</v>
      </c>
      <c r="L19" s="26">
        <f t="shared" si="3"/>
        <v>1.1504243E-3</v>
      </c>
      <c r="M19" s="30">
        <f t="shared" si="4"/>
        <v>-8.2104350867666653E-3</v>
      </c>
    </row>
    <row r="20" spans="2:20">
      <c r="B20" s="34">
        <f>Dane!F21</f>
        <v>4</v>
      </c>
      <c r="C20" s="35">
        <f>Dane!G21</f>
        <v>7</v>
      </c>
      <c r="D20" s="35">
        <f>Dane!H21</f>
        <v>0</v>
      </c>
      <c r="E20" s="35">
        <f>Dane!I21</f>
        <v>259.86799999999999</v>
      </c>
      <c r="F20" s="1">
        <f>Dane!M11-Dane!M8</f>
        <v>-255</v>
      </c>
      <c r="G20" s="1">
        <f>Dane!N11-Dane!N8</f>
        <v>-50</v>
      </c>
      <c r="H20" s="24">
        <f t="shared" si="0"/>
        <v>259.85572920372567</v>
      </c>
      <c r="I20" s="1">
        <f t="shared" si="5"/>
        <v>212.32635890173094</v>
      </c>
      <c r="J20" s="1">
        <f t="shared" si="1"/>
        <v>-0.19241446072101101</v>
      </c>
      <c r="K20" s="1">
        <f t="shared" si="2"/>
        <v>-0.98131374967715723</v>
      </c>
      <c r="L20" s="26">
        <f t="shared" si="3"/>
        <v>1.2598679999999999E-3</v>
      </c>
      <c r="M20" s="30">
        <f t="shared" si="4"/>
        <v>-1.2270796274322038E-2</v>
      </c>
    </row>
    <row r="21" spans="2:20">
      <c r="B21" s="34">
        <f>Dane!F22</f>
        <v>4</v>
      </c>
      <c r="C21" s="35">
        <f>Dane!G22</f>
        <v>9</v>
      </c>
      <c r="D21" s="35">
        <f>Dane!H22</f>
        <v>0</v>
      </c>
      <c r="E21" s="35">
        <f>Dane!I22</f>
        <v>203.6019</v>
      </c>
      <c r="F21" s="1">
        <f>Dane!M13-Dane!M8</f>
        <v>-122</v>
      </c>
      <c r="G21" s="1">
        <f>Dane!N13-Dane!N8</f>
        <v>-163</v>
      </c>
      <c r="H21" s="24">
        <f t="shared" si="0"/>
        <v>203.60009823180343</v>
      </c>
      <c r="I21" s="1">
        <f t="shared" si="5"/>
        <v>259.09598336347381</v>
      </c>
      <c r="J21" s="1">
        <f t="shared" si="1"/>
        <v>-0.80058900469891048</v>
      </c>
      <c r="K21" s="1">
        <f t="shared" si="2"/>
        <v>-0.59921385627771317</v>
      </c>
      <c r="L21" s="26">
        <f t="shared" si="3"/>
        <v>1.2036019E-3</v>
      </c>
      <c r="M21" s="30">
        <f t="shared" si="4"/>
        <v>-1.8017681965716292E-3</v>
      </c>
    </row>
    <row r="22" spans="2:20">
      <c r="B22" s="34">
        <f>Dane!F23</f>
        <v>6</v>
      </c>
      <c r="C22" s="35">
        <f>Dane!G23</f>
        <v>9</v>
      </c>
      <c r="D22" s="35">
        <f>Dane!H23</f>
        <v>0</v>
      </c>
      <c r="E22" s="35">
        <f>Dane!I23</f>
        <v>333.41739999999999</v>
      </c>
      <c r="F22" s="1">
        <f>Dane!M13-Dane!M10</f>
        <v>168</v>
      </c>
      <c r="G22" s="1">
        <f>Dane!N13-Dane!N10</f>
        <v>-288</v>
      </c>
      <c r="H22" s="24">
        <f t="shared" si="0"/>
        <v>333.41865574679531</v>
      </c>
      <c r="I22" s="1">
        <f t="shared" si="5"/>
        <v>333.61826351503248</v>
      </c>
      <c r="J22" s="1">
        <f t="shared" si="1"/>
        <v>-0.86377890089843368</v>
      </c>
      <c r="K22" s="1">
        <f t="shared" si="2"/>
        <v>0.50387102552408569</v>
      </c>
      <c r="L22" s="26">
        <f t="shared" si="3"/>
        <v>1.3334174000000001E-3</v>
      </c>
      <c r="M22" s="30">
        <f t="shared" si="4"/>
        <v>1.2557467953229207E-3</v>
      </c>
    </row>
    <row r="23" spans="2:20">
      <c r="B23" s="117">
        <f>Dane!F24</f>
        <v>6</v>
      </c>
      <c r="C23" s="116">
        <f>Dane!G24</f>
        <v>5</v>
      </c>
      <c r="D23" s="116">
        <f>Dane!H24</f>
        <v>0</v>
      </c>
      <c r="E23" s="116">
        <f>Dane!I24</f>
        <v>165.53030000000001</v>
      </c>
      <c r="F23" s="14">
        <f>Dane!M9-Dane!M10</f>
        <v>150</v>
      </c>
      <c r="G23" s="14">
        <f>Dane!N9-Dane!N10</f>
        <v>-70</v>
      </c>
      <c r="H23" s="31">
        <f t="shared" si="0"/>
        <v>165.5294535724685</v>
      </c>
      <c r="I23" s="14">
        <f t="shared" si="5"/>
        <v>372.203451691</v>
      </c>
      <c r="J23" s="14">
        <f t="shared" si="1"/>
        <v>-0.42288546533112437</v>
      </c>
      <c r="K23" s="14">
        <f t="shared" si="2"/>
        <v>0.90618313999526523</v>
      </c>
      <c r="L23" s="118">
        <f t="shared" si="3"/>
        <v>1.1655303E-3</v>
      </c>
      <c r="M23" s="33">
        <f t="shared" si="4"/>
        <v>-8.4642753151342731E-4</v>
      </c>
    </row>
    <row r="24" x14ac:dyDescent="0.2" ht="18" customHeight="1"/>
    <row r="25" spans="2:20" ht="18" customHeight="1">
      <c r="B25" s="415" t="s">
        <v>4</v>
      </c>
      <c r="C25" s="416" t="s">
        <v>5</v>
      </c>
      <c r="D25" s="416" t="s">
        <v>6</v>
      </c>
      <c r="E25" s="417" t="s">
        <v>25</v>
      </c>
      <c r="F25" s="416" t="s">
        <v>26</v>
      </c>
      <c r="G25" s="416" t="s">
        <v>27</v>
      </c>
      <c r="H25" s="418" t="s">
        <v>28</v>
      </c>
      <c r="I25" s="416" t="s">
        <v>29</v>
      </c>
      <c r="J25" s="416" t="s">
        <v>30</v>
      </c>
      <c r="K25" s="416" t="s">
        <v>31</v>
      </c>
      <c r="L25" s="416" t="s">
        <v>32</v>
      </c>
      <c r="M25" s="416" t="s">
        <v>33</v>
      </c>
      <c r="N25" s="417" t="s">
        <v>34</v>
      </c>
      <c r="O25" s="416" t="s">
        <v>35</v>
      </c>
      <c r="P25" s="416" t="s">
        <v>36</v>
      </c>
      <c r="Q25" s="419" t="s">
        <v>80</v>
      </c>
      <c r="R25" s="416" t="s">
        <v>81</v>
      </c>
      <c r="S25" s="416" t="s">
        <v>82</v>
      </c>
      <c r="T25" s="420" t="s">
        <v>83</v>
      </c>
    </row>
    <row r="26" spans="2:20">
      <c r="B26" s="50">
        <f>Dane!F25</f>
        <v>9</v>
      </c>
      <c r="C26" s="51">
        <f>Dane!G25</f>
        <v>1</v>
      </c>
      <c r="D26" s="35">
        <f>Dane!H25</f>
        <v>2</v>
      </c>
      <c r="E26" s="35">
        <f>Dane!I25</f>
        <v>61.334200000000003</v>
      </c>
      <c r="F26" s="35">
        <f>Dane!M5-Dane!M13</f>
        <v>-73</v>
      </c>
      <c r="G26" s="35">
        <f>Dane!N5-Dane!N13</f>
        <v>-152</v>
      </c>
      <c r="H26" s="35">
        <f>Dane!M6-Dane!M13</f>
        <v>72</v>
      </c>
      <c r="I26" s="35">
        <f>Dane!N6-Dane!N13</f>
        <v>-127</v>
      </c>
      <c r="J26" s="35">
        <f>F26^2+G26^2</f>
        <v>28433</v>
      </c>
      <c r="K26" s="35">
        <f>H26^2+I26^2</f>
        <v>21313</v>
      </c>
      <c r="L26" s="35">
        <f>IF(ATAN2(F26,G26)*200/PI()&lt;0,ATAN2(F26,G26)*200/PI()+400,ATAN2(F26,G26)*200/PI())</f>
        <v>271.49637890573825</v>
      </c>
      <c r="M26" s="35">
        <f>IF(ATAN2(H26,I26)*200/PI()&lt;0,ATAN2(H26,I26)*200/PI()+400,ATAN2(H26,I26)*200/PI())</f>
        <v>332.83351557704827</v>
      </c>
      <c r="N26" s="35">
        <f>IF(M26-L26&lt;0,M26-L26+400,M26-L26)</f>
        <v>61.33713667131002</v>
      </c>
      <c r="O26" s="35">
        <f>Dane!$M$15</f>
        <v>3</v>
      </c>
      <c r="P26" s="60">
        <f>N26-E26</f>
        <v>2.9366713100174024E-3</v>
      </c>
      <c r="Q26" s="35">
        <f>F26/J26*(2000000/PI())</f>
        <v>-1634.4825865309128</v>
      </c>
      <c r="R26" s="35">
        <f>G26/J26*2000000/PI()</f>
        <v>-3403.3062075712155</v>
      </c>
      <c r="S26" s="35">
        <f>H26/K26*2000000/PI()</f>
        <v>2150.6415619793488</v>
      </c>
      <c r="T26" s="61">
        <f>I26/K26*2000000/PI()</f>
        <v>-3793.4927551580181</v>
      </c>
    </row>
    <row r="27" spans="2:20">
      <c r="B27" s="50">
        <f>Dane!F26</f>
        <v>9</v>
      </c>
      <c r="C27" s="51">
        <f>Dane!G26</f>
        <v>2</v>
      </c>
      <c r="D27" s="35">
        <f>Dane!H26</f>
        <v>4</v>
      </c>
      <c r="E27" s="35">
        <f>Dane!I26</f>
        <v>126.2606</v>
      </c>
      <c r="F27" s="1">
        <f>Dane!M6-Dane!M13</f>
        <v>72</v>
      </c>
      <c r="G27" s="1">
        <f>Dane!N6-Dane!N13</f>
        <v>-127</v>
      </c>
      <c r="H27" s="1">
        <f>Dane!M8-Dane!M13</f>
        <v>122</v>
      </c>
      <c r="I27" s="1">
        <f>Dane!N8-Dane!N13</f>
        <v>163</v>
      </c>
      <c r="J27" s="1">
        <f t="shared" ref="J27:J37" si="7">F27^2+G27^2</f>
        <v>21313</v>
      </c>
      <c r="K27" s="1">
        <f t="shared" ref="K27:K37" si="8">H27^2+I27^2</f>
        <v>41453</v>
      </c>
      <c r="L27" s="1">
        <f t="shared" ref="L27:L37" si="9">IF(ATAN2(F27,G27)*200/PI()&lt;0,ATAN2(F27,G27)*200/PI()+400,ATAN2(F27,G27)*200/PI())</f>
        <v>332.83351557704827</v>
      </c>
      <c r="M27" s="1">
        <f t="shared" ref="M27:M37" si="10">IF(ATAN2(H27,I27)*200/PI()&lt;0,ATAN2(H27,I27)*200/PI()+400,ATAN2(H27,I27)*200/PI())</f>
        <v>59.095983363473813</v>
      </c>
      <c r="N27" s="1">
        <f t="shared" ref="N27:N37" si="11">IF(M27-L27&lt;0,M27-L27+400,M27-L27)</f>
        <v>126.26246778642553</v>
      </c>
      <c r="O27" s="1">
        <f>Dane!$M$15</f>
        <v>3</v>
      </c>
      <c r="P27" s="62">
        <f t="shared" ref="P27:P37" si="12">N27-E27</f>
        <v>1.8677864255352006E-3</v>
      </c>
      <c r="Q27" s="35">
        <f t="shared" ref="Q27:Q37" si="13">F27/J27*(2000000/PI())</f>
        <v>2150.6415619793488</v>
      </c>
      <c r="R27" s="1">
        <f t="shared" ref="R27:S37" si="14">G27/J27*2000000/PI()</f>
        <v>-3793.4927551580181</v>
      </c>
      <c r="S27" s="1">
        <f t="shared" si="14"/>
        <v>1873.6306715761204</v>
      </c>
      <c r="T27" s="12">
        <f t="shared" ref="T27:T37" si="15">I27/K27*2000000/PI()</f>
        <v>2503.2934382533417</v>
      </c>
    </row>
    <row r="28" spans="2:20">
      <c r="B28" s="50">
        <f>Dane!F27</f>
        <v>9</v>
      </c>
      <c r="C28" s="51">
        <f>Dane!G27</f>
        <v>4</v>
      </c>
      <c r="D28" s="35">
        <f>Dane!H27</f>
        <v>5</v>
      </c>
      <c r="E28" s="35">
        <f>Dane!I27</f>
        <v>46.151299999999999</v>
      </c>
      <c r="F28" s="1">
        <f>Dane!M8-Dane!M13</f>
        <v>122</v>
      </c>
      <c r="G28" s="1">
        <f>Dane!N8-Dane!N13</f>
        <v>163</v>
      </c>
      <c r="H28" s="1">
        <f>Dane!M9-Dane!M13</f>
        <v>-18</v>
      </c>
      <c r="I28" s="1">
        <f>Dane!N9-Dane!N13</f>
        <v>218</v>
      </c>
      <c r="J28" s="1">
        <f t="shared" si="7"/>
        <v>41453</v>
      </c>
      <c r="K28" s="1">
        <f t="shared" si="8"/>
        <v>47848</v>
      </c>
      <c r="L28" s="1">
        <f t="shared" si="9"/>
        <v>59.095983363473813</v>
      </c>
      <c r="M28" s="1">
        <f t="shared" si="10"/>
        <v>105.24459659004839</v>
      </c>
      <c r="N28" s="1">
        <f t="shared" si="11"/>
        <v>46.148613226574575</v>
      </c>
      <c r="O28" s="1">
        <f>Dane!$M$15</f>
        <v>3</v>
      </c>
      <c r="P28" s="62">
        <f t="shared" si="12"/>
        <v>-2.686773425423894E-3</v>
      </c>
      <c r="Q28" s="35">
        <f t="shared" si="13"/>
        <v>1873.6306715761207</v>
      </c>
      <c r="R28" s="1">
        <f t="shared" si="14"/>
        <v>2503.2934382533417</v>
      </c>
      <c r="S28" s="1">
        <f t="shared" si="14"/>
        <v>-239.49080217807358</v>
      </c>
      <c r="T28" s="12">
        <f t="shared" si="15"/>
        <v>2900.4997152677797</v>
      </c>
    </row>
    <row r="29" spans="2:20">
      <c r="B29" s="50">
        <f>Dane!F28</f>
        <v>9</v>
      </c>
      <c r="C29" s="51">
        <f>Dane!G28</f>
        <v>5</v>
      </c>
      <c r="D29" s="35">
        <f>Dane!H28</f>
        <v>7</v>
      </c>
      <c r="E29" s="35">
        <f>Dane!I28</f>
        <v>49.921900000000001</v>
      </c>
      <c r="F29" s="1">
        <f>Dane!M9-Dane!M13</f>
        <v>-18</v>
      </c>
      <c r="G29" s="1">
        <f>Dane!N9-Dane!N13</f>
        <v>218</v>
      </c>
      <c r="H29" s="1">
        <f>Dane!M11-Dane!M13</f>
        <v>-133</v>
      </c>
      <c r="I29" s="1">
        <f>Dane!N11-Dane!N13</f>
        <v>113</v>
      </c>
      <c r="J29" s="1">
        <f t="shared" si="7"/>
        <v>47848</v>
      </c>
      <c r="K29" s="1">
        <f t="shared" si="8"/>
        <v>30458</v>
      </c>
      <c r="L29" s="1">
        <f t="shared" si="9"/>
        <v>105.24459659004839</v>
      </c>
      <c r="M29" s="1">
        <f t="shared" si="10"/>
        <v>155.16441187931892</v>
      </c>
      <c r="N29" s="1">
        <f t="shared" si="11"/>
        <v>49.919815289270531</v>
      </c>
      <c r="O29" s="1">
        <f>Dane!$M$15</f>
        <v>3</v>
      </c>
      <c r="P29" s="62">
        <f t="shared" si="12"/>
        <v>-2.0847107294699185E-3</v>
      </c>
      <c r="Q29" s="35">
        <f t="shared" si="13"/>
        <v>-239.49080217807358</v>
      </c>
      <c r="R29" s="1">
        <f t="shared" si="14"/>
        <v>2900.4997152677797</v>
      </c>
      <c r="S29" s="1">
        <f t="shared" si="14"/>
        <v>-2779.9077327758987</v>
      </c>
      <c r="T29" s="12">
        <f t="shared" si="15"/>
        <v>2361.876494764485</v>
      </c>
    </row>
    <row r="30" spans="2:20">
      <c r="B30" s="50">
        <f>Dane!F29</f>
        <v>9</v>
      </c>
      <c r="C30" s="51">
        <f>Dane!G29</f>
        <v>7</v>
      </c>
      <c r="D30" s="35">
        <f>Dane!H29</f>
        <v>8</v>
      </c>
      <c r="E30" s="35">
        <f>Dane!I29</f>
        <v>57.176400000000001</v>
      </c>
      <c r="F30" s="1">
        <f>Dane!M11-Dane!M13</f>
        <v>-133</v>
      </c>
      <c r="G30" s="1">
        <f>Dane!N11-Dane!N13</f>
        <v>113</v>
      </c>
      <c r="H30" s="1">
        <f>Dane!M12-Dane!M13</f>
        <v>-163</v>
      </c>
      <c r="I30" s="1">
        <f>Dane!N12-Dane!N13</f>
        <v>-32</v>
      </c>
      <c r="J30" s="1">
        <f t="shared" si="7"/>
        <v>30458</v>
      </c>
      <c r="K30" s="1">
        <f t="shared" si="8"/>
        <v>27593</v>
      </c>
      <c r="L30" s="1">
        <f t="shared" si="9"/>
        <v>155.16441187931892</v>
      </c>
      <c r="M30" s="1">
        <f t="shared" si="10"/>
        <v>212.34110741930257</v>
      </c>
      <c r="N30" s="1">
        <f t="shared" si="11"/>
        <v>57.176695539983655</v>
      </c>
      <c r="O30" s="1">
        <f>Dane!$M$15</f>
        <v>3</v>
      </c>
      <c r="P30" s="62">
        <f t="shared" si="12"/>
        <v>2.9553998365372536E-4</v>
      </c>
      <c r="Q30" s="35">
        <f t="shared" si="13"/>
        <v>-2779.9077327758987</v>
      </c>
      <c r="R30" s="1">
        <f t="shared" si="14"/>
        <v>2361.876494764485</v>
      </c>
      <c r="S30" s="1">
        <f t="shared" si="14"/>
        <v>-3760.7010073538854</v>
      </c>
      <c r="T30" s="12">
        <f t="shared" si="15"/>
        <v>-738.29713027806338</v>
      </c>
    </row>
    <row r="31" spans="2:20">
      <c r="B31" s="50">
        <f>Dane!F30</f>
        <v>9</v>
      </c>
      <c r="C31" s="51">
        <f>Dane!G30</f>
        <v>8</v>
      </c>
      <c r="D31" s="35">
        <f>Dane!H30</f>
        <v>1</v>
      </c>
      <c r="E31" s="35">
        <f>Dane!I30</f>
        <v>59.156700000000001</v>
      </c>
      <c r="F31" s="1">
        <f>Dane!M12-Dane!M13</f>
        <v>-163</v>
      </c>
      <c r="G31" s="1">
        <f>Dane!N12-Dane!N13</f>
        <v>-32</v>
      </c>
      <c r="H31" s="1">
        <f>Dane!M5-Dane!M13</f>
        <v>-73</v>
      </c>
      <c r="I31" s="1">
        <f>Dane!N5-Dane!N13</f>
        <v>-152</v>
      </c>
      <c r="J31" s="1">
        <f t="shared" si="7"/>
        <v>27593</v>
      </c>
      <c r="K31" s="1">
        <f t="shared" si="8"/>
        <v>28433</v>
      </c>
      <c r="L31" s="1">
        <f t="shared" si="9"/>
        <v>212.34110741930257</v>
      </c>
      <c r="M31" s="1">
        <f t="shared" si="10"/>
        <v>271.49637890573825</v>
      </c>
      <c r="N31" s="1">
        <f t="shared" si="11"/>
        <v>59.15527148643568</v>
      </c>
      <c r="O31" s="1">
        <f>Dane!$M$15</f>
        <v>3</v>
      </c>
      <c r="P31" s="62">
        <f t="shared" si="12"/>
        <v>-1.4285135643206104E-3</v>
      </c>
      <c r="Q31" s="35">
        <f t="shared" si="13"/>
        <v>-3760.7010073538859</v>
      </c>
      <c r="R31" s="1">
        <f t="shared" si="14"/>
        <v>-738.29713027806338</v>
      </c>
      <c r="S31" s="1">
        <f t="shared" si="14"/>
        <v>-1634.4825865309126</v>
      </c>
      <c r="T31" s="12">
        <f t="shared" si="15"/>
        <v>-3403.3062075712155</v>
      </c>
    </row>
    <row r="32" spans="2:20">
      <c r="B32" s="50">
        <f>Dane!F31</f>
        <v>6</v>
      </c>
      <c r="C32" s="51">
        <f>Dane!G31</f>
        <v>8</v>
      </c>
      <c r="D32" s="35">
        <f>Dane!H31</f>
        <v>7</v>
      </c>
      <c r="E32" s="35">
        <f>Dane!I31</f>
        <v>11.571400000000001</v>
      </c>
      <c r="F32" s="1">
        <f>Dane!M12-Dane!M10</f>
        <v>5</v>
      </c>
      <c r="G32" s="1">
        <f>Dane!N12-Dane!N10</f>
        <v>-320</v>
      </c>
      <c r="H32" s="1">
        <f>Dane!M11-Dane!M10</f>
        <v>35</v>
      </c>
      <c r="I32" s="1">
        <f>Dane!N11-Dane!N10</f>
        <v>-175</v>
      </c>
      <c r="J32" s="1">
        <f t="shared" si="7"/>
        <v>102425</v>
      </c>
      <c r="K32" s="1">
        <f t="shared" si="8"/>
        <v>31850</v>
      </c>
      <c r="L32" s="1">
        <f t="shared" si="9"/>
        <v>300.9946374557901</v>
      </c>
      <c r="M32" s="1">
        <f t="shared" si="10"/>
        <v>312.56659163780023</v>
      </c>
      <c r="N32" s="1">
        <f t="shared" si="11"/>
        <v>11.571954182010131</v>
      </c>
      <c r="O32" s="1">
        <f>Dane!$M$15</f>
        <v>3</v>
      </c>
      <c r="P32" s="62">
        <f t="shared" si="12"/>
        <v>5.5418201013068824E-4</v>
      </c>
      <c r="Q32" s="35">
        <f t="shared" si="13"/>
        <v>31.077362575913178</v>
      </c>
      <c r="R32" s="1">
        <f t="shared" si="14"/>
        <v>-1988.9512048584434</v>
      </c>
      <c r="S32" s="1">
        <f t="shared" si="14"/>
        <v>699.58216743690264</v>
      </c>
      <c r="T32" s="12">
        <f t="shared" si="15"/>
        <v>-3497.9108371845136</v>
      </c>
    </row>
    <row r="33" spans="2:20">
      <c r="B33" s="50">
        <f>Dane!F32</f>
        <v>6</v>
      </c>
      <c r="C33" s="51">
        <f>Dane!G32</f>
        <v>7</v>
      </c>
      <c r="D33" s="35">
        <f>Dane!H32</f>
        <v>9</v>
      </c>
      <c r="E33" s="35">
        <f>Dane!I32</f>
        <v>21.053100000000001</v>
      </c>
      <c r="F33" s="1">
        <f>Dane!M11-Dane!M10</f>
        <v>35</v>
      </c>
      <c r="G33" s="1">
        <f>Dane!N11-Dane!N10</f>
        <v>-175</v>
      </c>
      <c r="H33" s="1">
        <f>Dane!M13-Dane!M10</f>
        <v>168</v>
      </c>
      <c r="I33" s="1">
        <f>Dane!N13-Dane!N10</f>
        <v>-288</v>
      </c>
      <c r="J33" s="1">
        <f t="shared" si="7"/>
        <v>31850</v>
      </c>
      <c r="K33" s="1">
        <f t="shared" si="8"/>
        <v>111168</v>
      </c>
      <c r="L33" s="1">
        <f t="shared" si="9"/>
        <v>312.56659163780023</v>
      </c>
      <c r="M33" s="1">
        <f t="shared" si="10"/>
        <v>333.61826351503248</v>
      </c>
      <c r="N33" s="1">
        <f t="shared" si="11"/>
        <v>21.051671877232252</v>
      </c>
      <c r="O33" s="1">
        <f>Dane!$M$15</f>
        <v>3</v>
      </c>
      <c r="P33" s="62">
        <f t="shared" si="12"/>
        <v>-1.4281227677486186E-3</v>
      </c>
      <c r="Q33" s="35">
        <f t="shared" si="13"/>
        <v>699.58216743690264</v>
      </c>
      <c r="R33" s="1">
        <f t="shared" si="14"/>
        <v>-3497.9108371845136</v>
      </c>
      <c r="S33" s="1">
        <f t="shared" si="14"/>
        <v>962.07651264530875</v>
      </c>
      <c r="T33" s="12">
        <f t="shared" si="15"/>
        <v>-1649.274021677672</v>
      </c>
    </row>
    <row r="34" spans="2:20">
      <c r="B34" s="50">
        <f>Dane!F33</f>
        <v>6</v>
      </c>
      <c r="C34" s="51">
        <f>Dane!G33</f>
        <v>9</v>
      </c>
      <c r="D34" s="35">
        <f>Dane!H33</f>
        <v>5</v>
      </c>
      <c r="E34" s="35">
        <f>Dane!I33</f>
        <v>38.585700000000003</v>
      </c>
      <c r="F34" s="1">
        <f>Dane!M13-Dane!M10</f>
        <v>168</v>
      </c>
      <c r="G34" s="1">
        <f>Dane!N13-Dane!N10</f>
        <v>-288</v>
      </c>
      <c r="H34" s="1">
        <f>Dane!M9-Dane!M10</f>
        <v>150</v>
      </c>
      <c r="I34" s="1">
        <f>Dane!N9-Dane!N10</f>
        <v>-70</v>
      </c>
      <c r="J34" s="1">
        <f t="shared" si="7"/>
        <v>111168</v>
      </c>
      <c r="K34" s="1">
        <f t="shared" si="8"/>
        <v>27400</v>
      </c>
      <c r="L34" s="1">
        <f t="shared" si="9"/>
        <v>333.61826351503248</v>
      </c>
      <c r="M34" s="1">
        <f t="shared" si="10"/>
        <v>372.203451691</v>
      </c>
      <c r="N34" s="1">
        <f t="shared" si="11"/>
        <v>38.585188175967517</v>
      </c>
      <c r="O34" s="1">
        <f>Dane!$M$15</f>
        <v>3</v>
      </c>
      <c r="P34" s="62">
        <f t="shared" si="12"/>
        <v>-5.1182403248617447E-4</v>
      </c>
      <c r="Q34" s="35">
        <f t="shared" si="13"/>
        <v>962.07651264530875</v>
      </c>
      <c r="R34" s="1">
        <f t="shared" si="14"/>
        <v>-1649.274021677672</v>
      </c>
      <c r="S34" s="1">
        <f t="shared" si="14"/>
        <v>3485.144739238584</v>
      </c>
      <c r="T34" s="12">
        <f t="shared" si="15"/>
        <v>-1626.4008783113393</v>
      </c>
    </row>
    <row r="35" spans="2:20">
      <c r="B35" s="50">
        <f>Dane!F34</f>
        <v>5</v>
      </c>
      <c r="C35" s="51">
        <f>Dane!G34</f>
        <v>6</v>
      </c>
      <c r="D35" s="35">
        <f>Dane!H34</f>
        <v>7</v>
      </c>
      <c r="E35" s="35">
        <f>Dane!I34</f>
        <v>74.9054</v>
      </c>
      <c r="F35" s="1">
        <f>Dane!M10-Dane!M9</f>
        <v>-150</v>
      </c>
      <c r="G35" s="1">
        <f>Dane!N10-Dane!N9</f>
        <v>70</v>
      </c>
      <c r="H35" s="1">
        <f>Dane!M11-Dane!M9</f>
        <v>-115</v>
      </c>
      <c r="I35" s="1">
        <f>Dane!N11-Dane!N9</f>
        <v>-105</v>
      </c>
      <c r="J35" s="1">
        <f t="shared" si="7"/>
        <v>27400</v>
      </c>
      <c r="K35" s="1">
        <f t="shared" si="8"/>
        <v>24250</v>
      </c>
      <c r="L35" s="1">
        <f t="shared" si="9"/>
        <v>172.20345169099997</v>
      </c>
      <c r="M35" s="1">
        <f t="shared" si="10"/>
        <v>247.10826421944466</v>
      </c>
      <c r="N35" s="1">
        <f t="shared" si="11"/>
        <v>74.904812528444694</v>
      </c>
      <c r="O35" s="1">
        <f>Dane!$M$15</f>
        <v>3</v>
      </c>
      <c r="P35" s="62">
        <f t="shared" si="12"/>
        <v>-5.874715553062515E-4</v>
      </c>
      <c r="Q35" s="35">
        <f t="shared" si="13"/>
        <v>-3485.1447392385844</v>
      </c>
      <c r="R35" s="1">
        <f t="shared" si="14"/>
        <v>1626.4008783113393</v>
      </c>
      <c r="S35" s="1">
        <f t="shared" si="14"/>
        <v>-3019.0216009184273</v>
      </c>
      <c r="T35" s="12">
        <f t="shared" si="15"/>
        <v>-2756.4979834472601</v>
      </c>
    </row>
    <row r="36" spans="2:20">
      <c r="B36" s="50">
        <f>Dane!F35</f>
        <v>5</v>
      </c>
      <c r="C36" s="51">
        <f>Dane!G35</f>
        <v>7</v>
      </c>
      <c r="D36" s="35">
        <f>Dane!H35</f>
        <v>9</v>
      </c>
      <c r="E36" s="35">
        <f>Dane!I35</f>
        <v>58.135899999999999</v>
      </c>
      <c r="F36" s="1">
        <f>Dane!M11-Dane!M9</f>
        <v>-115</v>
      </c>
      <c r="G36" s="1">
        <f>Dane!N11-Dane!N9</f>
        <v>-105</v>
      </c>
      <c r="H36" s="1">
        <f>Dane!M13-Dane!M9</f>
        <v>18</v>
      </c>
      <c r="I36" s="1">
        <f>Dane!N13-Dane!N9</f>
        <v>-218</v>
      </c>
      <c r="J36" s="1">
        <f t="shared" si="7"/>
        <v>24250</v>
      </c>
      <c r="K36" s="1">
        <f t="shared" si="8"/>
        <v>47848</v>
      </c>
      <c r="L36" s="1">
        <f t="shared" si="9"/>
        <v>247.10826421944466</v>
      </c>
      <c r="M36" s="1">
        <f t="shared" si="10"/>
        <v>305.24459659004839</v>
      </c>
      <c r="N36" s="1">
        <f t="shared" si="11"/>
        <v>58.136332370603725</v>
      </c>
      <c r="O36" s="1">
        <f>Dane!$M$15</f>
        <v>3</v>
      </c>
      <c r="P36" s="62">
        <f t="shared" si="12"/>
        <v>4.3237060372547376E-4</v>
      </c>
      <c r="Q36" s="35">
        <f t="shared" si="13"/>
        <v>-3019.0216009184273</v>
      </c>
      <c r="R36" s="1">
        <f t="shared" si="14"/>
        <v>-2756.4979834472601</v>
      </c>
      <c r="S36" s="1">
        <f t="shared" si="14"/>
        <v>239.49080217807358</v>
      </c>
      <c r="T36" s="12">
        <f t="shared" si="15"/>
        <v>-2900.4997152677797</v>
      </c>
    </row>
    <row r="37" spans="2:20">
      <c r="B37" s="114">
        <f>Dane!F36</f>
        <v>5</v>
      </c>
      <c r="C37" s="115">
        <f>Dane!G36</f>
        <v>9</v>
      </c>
      <c r="D37" s="116">
        <f>Dane!H36</f>
        <v>4</v>
      </c>
      <c r="E37" s="116">
        <f>Dane!I36</f>
        <v>70.924599999999998</v>
      </c>
      <c r="F37" s="14">
        <f>Dane!M13-Dane!M9</f>
        <v>18</v>
      </c>
      <c r="G37" s="14">
        <f>Dane!N13-Dane!N9</f>
        <v>-218</v>
      </c>
      <c r="H37" s="14">
        <f>Dane!M8-Dane!M9</f>
        <v>140</v>
      </c>
      <c r="I37" s="14">
        <f>Dane!N8-Dane!N9</f>
        <v>-55</v>
      </c>
      <c r="J37" s="14">
        <f t="shared" si="7"/>
        <v>47848</v>
      </c>
      <c r="K37" s="14">
        <f t="shared" si="8"/>
        <v>22625</v>
      </c>
      <c r="L37" s="14">
        <f t="shared" si="9"/>
        <v>305.24459659004839</v>
      </c>
      <c r="M37" s="14">
        <f t="shared" si="10"/>
        <v>376.16918185877182</v>
      </c>
      <c r="N37" s="14">
        <f t="shared" si="11"/>
        <v>70.924585268723433</v>
      </c>
      <c r="O37" s="14">
        <f>Dane!$M$15</f>
        <v>3</v>
      </c>
      <c r="P37" s="63">
        <f t="shared" si="12"/>
        <v>-1.4731276564816653E-5</v>
      </c>
      <c r="Q37" s="116">
        <f t="shared" si="13"/>
        <v>239.49080217807358</v>
      </c>
      <c r="R37" s="14">
        <f t="shared" si="14"/>
        <v>-2900.4997152677797</v>
      </c>
      <c r="S37" s="14">
        <f t="shared" si="14"/>
        <v>3939.3046687938736</v>
      </c>
      <c r="T37" s="15">
        <f t="shared" si="15"/>
        <v>-1547.5839770261648</v>
      </c>
    </row>
    <row r="39" spans="2:20" ht="18" customHeight="1">
      <c r="B39" s="421" t="s">
        <v>41</v>
      </c>
      <c r="C39" s="422"/>
      <c r="D39" s="422"/>
      <c r="E39" s="422"/>
      <c r="F39" s="422"/>
      <c r="G39" s="422"/>
      <c r="H39" s="422"/>
      <c r="I39" s="422"/>
      <c r="J39" s="422"/>
      <c r="K39" s="422"/>
      <c r="L39" s="422"/>
      <c r="M39" s="422"/>
      <c r="N39" s="422"/>
      <c r="O39" s="422"/>
      <c r="P39" s="422"/>
      <c r="Q39" s="423"/>
      <c r="S39" s="430" t="s">
        <v>42</v>
      </c>
    </row>
    <row r="40" spans="2:20" ht="18" customHeight="1">
      <c r="B40" s="424" t="s">
        <v>43</v>
      </c>
      <c r="C40" s="425" t="s">
        <v>44</v>
      </c>
      <c r="D40" s="425" t="s">
        <v>43</v>
      </c>
      <c r="E40" s="425" t="s">
        <v>44</v>
      </c>
      <c r="F40" s="425" t="s">
        <v>43</v>
      </c>
      <c r="G40" s="425" t="s">
        <v>44</v>
      </c>
      <c r="H40" s="425" t="s">
        <v>43</v>
      </c>
      <c r="I40" s="425" t="s">
        <v>44</v>
      </c>
      <c r="J40" s="425" t="s">
        <v>43</v>
      </c>
      <c r="K40" s="425" t="s">
        <v>44</v>
      </c>
      <c r="L40" s="425" t="s">
        <v>43</v>
      </c>
      <c r="M40" s="425" t="s">
        <v>44</v>
      </c>
      <c r="N40" s="425" t="s">
        <v>43</v>
      </c>
      <c r="O40" s="425" t="s">
        <v>44</v>
      </c>
      <c r="P40" s="425" t="s">
        <v>43</v>
      </c>
      <c r="Q40" s="426" t="s">
        <v>44</v>
      </c>
      <c r="S40" s="431"/>
    </row>
    <row r="41" spans="2:20" ht="18" customHeight="1">
      <c r="B41" s="427">
        <v>1</v>
      </c>
      <c r="C41" s="428">
        <v>1</v>
      </c>
      <c r="D41" s="428">
        <v>2</v>
      </c>
      <c r="E41" s="428">
        <v>2</v>
      </c>
      <c r="F41" s="428">
        <v>4</v>
      </c>
      <c r="G41" s="428">
        <v>4</v>
      </c>
      <c r="H41" s="428">
        <v>5</v>
      </c>
      <c r="I41" s="428">
        <v>5</v>
      </c>
      <c r="J41" s="428">
        <v>6</v>
      </c>
      <c r="K41" s="428">
        <v>6</v>
      </c>
      <c r="L41" s="428">
        <v>7</v>
      </c>
      <c r="M41" s="428">
        <v>7</v>
      </c>
      <c r="N41" s="428">
        <v>8</v>
      </c>
      <c r="O41" s="428">
        <v>8</v>
      </c>
      <c r="P41" s="428">
        <v>9</v>
      </c>
      <c r="Q41" s="429">
        <v>9</v>
      </c>
      <c r="S41" s="432"/>
    </row>
    <row r="42" spans="2:20">
      <c r="B42" s="8">
        <f>IF(B$41=$B4,IF(B$40="dx",-$K4,-$J4),IF(B$41=$C4,IF(B$40="dx",$K4,$J4),0))</f>
        <v>0.22082565259779471</v>
      </c>
      <c r="C42" s="9">
        <f>IF(C$41=$B4,IF(C$40="dx",-$K4,-$J4),IF(C$41=$C4,IF(C$40="dx",$K4,$J4),0))</f>
        <v>-0.97531329897359553</v>
      </c>
      <c r="D42" s="9">
        <f>IF(D$41=$B4,IF(D$40="dx",-$K4,-$J4),IF(D$41=$C4,IF(D$40="dx",$K4,$J4),0))</f>
        <v>0</v>
      </c>
      <c r="E42" s="9">
        <f>IF(E$41=$B4,IF(E$40="dx",-$K4,-$J4),IF(E$41=$C4,IF(E$40="dx",$K4,$J4),0))</f>
        <v>0</v>
      </c>
      <c r="F42" s="9">
        <f t="shared" ref="F42:Q57" si="16">IF(F$41=$B4,IF(F$40="dx",-$K4,-$J4),IF(F$41=$C4,IF(F$40="dx",$K4,$J4),0))</f>
        <v>0</v>
      </c>
      <c r="G42" s="9">
        <f t="shared" si="16"/>
        <v>0</v>
      </c>
      <c r="H42" s="9">
        <f t="shared" si="16"/>
        <v>0</v>
      </c>
      <c r="I42" s="9">
        <f t="shared" si="16"/>
        <v>0</v>
      </c>
      <c r="J42" s="9">
        <f t="shared" si="16"/>
        <v>0</v>
      </c>
      <c r="K42" s="9">
        <f t="shared" si="16"/>
        <v>0</v>
      </c>
      <c r="L42" s="9">
        <f t="shared" si="16"/>
        <v>-0.22082565259779471</v>
      </c>
      <c r="M42" s="9">
        <f t="shared" si="16"/>
        <v>0.97531329897359553</v>
      </c>
      <c r="N42" s="9">
        <f t="shared" si="16"/>
        <v>0</v>
      </c>
      <c r="O42" s="9">
        <f t="shared" si="16"/>
        <v>0</v>
      </c>
      <c r="P42" s="9">
        <f t="shared" si="16"/>
        <v>0</v>
      </c>
      <c r="Q42" s="10">
        <f t="shared" si="16"/>
        <v>0</v>
      </c>
      <c r="S42" s="72">
        <f t="shared" ref="S42:S61" si="17">M4</f>
        <v>5.5633838704807204E-3</v>
      </c>
    </row>
    <row r="43" spans="2:20">
      <c r="B43" s="11">
        <f t="shared" ref="B43:Q58" si="18">IF(B$41=$B5,IF(B$40="dx",-$K5,-$J5),IF(B$41=$C5,IF(B$40="dx",$K5,$J5),0))</f>
        <v>0</v>
      </c>
      <c r="C43" s="1">
        <f t="shared" si="18"/>
        <v>0</v>
      </c>
      <c r="D43" s="1">
        <f t="shared" si="18"/>
        <v>0</v>
      </c>
      <c r="E43" s="1">
        <f t="shared" si="18"/>
        <v>0</v>
      </c>
      <c r="F43" s="1">
        <f t="shared" si="18"/>
        <v>0</v>
      </c>
      <c r="G43" s="1">
        <f t="shared" si="18"/>
        <v>0</v>
      </c>
      <c r="H43" s="1">
        <f t="shared" si="16"/>
        <v>0.7384854939281259</v>
      </c>
      <c r="I43" s="1">
        <f t="shared" si="16"/>
        <v>0.67426936402133231</v>
      </c>
      <c r="J43" s="1">
        <f t="shared" si="16"/>
        <v>0</v>
      </c>
      <c r="K43" s="1">
        <f t="shared" si="16"/>
        <v>0</v>
      </c>
      <c r="L43" s="1">
        <f t="shared" si="16"/>
        <v>-0.7384854939281259</v>
      </c>
      <c r="M43" s="1">
        <f t="shared" si="16"/>
        <v>-0.67426936402133231</v>
      </c>
      <c r="N43" s="1">
        <f t="shared" si="16"/>
        <v>0</v>
      </c>
      <c r="O43" s="1">
        <f t="shared" si="16"/>
        <v>0</v>
      </c>
      <c r="P43" s="1">
        <f t="shared" si="16"/>
        <v>0</v>
      </c>
      <c r="Q43" s="12">
        <f t="shared" si="16"/>
        <v>0</v>
      </c>
      <c r="S43" s="72">
        <f t="shared" si="17"/>
        <v>-3.7849760256278842E-3</v>
      </c>
    </row>
    <row r="44" spans="2:20">
      <c r="B44" s="11">
        <f t="shared" si="18"/>
        <v>0</v>
      </c>
      <c r="C44" s="1">
        <f t="shared" si="18"/>
        <v>0</v>
      </c>
      <c r="D44" s="1">
        <f t="shared" si="18"/>
        <v>0</v>
      </c>
      <c r="E44" s="1">
        <f t="shared" si="18"/>
        <v>0</v>
      </c>
      <c r="F44" s="1">
        <f t="shared" si="18"/>
        <v>0</v>
      </c>
      <c r="G44" s="1">
        <f t="shared" si="18"/>
        <v>0</v>
      </c>
      <c r="H44" s="1">
        <f t="shared" si="16"/>
        <v>0</v>
      </c>
      <c r="I44" s="1">
        <f t="shared" si="16"/>
        <v>0</v>
      </c>
      <c r="J44" s="1">
        <f t="shared" si="16"/>
        <v>-0.1961161351381841</v>
      </c>
      <c r="K44" s="1">
        <f t="shared" si="16"/>
        <v>0.98058067569092011</v>
      </c>
      <c r="L44" s="1">
        <f t="shared" si="16"/>
        <v>0.1961161351381841</v>
      </c>
      <c r="M44" s="1">
        <f t="shared" si="16"/>
        <v>-0.98058067569092011</v>
      </c>
      <c r="N44" s="1">
        <f t="shared" si="16"/>
        <v>0</v>
      </c>
      <c r="O44" s="1">
        <f t="shared" si="16"/>
        <v>0</v>
      </c>
      <c r="P44" s="1">
        <f t="shared" si="16"/>
        <v>0</v>
      </c>
      <c r="Q44" s="12">
        <f t="shared" si="16"/>
        <v>0</v>
      </c>
      <c r="S44" s="72">
        <f t="shared" si="17"/>
        <v>-2.8170242525504818E-3</v>
      </c>
    </row>
    <row r="45" spans="2:20">
      <c r="B45" s="11">
        <f t="shared" si="18"/>
        <v>0</v>
      </c>
      <c r="C45" s="1">
        <f t="shared" si="18"/>
        <v>0</v>
      </c>
      <c r="D45" s="1">
        <f t="shared" si="18"/>
        <v>0</v>
      </c>
      <c r="E45" s="1">
        <f t="shared" si="18"/>
        <v>0</v>
      </c>
      <c r="F45" s="1">
        <f t="shared" si="18"/>
        <v>0</v>
      </c>
      <c r="G45" s="1">
        <f t="shared" si="18"/>
        <v>0</v>
      </c>
      <c r="H45" s="1">
        <f t="shared" si="16"/>
        <v>0</v>
      </c>
      <c r="I45" s="1">
        <f t="shared" si="16"/>
        <v>0</v>
      </c>
      <c r="J45" s="1">
        <f t="shared" si="16"/>
        <v>0</v>
      </c>
      <c r="K45" s="1">
        <f t="shared" si="16"/>
        <v>0</v>
      </c>
      <c r="L45" s="1">
        <f t="shared" si="16"/>
        <v>0.20260560403595176</v>
      </c>
      <c r="M45" s="1">
        <f t="shared" si="16"/>
        <v>0.97926041950710285</v>
      </c>
      <c r="N45" s="1">
        <f t="shared" si="16"/>
        <v>-0.20260560403595176</v>
      </c>
      <c r="O45" s="1">
        <f t="shared" si="16"/>
        <v>-0.97926041950710285</v>
      </c>
      <c r="P45" s="1">
        <f t="shared" si="16"/>
        <v>0</v>
      </c>
      <c r="Q45" s="12">
        <f t="shared" si="16"/>
        <v>0</v>
      </c>
      <c r="S45" s="72">
        <f t="shared" si="17"/>
        <v>2.0289496084444636E-3</v>
      </c>
    </row>
    <row r="46" spans="2:20">
      <c r="B46" s="11">
        <f t="shared" si="18"/>
        <v>0</v>
      </c>
      <c r="C46" s="1">
        <f t="shared" si="18"/>
        <v>0</v>
      </c>
      <c r="D46" s="1">
        <f t="shared" si="18"/>
        <v>0</v>
      </c>
      <c r="E46" s="1">
        <f t="shared" si="18"/>
        <v>0</v>
      </c>
      <c r="F46" s="1">
        <f t="shared" si="18"/>
        <v>0</v>
      </c>
      <c r="G46" s="1">
        <f t="shared" si="18"/>
        <v>0</v>
      </c>
      <c r="H46" s="1">
        <f t="shared" si="16"/>
        <v>0</v>
      </c>
      <c r="I46" s="1">
        <f t="shared" si="16"/>
        <v>0</v>
      </c>
      <c r="J46" s="1">
        <f t="shared" si="16"/>
        <v>0</v>
      </c>
      <c r="K46" s="1">
        <f t="shared" si="16"/>
        <v>0</v>
      </c>
      <c r="L46" s="1">
        <f t="shared" si="16"/>
        <v>-0.76208067668582391</v>
      </c>
      <c r="M46" s="1">
        <f t="shared" si="16"/>
        <v>0.64748207868795626</v>
      </c>
      <c r="N46" s="1">
        <f t="shared" si="16"/>
        <v>0</v>
      </c>
      <c r="O46" s="1">
        <f t="shared" si="16"/>
        <v>0</v>
      </c>
      <c r="P46" s="1">
        <f t="shared" si="16"/>
        <v>0.76208067668582391</v>
      </c>
      <c r="Q46" s="12">
        <f t="shared" si="16"/>
        <v>-0.64748207868795626</v>
      </c>
      <c r="S46" s="72">
        <f t="shared" si="17"/>
        <v>2.0489095365405774E-4</v>
      </c>
    </row>
    <row r="47" spans="2:20">
      <c r="B47" s="11">
        <f t="shared" si="18"/>
        <v>0.59999999999999976</v>
      </c>
      <c r="C47" s="1">
        <f t="shared" si="18"/>
        <v>-0.80000000000000016</v>
      </c>
      <c r="D47" s="1">
        <f t="shared" si="18"/>
        <v>0</v>
      </c>
      <c r="E47" s="1">
        <f t="shared" si="18"/>
        <v>0</v>
      </c>
      <c r="F47" s="1">
        <f t="shared" si="18"/>
        <v>0</v>
      </c>
      <c r="G47" s="1">
        <f t="shared" si="18"/>
        <v>0</v>
      </c>
      <c r="H47" s="1">
        <f t="shared" si="16"/>
        <v>0</v>
      </c>
      <c r="I47" s="1">
        <f t="shared" si="16"/>
        <v>0</v>
      </c>
      <c r="J47" s="1">
        <f t="shared" si="16"/>
        <v>0</v>
      </c>
      <c r="K47" s="1">
        <f t="shared" si="16"/>
        <v>0</v>
      </c>
      <c r="L47" s="1">
        <f t="shared" si="16"/>
        <v>0</v>
      </c>
      <c r="M47" s="1">
        <f t="shared" si="16"/>
        <v>0</v>
      </c>
      <c r="N47" s="1">
        <f t="shared" si="16"/>
        <v>-0.59999999999999976</v>
      </c>
      <c r="O47" s="1">
        <f t="shared" si="16"/>
        <v>0.80000000000000016</v>
      </c>
      <c r="P47" s="1">
        <f t="shared" si="16"/>
        <v>0</v>
      </c>
      <c r="Q47" s="12">
        <f t="shared" si="16"/>
        <v>0</v>
      </c>
      <c r="S47" s="72">
        <f t="shared" si="17"/>
        <v>-5.9999999999149622E-4</v>
      </c>
    </row>
    <row r="48" spans="2:20">
      <c r="B48" s="11">
        <f t="shared" si="18"/>
        <v>0</v>
      </c>
      <c r="C48" s="1">
        <f t="shared" si="18"/>
        <v>0</v>
      </c>
      <c r="D48" s="1">
        <f t="shared" si="18"/>
        <v>0</v>
      </c>
      <c r="E48" s="1">
        <f t="shared" si="18"/>
        <v>0</v>
      </c>
      <c r="F48" s="1">
        <f t="shared" si="18"/>
        <v>0</v>
      </c>
      <c r="G48" s="1">
        <f t="shared" si="18"/>
        <v>0</v>
      </c>
      <c r="H48" s="1">
        <f t="shared" si="16"/>
        <v>0</v>
      </c>
      <c r="I48" s="1">
        <f t="shared" si="16"/>
        <v>0</v>
      </c>
      <c r="J48" s="1">
        <f t="shared" si="16"/>
        <v>0</v>
      </c>
      <c r="K48" s="1">
        <f t="shared" si="16"/>
        <v>0</v>
      </c>
      <c r="L48" s="1">
        <f t="shared" si="16"/>
        <v>0</v>
      </c>
      <c r="M48" s="1">
        <f t="shared" si="16"/>
        <v>0</v>
      </c>
      <c r="N48" s="1">
        <f t="shared" si="16"/>
        <v>-0.98126914684485633</v>
      </c>
      <c r="O48" s="1">
        <f t="shared" si="16"/>
        <v>-0.19264179569960369</v>
      </c>
      <c r="P48" s="1">
        <f t="shared" si="16"/>
        <v>0.98126914684485633</v>
      </c>
      <c r="Q48" s="12">
        <f t="shared" si="16"/>
        <v>0.19264179569960369</v>
      </c>
      <c r="S48" s="72">
        <f t="shared" si="17"/>
        <v>-3.0916019011044682E-3</v>
      </c>
    </row>
    <row r="49" spans="2:19">
      <c r="B49" s="11">
        <f t="shared" si="18"/>
        <v>0</v>
      </c>
      <c r="C49" s="1">
        <f t="shared" si="18"/>
        <v>0</v>
      </c>
      <c r="D49" s="1">
        <f t="shared" si="18"/>
        <v>0</v>
      </c>
      <c r="E49" s="1">
        <f t="shared" si="18"/>
        <v>0</v>
      </c>
      <c r="F49" s="1">
        <f t="shared" si="18"/>
        <v>0</v>
      </c>
      <c r="G49" s="1">
        <f t="shared" si="18"/>
        <v>0</v>
      </c>
      <c r="H49" s="1">
        <f t="shared" si="16"/>
        <v>0</v>
      </c>
      <c r="I49" s="1">
        <f t="shared" si="16"/>
        <v>0</v>
      </c>
      <c r="J49" s="1">
        <f t="shared" si="16"/>
        <v>0</v>
      </c>
      <c r="K49" s="1">
        <f t="shared" si="16"/>
        <v>0</v>
      </c>
      <c r="L49" s="1">
        <f t="shared" si="16"/>
        <v>0.20260560403595229</v>
      </c>
      <c r="M49" s="1">
        <f t="shared" si="16"/>
        <v>0.97926041950710274</v>
      </c>
      <c r="N49" s="1">
        <f t="shared" si="16"/>
        <v>-0.20260560403595229</v>
      </c>
      <c r="O49" s="1">
        <f t="shared" si="16"/>
        <v>-0.97926041950710274</v>
      </c>
      <c r="P49" s="1">
        <f t="shared" si="16"/>
        <v>0</v>
      </c>
      <c r="Q49" s="12">
        <f t="shared" si="16"/>
        <v>0</v>
      </c>
      <c r="S49" s="72">
        <f t="shared" si="17"/>
        <v>-2.7105039154662336E-4</v>
      </c>
    </row>
    <row r="50" spans="2:19">
      <c r="B50" s="11">
        <f t="shared" si="18"/>
        <v>0</v>
      </c>
      <c r="C50" s="1">
        <f t="shared" si="18"/>
        <v>0</v>
      </c>
      <c r="D50" s="1">
        <f t="shared" si="18"/>
        <v>0</v>
      </c>
      <c r="E50" s="1">
        <f t="shared" si="18"/>
        <v>0</v>
      </c>
      <c r="F50" s="1">
        <f t="shared" si="18"/>
        <v>0</v>
      </c>
      <c r="G50" s="1">
        <f t="shared" si="18"/>
        <v>0</v>
      </c>
      <c r="H50" s="1">
        <f t="shared" si="16"/>
        <v>0</v>
      </c>
      <c r="I50" s="1">
        <f t="shared" si="16"/>
        <v>0</v>
      </c>
      <c r="J50" s="1">
        <f t="shared" si="16"/>
        <v>-1.5623093000542007E-2</v>
      </c>
      <c r="K50" s="1">
        <f t="shared" si="16"/>
        <v>0.99987795203469532</v>
      </c>
      <c r="L50" s="1">
        <f t="shared" si="16"/>
        <v>0</v>
      </c>
      <c r="M50" s="1">
        <f t="shared" si="16"/>
        <v>0</v>
      </c>
      <c r="N50" s="1">
        <f t="shared" si="16"/>
        <v>1.5623093000542007E-2</v>
      </c>
      <c r="O50" s="1">
        <f t="shared" si="16"/>
        <v>-0.99987795203469532</v>
      </c>
      <c r="P50" s="1">
        <f t="shared" si="16"/>
        <v>0</v>
      </c>
      <c r="Q50" s="12">
        <f t="shared" si="16"/>
        <v>0</v>
      </c>
      <c r="S50" s="72">
        <f t="shared" si="17"/>
        <v>-5.4398838948372941E-3</v>
      </c>
    </row>
    <row r="51" spans="2:19">
      <c r="B51" s="11">
        <f t="shared" si="18"/>
        <v>-0.985460115744348</v>
      </c>
      <c r="C51" s="1">
        <f t="shared" si="18"/>
        <v>-0.16990691650764622</v>
      </c>
      <c r="D51" s="1">
        <f t="shared" si="18"/>
        <v>0.985460115744348</v>
      </c>
      <c r="E51" s="1">
        <f t="shared" si="18"/>
        <v>0.16990691650764622</v>
      </c>
      <c r="F51" s="1">
        <f t="shared" si="18"/>
        <v>0</v>
      </c>
      <c r="G51" s="1">
        <f t="shared" si="18"/>
        <v>0</v>
      </c>
      <c r="H51" s="1">
        <f t="shared" si="16"/>
        <v>0</v>
      </c>
      <c r="I51" s="1">
        <f t="shared" si="16"/>
        <v>0</v>
      </c>
      <c r="J51" s="1">
        <f t="shared" si="16"/>
        <v>0</v>
      </c>
      <c r="K51" s="1">
        <f t="shared" si="16"/>
        <v>0</v>
      </c>
      <c r="L51" s="1">
        <f t="shared" si="16"/>
        <v>0</v>
      </c>
      <c r="M51" s="1">
        <f t="shared" si="16"/>
        <v>0</v>
      </c>
      <c r="N51" s="1">
        <f t="shared" si="16"/>
        <v>0</v>
      </c>
      <c r="O51" s="1">
        <f t="shared" si="16"/>
        <v>0</v>
      </c>
      <c r="P51" s="1">
        <f t="shared" si="16"/>
        <v>0</v>
      </c>
      <c r="Q51" s="12">
        <f t="shared" si="16"/>
        <v>0</v>
      </c>
      <c r="S51" s="72">
        <f t="shared" si="17"/>
        <v>1.5289695621618193E-2</v>
      </c>
    </row>
    <row r="52" spans="2:19">
      <c r="B52" s="11">
        <f t="shared" si="18"/>
        <v>-0.43292385560131397</v>
      </c>
      <c r="C52" s="1">
        <f t="shared" si="18"/>
        <v>-0.90143049385479113</v>
      </c>
      <c r="D52" s="1">
        <f t="shared" si="18"/>
        <v>0</v>
      </c>
      <c r="E52" s="1">
        <f t="shared" si="18"/>
        <v>0</v>
      </c>
      <c r="F52" s="1">
        <f t="shared" si="18"/>
        <v>0</v>
      </c>
      <c r="G52" s="1">
        <f t="shared" si="18"/>
        <v>0</v>
      </c>
      <c r="H52" s="1">
        <f t="shared" si="16"/>
        <v>0</v>
      </c>
      <c r="I52" s="1">
        <f t="shared" si="16"/>
        <v>0</v>
      </c>
      <c r="J52" s="1">
        <f t="shared" si="16"/>
        <v>0</v>
      </c>
      <c r="K52" s="1">
        <f t="shared" si="16"/>
        <v>0</v>
      </c>
      <c r="L52" s="1">
        <f t="shared" si="16"/>
        <v>0</v>
      </c>
      <c r="M52" s="1">
        <f t="shared" si="16"/>
        <v>0</v>
      </c>
      <c r="N52" s="1">
        <f t="shared" si="16"/>
        <v>0</v>
      </c>
      <c r="O52" s="1">
        <f t="shared" si="16"/>
        <v>0</v>
      </c>
      <c r="P52" s="1">
        <f t="shared" si="16"/>
        <v>0.43292385560131397</v>
      </c>
      <c r="Q52" s="12">
        <f t="shared" si="16"/>
        <v>0.90143049385479113</v>
      </c>
      <c r="S52" s="72">
        <f t="shared" si="17"/>
        <v>1.0076524824171429E-2</v>
      </c>
    </row>
    <row r="53" spans="2:19">
      <c r="B53" s="11">
        <f t="shared" si="18"/>
        <v>0.22082565259779505</v>
      </c>
      <c r="C53" s="1">
        <f t="shared" si="18"/>
        <v>-0.97531329897359542</v>
      </c>
      <c r="D53" s="1">
        <f t="shared" si="18"/>
        <v>0</v>
      </c>
      <c r="E53" s="1">
        <f t="shared" si="18"/>
        <v>0</v>
      </c>
      <c r="F53" s="1">
        <f t="shared" si="18"/>
        <v>0</v>
      </c>
      <c r="G53" s="1">
        <f t="shared" si="18"/>
        <v>0</v>
      </c>
      <c r="H53" s="1">
        <f t="shared" si="16"/>
        <v>0</v>
      </c>
      <c r="I53" s="1">
        <f t="shared" si="16"/>
        <v>0</v>
      </c>
      <c r="J53" s="1">
        <f t="shared" si="16"/>
        <v>0</v>
      </c>
      <c r="K53" s="1">
        <f t="shared" si="16"/>
        <v>0</v>
      </c>
      <c r="L53" s="1">
        <f t="shared" si="16"/>
        <v>-0.22082565259779505</v>
      </c>
      <c r="M53" s="1">
        <f t="shared" si="16"/>
        <v>0.97531329897359542</v>
      </c>
      <c r="N53" s="1">
        <f t="shared" si="16"/>
        <v>0</v>
      </c>
      <c r="O53" s="1">
        <f t="shared" si="16"/>
        <v>0</v>
      </c>
      <c r="P53" s="1">
        <f t="shared" si="16"/>
        <v>0</v>
      </c>
      <c r="Q53" s="12">
        <f t="shared" si="16"/>
        <v>0</v>
      </c>
      <c r="S53" s="72">
        <f t="shared" si="17"/>
        <v>6.7633838704637128E-3</v>
      </c>
    </row>
    <row r="54" spans="2:19">
      <c r="B54" s="11">
        <f t="shared" si="18"/>
        <v>0</v>
      </c>
      <c r="C54" s="1">
        <f t="shared" si="18"/>
        <v>0</v>
      </c>
      <c r="D54" s="1">
        <f t="shared" si="18"/>
        <v>0.92711006570415411</v>
      </c>
      <c r="E54" s="1">
        <f t="shared" si="18"/>
        <v>-0.37478917549742424</v>
      </c>
      <c r="F54" s="1">
        <f t="shared" si="18"/>
        <v>0</v>
      </c>
      <c r="G54" s="1">
        <f t="shared" si="18"/>
        <v>0</v>
      </c>
      <c r="H54" s="1">
        <f t="shared" si="16"/>
        <v>0</v>
      </c>
      <c r="I54" s="1">
        <f t="shared" si="16"/>
        <v>0</v>
      </c>
      <c r="J54" s="1">
        <f t="shared" si="16"/>
        <v>0</v>
      </c>
      <c r="K54" s="1">
        <f t="shared" si="16"/>
        <v>0</v>
      </c>
      <c r="L54" s="1">
        <f t="shared" si="16"/>
        <v>0</v>
      </c>
      <c r="M54" s="1">
        <f t="shared" si="16"/>
        <v>0</v>
      </c>
      <c r="N54" s="1">
        <f t="shared" si="16"/>
        <v>-0.92711006570415411</v>
      </c>
      <c r="O54" s="1">
        <f t="shared" si="16"/>
        <v>0.37478917549742424</v>
      </c>
      <c r="P54" s="1">
        <f t="shared" si="16"/>
        <v>0</v>
      </c>
      <c r="Q54" s="12">
        <f t="shared" si="16"/>
        <v>0</v>
      </c>
      <c r="S54" s="72">
        <f t="shared" si="17"/>
        <v>3.5371127315215745E-3</v>
      </c>
    </row>
    <row r="55" spans="2:19">
      <c r="B55" s="11">
        <f t="shared" si="18"/>
        <v>0</v>
      </c>
      <c r="C55" s="1">
        <f t="shared" si="18"/>
        <v>0</v>
      </c>
      <c r="D55" s="1">
        <f t="shared" si="18"/>
        <v>0.49318539144858226</v>
      </c>
      <c r="E55" s="1">
        <f t="shared" si="18"/>
        <v>-0.86992423213847114</v>
      </c>
      <c r="F55" s="1">
        <f t="shared" si="18"/>
        <v>0</v>
      </c>
      <c r="G55" s="1">
        <f t="shared" si="18"/>
        <v>0</v>
      </c>
      <c r="H55" s="1">
        <f t="shared" si="16"/>
        <v>0</v>
      </c>
      <c r="I55" s="1">
        <f t="shared" si="16"/>
        <v>0</v>
      </c>
      <c r="J55" s="1">
        <f t="shared" si="16"/>
        <v>0</v>
      </c>
      <c r="K55" s="1">
        <f t="shared" si="16"/>
        <v>0</v>
      </c>
      <c r="L55" s="1">
        <f t="shared" si="16"/>
        <v>0</v>
      </c>
      <c r="M55" s="1">
        <f t="shared" si="16"/>
        <v>0</v>
      </c>
      <c r="N55" s="1">
        <f t="shared" si="16"/>
        <v>0</v>
      </c>
      <c r="O55" s="1">
        <f t="shared" si="16"/>
        <v>0</v>
      </c>
      <c r="P55" s="1">
        <f t="shared" si="16"/>
        <v>-0.49318539144858226</v>
      </c>
      <c r="Q55" s="12">
        <f t="shared" si="16"/>
        <v>0.86992423213847114</v>
      </c>
      <c r="S55" s="72">
        <f t="shared" si="17"/>
        <v>3.2256658837468422E-3</v>
      </c>
    </row>
    <row r="56" spans="2:19">
      <c r="B56" s="11">
        <f t="shared" si="18"/>
        <v>0</v>
      </c>
      <c r="C56" s="1">
        <f t="shared" si="18"/>
        <v>0</v>
      </c>
      <c r="D56" s="1">
        <f t="shared" si="18"/>
        <v>-0.16990691650764617</v>
      </c>
      <c r="E56" s="1">
        <f t="shared" si="18"/>
        <v>-0.985460115744348</v>
      </c>
      <c r="F56" s="1">
        <f t="shared" si="18"/>
        <v>0.16990691650764617</v>
      </c>
      <c r="G56" s="1">
        <f t="shared" si="18"/>
        <v>0.985460115744348</v>
      </c>
      <c r="H56" s="1">
        <f t="shared" si="16"/>
        <v>0</v>
      </c>
      <c r="I56" s="1">
        <f t="shared" si="16"/>
        <v>0</v>
      </c>
      <c r="J56" s="1">
        <f t="shared" si="16"/>
        <v>0</v>
      </c>
      <c r="K56" s="1">
        <f t="shared" si="16"/>
        <v>0</v>
      </c>
      <c r="L56" s="1">
        <f t="shared" si="16"/>
        <v>0</v>
      </c>
      <c r="M56" s="1">
        <f t="shared" si="16"/>
        <v>0</v>
      </c>
      <c r="N56" s="1">
        <f t="shared" si="16"/>
        <v>0</v>
      </c>
      <c r="O56" s="1">
        <f t="shared" si="16"/>
        <v>0</v>
      </c>
      <c r="P56" s="1">
        <f t="shared" si="16"/>
        <v>0</v>
      </c>
      <c r="Q56" s="12">
        <f t="shared" si="16"/>
        <v>0</v>
      </c>
      <c r="S56" s="72">
        <f t="shared" si="17"/>
        <v>6.27939124325394E-3</v>
      </c>
    </row>
    <row r="57" spans="2:19">
      <c r="B57" s="11">
        <f t="shared" si="18"/>
        <v>0</v>
      </c>
      <c r="C57" s="1">
        <f t="shared" si="18"/>
        <v>0</v>
      </c>
      <c r="D57" s="1">
        <f t="shared" si="18"/>
        <v>0</v>
      </c>
      <c r="E57" s="1">
        <f t="shared" si="18"/>
        <v>0</v>
      </c>
      <c r="F57" s="1">
        <f t="shared" si="18"/>
        <v>0.93075149344034702</v>
      </c>
      <c r="G57" s="1">
        <f t="shared" si="18"/>
        <v>-0.36565237242299375</v>
      </c>
      <c r="H57" s="1">
        <f t="shared" si="16"/>
        <v>-0.93075149344034702</v>
      </c>
      <c r="I57" s="1">
        <f t="shared" si="16"/>
        <v>0.36565237242299375</v>
      </c>
      <c r="J57" s="1">
        <f t="shared" si="16"/>
        <v>0</v>
      </c>
      <c r="K57" s="1">
        <f t="shared" si="16"/>
        <v>0</v>
      </c>
      <c r="L57" s="1">
        <f t="shared" si="16"/>
        <v>0</v>
      </c>
      <c r="M57" s="1">
        <f t="shared" si="16"/>
        <v>0</v>
      </c>
      <c r="N57" s="1">
        <f t="shared" si="16"/>
        <v>0</v>
      </c>
      <c r="O57" s="1">
        <f t="shared" si="16"/>
        <v>0</v>
      </c>
      <c r="P57" s="1">
        <f t="shared" si="16"/>
        <v>0</v>
      </c>
      <c r="Q57" s="12">
        <f t="shared" si="16"/>
        <v>0</v>
      </c>
      <c r="S57" s="72">
        <f t="shared" si="17"/>
        <v>-8.2104350867666653E-3</v>
      </c>
    </row>
    <row r="58" spans="2:19">
      <c r="B58" s="11">
        <f t="shared" si="18"/>
        <v>0</v>
      </c>
      <c r="C58" s="1">
        <f t="shared" si="18"/>
        <v>0</v>
      </c>
      <c r="D58" s="1">
        <f t="shared" si="18"/>
        <v>0</v>
      </c>
      <c r="E58" s="1">
        <f t="shared" si="18"/>
        <v>0</v>
      </c>
      <c r="F58" s="1">
        <f t="shared" si="18"/>
        <v>0.98131374967715723</v>
      </c>
      <c r="G58" s="1">
        <f t="shared" si="18"/>
        <v>0.19241446072101101</v>
      </c>
      <c r="H58" s="1">
        <f t="shared" si="18"/>
        <v>0</v>
      </c>
      <c r="I58" s="1">
        <f t="shared" si="18"/>
        <v>0</v>
      </c>
      <c r="J58" s="1">
        <f t="shared" si="18"/>
        <v>0</v>
      </c>
      <c r="K58" s="1">
        <f t="shared" si="18"/>
        <v>0</v>
      </c>
      <c r="L58" s="1">
        <f t="shared" si="18"/>
        <v>-0.98131374967715723</v>
      </c>
      <c r="M58" s="1">
        <f t="shared" si="18"/>
        <v>-0.19241446072101101</v>
      </c>
      <c r="N58" s="1">
        <f t="shared" si="18"/>
        <v>0</v>
      </c>
      <c r="O58" s="1">
        <f t="shared" si="18"/>
        <v>0</v>
      </c>
      <c r="P58" s="1">
        <f t="shared" si="18"/>
        <v>0</v>
      </c>
      <c r="Q58" s="12">
        <f t="shared" si="18"/>
        <v>0</v>
      </c>
      <c r="S58" s="72">
        <f t="shared" si="17"/>
        <v>-1.2270796274322038E-2</v>
      </c>
    </row>
    <row r="59" spans="2:19">
      <c r="B59" s="11">
        <f t="shared" ref="B59:Q61" si="19">IF(B$41=$B21,IF(B$40="dx",-$K21,-$J21),IF(B$41=$C21,IF(B$40="dx",$K21,$J21),0))</f>
        <v>0</v>
      </c>
      <c r="C59" s="1">
        <f t="shared" si="19"/>
        <v>0</v>
      </c>
      <c r="D59" s="1">
        <f t="shared" si="19"/>
        <v>0</v>
      </c>
      <c r="E59" s="1">
        <f t="shared" si="19"/>
        <v>0</v>
      </c>
      <c r="F59" s="1">
        <f t="shared" si="19"/>
        <v>0.59921385627771317</v>
      </c>
      <c r="G59" s="1">
        <f t="shared" si="19"/>
        <v>0.80058900469891048</v>
      </c>
      <c r="H59" s="1">
        <f t="shared" si="19"/>
        <v>0</v>
      </c>
      <c r="I59" s="1">
        <f t="shared" si="19"/>
        <v>0</v>
      </c>
      <c r="J59" s="1">
        <f t="shared" si="19"/>
        <v>0</v>
      </c>
      <c r="K59" s="1">
        <f t="shared" si="19"/>
        <v>0</v>
      </c>
      <c r="L59" s="1">
        <f t="shared" si="19"/>
        <v>0</v>
      </c>
      <c r="M59" s="1">
        <f t="shared" si="19"/>
        <v>0</v>
      </c>
      <c r="N59" s="1">
        <f t="shared" si="19"/>
        <v>0</v>
      </c>
      <c r="O59" s="1">
        <f t="shared" si="19"/>
        <v>0</v>
      </c>
      <c r="P59" s="1">
        <f t="shared" si="19"/>
        <v>-0.59921385627771317</v>
      </c>
      <c r="Q59" s="12">
        <f t="shared" si="19"/>
        <v>-0.80058900469891048</v>
      </c>
      <c r="S59" s="72">
        <f t="shared" si="17"/>
        <v>-1.8017681965716292E-3</v>
      </c>
    </row>
    <row r="60" spans="2:19">
      <c r="B60" s="11">
        <f t="shared" si="19"/>
        <v>0</v>
      </c>
      <c r="C60" s="1">
        <f t="shared" si="19"/>
        <v>0</v>
      </c>
      <c r="D60" s="1">
        <f t="shared" si="19"/>
        <v>0</v>
      </c>
      <c r="E60" s="1">
        <f t="shared" si="19"/>
        <v>0</v>
      </c>
      <c r="F60" s="1">
        <f t="shared" si="19"/>
        <v>0</v>
      </c>
      <c r="G60" s="1">
        <f t="shared" si="19"/>
        <v>0</v>
      </c>
      <c r="H60" s="1">
        <f t="shared" si="19"/>
        <v>0</v>
      </c>
      <c r="I60" s="1">
        <f t="shared" si="19"/>
        <v>0</v>
      </c>
      <c r="J60" s="1">
        <f t="shared" si="19"/>
        <v>-0.50387102552408569</v>
      </c>
      <c r="K60" s="1">
        <f t="shared" si="19"/>
        <v>0.86377890089843368</v>
      </c>
      <c r="L60" s="1">
        <f t="shared" si="19"/>
        <v>0</v>
      </c>
      <c r="M60" s="1">
        <f t="shared" si="19"/>
        <v>0</v>
      </c>
      <c r="N60" s="1">
        <f t="shared" si="19"/>
        <v>0</v>
      </c>
      <c r="O60" s="1">
        <f t="shared" si="19"/>
        <v>0</v>
      </c>
      <c r="P60" s="1">
        <f t="shared" si="19"/>
        <v>0.50387102552408569</v>
      </c>
      <c r="Q60" s="12">
        <f t="shared" si="19"/>
        <v>-0.86377890089843368</v>
      </c>
      <c r="S60" s="72">
        <f t="shared" si="17"/>
        <v>1.2557467953229207E-3</v>
      </c>
    </row>
    <row r="61" spans="2:19">
      <c r="B61" s="13">
        <f t="shared" si="19"/>
        <v>0</v>
      </c>
      <c r="C61" s="14">
        <f t="shared" si="19"/>
        <v>0</v>
      </c>
      <c r="D61" s="14">
        <f t="shared" si="19"/>
        <v>0</v>
      </c>
      <c r="E61" s="14">
        <f t="shared" si="19"/>
        <v>0</v>
      </c>
      <c r="F61" s="14">
        <f t="shared" si="19"/>
        <v>0</v>
      </c>
      <c r="G61" s="14">
        <f t="shared" si="19"/>
        <v>0</v>
      </c>
      <c r="H61" s="14">
        <f t="shared" si="19"/>
        <v>0.90618313999526523</v>
      </c>
      <c r="I61" s="14">
        <f t="shared" si="19"/>
        <v>-0.42288546533112437</v>
      </c>
      <c r="J61" s="14">
        <f t="shared" si="19"/>
        <v>-0.90618313999526523</v>
      </c>
      <c r="K61" s="14">
        <f t="shared" si="19"/>
        <v>0.42288546533112437</v>
      </c>
      <c r="L61" s="14">
        <f t="shared" si="19"/>
        <v>0</v>
      </c>
      <c r="M61" s="14">
        <f t="shared" si="19"/>
        <v>0</v>
      </c>
      <c r="N61" s="14">
        <f t="shared" si="19"/>
        <v>0</v>
      </c>
      <c r="O61" s="14">
        <f t="shared" si="19"/>
        <v>0</v>
      </c>
      <c r="P61" s="14">
        <f t="shared" si="19"/>
        <v>0</v>
      </c>
      <c r="Q61" s="15">
        <f t="shared" si="19"/>
        <v>0</v>
      </c>
      <c r="S61" s="72">
        <f t="shared" si="17"/>
        <v>-8.4642753151342731E-4</v>
      </c>
    </row>
    <row r="62" spans="2:19">
      <c r="B62" s="8">
        <f t="shared" ref="B62:Q62" si="20">IF(B$41=$C26,IF(B$40="dx",$R26,-$Q26),IF(B$41=$D26,IF(B$40="dx",-$T26,$S26),IF(B$41=$B26,IF(B$40="dx",($T26-$R26),($Q26-$S26)),0)))</f>
        <v>-3403.3062075712155</v>
      </c>
      <c r="C62" s="9">
        <f t="shared" si="20"/>
        <v>1634.4825865309128</v>
      </c>
      <c r="D62" s="9">
        <f t="shared" si="20"/>
        <v>3793.4927551580181</v>
      </c>
      <c r="E62" s="9">
        <f t="shared" si="20"/>
        <v>2150.6415619793488</v>
      </c>
      <c r="F62" s="9">
        <f t="shared" si="20"/>
        <v>0</v>
      </c>
      <c r="G62" s="9">
        <f t="shared" si="20"/>
        <v>0</v>
      </c>
      <c r="H62" s="9">
        <f t="shared" si="20"/>
        <v>0</v>
      </c>
      <c r="I62" s="9">
        <f t="shared" si="20"/>
        <v>0</v>
      </c>
      <c r="J62" s="9">
        <f t="shared" si="20"/>
        <v>0</v>
      </c>
      <c r="K62" s="9">
        <f t="shared" si="20"/>
        <v>0</v>
      </c>
      <c r="L62" s="9">
        <f t="shared" si="20"/>
        <v>0</v>
      </c>
      <c r="M62" s="9">
        <f t="shared" si="20"/>
        <v>0</v>
      </c>
      <c r="N62" s="9">
        <f t="shared" si="20"/>
        <v>0</v>
      </c>
      <c r="O62" s="9">
        <f t="shared" si="20"/>
        <v>0</v>
      </c>
      <c r="P62" s="9">
        <f t="shared" si="20"/>
        <v>-390.18654758680259</v>
      </c>
      <c r="Q62" s="10">
        <f t="shared" si="20"/>
        <v>-3785.1241485102619</v>
      </c>
      <c r="S62" s="89">
        <f t="shared" ref="S62:S73" si="21">P26*10000</f>
        <v>29.366713100174024</v>
      </c>
    </row>
    <row r="63" spans="2:19">
      <c r="B63" s="11">
        <f t="shared" ref="B63:Q63" si="22">IF(B$41=$C27,IF(B$40="dx",$R27,-$Q27),IF(B$41=$D27,IF(B$40="dx",-$T27,$S27),IF(B$41=$B27,IF(B$40="dx",($T27-$R27),($Q27-$S27)),0)))</f>
        <v>0</v>
      </c>
      <c r="C63" s="1">
        <f t="shared" si="22"/>
        <v>0</v>
      </c>
      <c r="D63" s="1">
        <f t="shared" si="22"/>
        <v>-3793.4927551580181</v>
      </c>
      <c r="E63" s="1">
        <f t="shared" si="22"/>
        <v>-2150.6415619793488</v>
      </c>
      <c r="F63" s="1">
        <f t="shared" si="22"/>
        <v>-2503.2934382533417</v>
      </c>
      <c r="G63" s="1">
        <f t="shared" si="22"/>
        <v>1873.6306715761204</v>
      </c>
      <c r="H63" s="1">
        <f t="shared" si="22"/>
        <v>0</v>
      </c>
      <c r="I63" s="1">
        <f t="shared" si="22"/>
        <v>0</v>
      </c>
      <c r="J63" s="1">
        <f t="shared" si="22"/>
        <v>0</v>
      </c>
      <c r="K63" s="1">
        <f t="shared" si="22"/>
        <v>0</v>
      </c>
      <c r="L63" s="1">
        <f t="shared" si="22"/>
        <v>0</v>
      </c>
      <c r="M63" s="1">
        <f t="shared" si="22"/>
        <v>0</v>
      </c>
      <c r="N63" s="1">
        <f t="shared" si="22"/>
        <v>0</v>
      </c>
      <c r="O63" s="1">
        <f t="shared" si="22"/>
        <v>0</v>
      </c>
      <c r="P63" s="1">
        <f t="shared" si="22"/>
        <v>6296.7861934113598</v>
      </c>
      <c r="Q63" s="12">
        <f t="shared" si="22"/>
        <v>277.01089040322836</v>
      </c>
      <c r="S63" s="90">
        <f t="shared" si="21"/>
        <v>18.677864255352006</v>
      </c>
    </row>
    <row r="64" spans="2:19">
      <c r="B64" s="11">
        <f t="shared" ref="B64:Q64" si="23">IF(B$41=$C28,IF(B$40="dx",$R28,-$Q28),IF(B$41=$D28,IF(B$40="dx",-$T28,$S28),IF(B$41=$B28,IF(B$40="dx",($T28-$R28),($Q28-$S28)),0)))</f>
        <v>0</v>
      </c>
      <c r="C64" s="1">
        <f t="shared" si="23"/>
        <v>0</v>
      </c>
      <c r="D64" s="1">
        <f t="shared" si="23"/>
        <v>0</v>
      </c>
      <c r="E64" s="1">
        <f t="shared" si="23"/>
        <v>0</v>
      </c>
      <c r="F64" s="1">
        <f t="shared" si="23"/>
        <v>2503.2934382533417</v>
      </c>
      <c r="G64" s="1">
        <f t="shared" si="23"/>
        <v>-1873.6306715761207</v>
      </c>
      <c r="H64" s="1">
        <f t="shared" si="23"/>
        <v>-2900.4997152677797</v>
      </c>
      <c r="I64" s="1">
        <f t="shared" si="23"/>
        <v>-239.49080217807358</v>
      </c>
      <c r="J64" s="1">
        <f t="shared" si="23"/>
        <v>0</v>
      </c>
      <c r="K64" s="1">
        <f t="shared" si="23"/>
        <v>0</v>
      </c>
      <c r="L64" s="1">
        <f t="shared" si="23"/>
        <v>0</v>
      </c>
      <c r="M64" s="1">
        <f t="shared" si="23"/>
        <v>0</v>
      </c>
      <c r="N64" s="1">
        <f t="shared" si="23"/>
        <v>0</v>
      </c>
      <c r="O64" s="1">
        <f t="shared" si="23"/>
        <v>0</v>
      </c>
      <c r="P64" s="1">
        <f t="shared" si="23"/>
        <v>397.206277014438</v>
      </c>
      <c r="Q64" s="12">
        <f t="shared" si="23"/>
        <v>2113.1214737541941</v>
      </c>
      <c r="S64" s="90">
        <f t="shared" si="21"/>
        <v>-26.86773425423894</v>
      </c>
    </row>
    <row r="65" spans="2:19">
      <c r="B65" s="11">
        <f t="shared" ref="B65:Q65" si="24">IF(B$41=$C29,IF(B$40="dx",$R29,-$Q29),IF(B$41=$D29,IF(B$40="dx",-$T29,$S29),IF(B$41=$B29,IF(B$40="dx",($T29-$R29),($Q29-$S29)),0)))</f>
        <v>0</v>
      </c>
      <c r="C65" s="1">
        <f t="shared" si="24"/>
        <v>0</v>
      </c>
      <c r="D65" s="1">
        <f t="shared" si="24"/>
        <v>0</v>
      </c>
      <c r="E65" s="1">
        <f t="shared" si="24"/>
        <v>0</v>
      </c>
      <c r="F65" s="1">
        <f t="shared" si="24"/>
        <v>0</v>
      </c>
      <c r="G65" s="1">
        <f t="shared" si="24"/>
        <v>0</v>
      </c>
      <c r="H65" s="1">
        <f t="shared" si="24"/>
        <v>2900.4997152677797</v>
      </c>
      <c r="I65" s="1">
        <f t="shared" si="24"/>
        <v>239.49080217807358</v>
      </c>
      <c r="J65" s="1">
        <f t="shared" si="24"/>
        <v>0</v>
      </c>
      <c r="K65" s="1">
        <f t="shared" si="24"/>
        <v>0</v>
      </c>
      <c r="L65" s="1">
        <f t="shared" si="24"/>
        <v>-2361.876494764485</v>
      </c>
      <c r="M65" s="1">
        <f t="shared" si="24"/>
        <v>-2779.9077327758987</v>
      </c>
      <c r="N65" s="1">
        <f t="shared" si="24"/>
        <v>0</v>
      </c>
      <c r="O65" s="1">
        <f t="shared" si="24"/>
        <v>0</v>
      </c>
      <c r="P65" s="1">
        <f t="shared" si="24"/>
        <v>-538.62322050329476</v>
      </c>
      <c r="Q65" s="12">
        <f t="shared" si="24"/>
        <v>2540.4169305978253</v>
      </c>
      <c r="S65" s="90">
        <f t="shared" si="21"/>
        <v>-20.847107294699185</v>
      </c>
    </row>
    <row r="66" spans="2:19">
      <c r="B66" s="11">
        <f t="shared" ref="B66:Q66" si="25">IF(B$41=$C30,IF(B$40="dx",$R30,-$Q30),IF(B$41=$D30,IF(B$40="dx",-$T30,$S30),IF(B$41=$B30,IF(B$40="dx",($T30-$R30),($Q30-$S30)),0)))</f>
        <v>0</v>
      </c>
      <c r="C66" s="1">
        <f t="shared" si="25"/>
        <v>0</v>
      </c>
      <c r="D66" s="1">
        <f t="shared" si="25"/>
        <v>0</v>
      </c>
      <c r="E66" s="1">
        <f t="shared" si="25"/>
        <v>0</v>
      </c>
      <c r="F66" s="1">
        <f t="shared" si="25"/>
        <v>0</v>
      </c>
      <c r="G66" s="1">
        <f t="shared" si="25"/>
        <v>0</v>
      </c>
      <c r="H66" s="1">
        <f t="shared" si="25"/>
        <v>0</v>
      </c>
      <c r="I66" s="1">
        <f t="shared" si="25"/>
        <v>0</v>
      </c>
      <c r="J66" s="1">
        <f t="shared" si="25"/>
        <v>0</v>
      </c>
      <c r="K66" s="1">
        <f t="shared" si="25"/>
        <v>0</v>
      </c>
      <c r="L66" s="1">
        <f t="shared" si="25"/>
        <v>2361.876494764485</v>
      </c>
      <c r="M66" s="1">
        <f t="shared" si="25"/>
        <v>2779.9077327758987</v>
      </c>
      <c r="N66" s="1">
        <f t="shared" si="25"/>
        <v>738.29713027806338</v>
      </c>
      <c r="O66" s="1">
        <f t="shared" si="25"/>
        <v>-3760.7010073538854</v>
      </c>
      <c r="P66" s="1">
        <f t="shared" si="25"/>
        <v>-3100.1736250425483</v>
      </c>
      <c r="Q66" s="12">
        <f t="shared" si="25"/>
        <v>980.79327457798672</v>
      </c>
      <c r="S66" s="90">
        <f t="shared" si="21"/>
        <v>2.9553998365372536</v>
      </c>
    </row>
    <row r="67" spans="2:19">
      <c r="B67" s="11">
        <f t="shared" ref="B67:Q67" si="26">IF(B$41=$C31,IF(B$40="dx",$R31,-$Q31),IF(B$41=$D31,IF(B$40="dx",-$T31,$S31),IF(B$41=$B31,IF(B$40="dx",($T31-$R31),($Q31-$S31)),0)))</f>
        <v>3403.3062075712155</v>
      </c>
      <c r="C67" s="1">
        <f t="shared" si="26"/>
        <v>-1634.4825865309126</v>
      </c>
      <c r="D67" s="1">
        <f t="shared" si="26"/>
        <v>0</v>
      </c>
      <c r="E67" s="1">
        <f t="shared" si="26"/>
        <v>0</v>
      </c>
      <c r="F67" s="1">
        <f t="shared" si="26"/>
        <v>0</v>
      </c>
      <c r="G67" s="1">
        <f t="shared" si="26"/>
        <v>0</v>
      </c>
      <c r="H67" s="1">
        <f t="shared" si="26"/>
        <v>0</v>
      </c>
      <c r="I67" s="1">
        <f t="shared" si="26"/>
        <v>0</v>
      </c>
      <c r="J67" s="1">
        <f t="shared" si="26"/>
        <v>0</v>
      </c>
      <c r="K67" s="1">
        <f t="shared" si="26"/>
        <v>0</v>
      </c>
      <c r="L67" s="1">
        <f t="shared" si="26"/>
        <v>0</v>
      </c>
      <c r="M67" s="1">
        <f t="shared" si="26"/>
        <v>0</v>
      </c>
      <c r="N67" s="1">
        <f t="shared" si="26"/>
        <v>-738.29713027806338</v>
      </c>
      <c r="O67" s="1">
        <f t="shared" si="26"/>
        <v>3760.7010073538859</v>
      </c>
      <c r="P67" s="1">
        <f t="shared" si="26"/>
        <v>-2665.0090772931521</v>
      </c>
      <c r="Q67" s="12">
        <f t="shared" si="26"/>
        <v>-2126.2184208229733</v>
      </c>
      <c r="S67" s="90">
        <f t="shared" si="21"/>
        <v>-14.285135643206104</v>
      </c>
    </row>
    <row r="68" spans="2:19">
      <c r="B68" s="11">
        <f t="shared" ref="B68:Q68" si="27">IF(B$41=$C32,IF(B$40="dx",$R32,-$Q32),IF(B$41=$D32,IF(B$40="dx",-$T32,$S32),IF(B$41=$B32,IF(B$40="dx",($T32-$R32),($Q32-$S32)),0)))</f>
        <v>0</v>
      </c>
      <c r="C68" s="1">
        <f t="shared" si="27"/>
        <v>0</v>
      </c>
      <c r="D68" s="1">
        <f t="shared" si="27"/>
        <v>0</v>
      </c>
      <c r="E68" s="1">
        <f t="shared" si="27"/>
        <v>0</v>
      </c>
      <c r="F68" s="1">
        <f t="shared" si="27"/>
        <v>0</v>
      </c>
      <c r="G68" s="1">
        <f t="shared" si="27"/>
        <v>0</v>
      </c>
      <c r="H68" s="1">
        <f t="shared" si="27"/>
        <v>0</v>
      </c>
      <c r="I68" s="1">
        <f t="shared" si="27"/>
        <v>0</v>
      </c>
      <c r="J68" s="1">
        <f t="shared" si="27"/>
        <v>-1508.9596323260703</v>
      </c>
      <c r="K68" s="1">
        <f t="shared" si="27"/>
        <v>-668.50480486098945</v>
      </c>
      <c r="L68" s="1">
        <f t="shared" si="27"/>
        <v>3497.9108371845136</v>
      </c>
      <c r="M68" s="1">
        <f t="shared" si="27"/>
        <v>699.58216743690264</v>
      </c>
      <c r="N68" s="1">
        <f t="shared" si="27"/>
        <v>-1988.9512048584434</v>
      </c>
      <c r="O68" s="1">
        <f t="shared" si="27"/>
        <v>-31.077362575913178</v>
      </c>
      <c r="P68" s="1">
        <f t="shared" si="27"/>
        <v>0</v>
      </c>
      <c r="Q68" s="12">
        <f t="shared" si="27"/>
        <v>0</v>
      </c>
      <c r="S68" s="90">
        <f t="shared" si="21"/>
        <v>5.5418201013068824</v>
      </c>
    </row>
    <row r="69" spans="2:19">
      <c r="B69" s="11">
        <f t="shared" ref="B69:Q69" si="28">IF(B$41=$C33,IF(B$40="dx",$R33,-$Q33),IF(B$41=$D33,IF(B$40="dx",-$T33,$S33),IF(B$41=$B33,IF(B$40="dx",($T33-$R33),($Q33-$S33)),0)))</f>
        <v>0</v>
      </c>
      <c r="C69" s="1">
        <f t="shared" si="28"/>
        <v>0</v>
      </c>
      <c r="D69" s="1">
        <f t="shared" si="28"/>
        <v>0</v>
      </c>
      <c r="E69" s="1">
        <f t="shared" si="28"/>
        <v>0</v>
      </c>
      <c r="F69" s="1">
        <f t="shared" si="28"/>
        <v>0</v>
      </c>
      <c r="G69" s="1">
        <f t="shared" si="28"/>
        <v>0</v>
      </c>
      <c r="H69" s="1">
        <f t="shared" si="28"/>
        <v>0</v>
      </c>
      <c r="I69" s="1">
        <f t="shared" si="28"/>
        <v>0</v>
      </c>
      <c r="J69" s="1">
        <f t="shared" si="28"/>
        <v>1848.6368155068417</v>
      </c>
      <c r="K69" s="1">
        <f t="shared" si="28"/>
        <v>-262.49434520840612</v>
      </c>
      <c r="L69" s="1">
        <f t="shared" si="28"/>
        <v>-3497.9108371845136</v>
      </c>
      <c r="M69" s="1">
        <f t="shared" si="28"/>
        <v>-699.58216743690264</v>
      </c>
      <c r="N69" s="1">
        <f t="shared" si="28"/>
        <v>0</v>
      </c>
      <c r="O69" s="1">
        <f t="shared" si="28"/>
        <v>0</v>
      </c>
      <c r="P69" s="1">
        <f t="shared" si="28"/>
        <v>1649.274021677672</v>
      </c>
      <c r="Q69" s="12">
        <f t="shared" si="28"/>
        <v>962.07651264530875</v>
      </c>
      <c r="S69" s="90">
        <f t="shared" si="21"/>
        <v>-14.281227677486186</v>
      </c>
    </row>
    <row r="70" spans="2:19">
      <c r="B70" s="11">
        <f t="shared" ref="B70:Q70" si="29">IF(B$41=$C34,IF(B$40="dx",$R34,-$Q34),IF(B$41=$D34,IF(B$40="dx",-$T34,$S34),IF(B$41=$B34,IF(B$40="dx",($T34-$R34),($Q34-$S34)),0)))</f>
        <v>0</v>
      </c>
      <c r="C70" s="1">
        <f t="shared" si="29"/>
        <v>0</v>
      </c>
      <c r="D70" s="1">
        <f t="shared" si="29"/>
        <v>0</v>
      </c>
      <c r="E70" s="1">
        <f t="shared" si="29"/>
        <v>0</v>
      </c>
      <c r="F70" s="1">
        <f t="shared" si="29"/>
        <v>0</v>
      </c>
      <c r="G70" s="1">
        <f t="shared" si="29"/>
        <v>0</v>
      </c>
      <c r="H70" s="1">
        <f t="shared" si="29"/>
        <v>1626.4008783113393</v>
      </c>
      <c r="I70" s="1">
        <f t="shared" si="29"/>
        <v>3485.144739238584</v>
      </c>
      <c r="J70" s="1">
        <f t="shared" si="29"/>
        <v>22.87314336633267</v>
      </c>
      <c r="K70" s="1">
        <f t="shared" si="29"/>
        <v>-2523.0682265932751</v>
      </c>
      <c r="L70" s="1">
        <f t="shared" si="29"/>
        <v>0</v>
      </c>
      <c r="M70" s="1">
        <f t="shared" si="29"/>
        <v>0</v>
      </c>
      <c r="N70" s="1">
        <f t="shared" si="29"/>
        <v>0</v>
      </c>
      <c r="O70" s="1">
        <f t="shared" si="29"/>
        <v>0</v>
      </c>
      <c r="P70" s="1">
        <f t="shared" si="29"/>
        <v>-1649.274021677672</v>
      </c>
      <c r="Q70" s="12">
        <f t="shared" si="29"/>
        <v>-962.07651264530875</v>
      </c>
      <c r="S70" s="90">
        <f t="shared" si="21"/>
        <v>-5.1182403248617447</v>
      </c>
    </row>
    <row r="71" spans="2:19">
      <c r="B71" s="11">
        <f t="shared" ref="B71:Q71" si="30">IF(B$41=$C35,IF(B$40="dx",$R35,-$Q35),IF(B$41=$D35,IF(B$40="dx",-$T35,$S35),IF(B$41=$B35,IF(B$40="dx",($T35-$R35),($Q35-$S35)),0)))</f>
        <v>0</v>
      </c>
      <c r="C71" s="1">
        <f t="shared" si="30"/>
        <v>0</v>
      </c>
      <c r="D71" s="1">
        <f t="shared" si="30"/>
        <v>0</v>
      </c>
      <c r="E71" s="1">
        <f t="shared" si="30"/>
        <v>0</v>
      </c>
      <c r="F71" s="1">
        <f t="shared" si="30"/>
        <v>0</v>
      </c>
      <c r="G71" s="1">
        <f t="shared" si="30"/>
        <v>0</v>
      </c>
      <c r="H71" s="1">
        <f t="shared" si="30"/>
        <v>-4382.8988617585992</v>
      </c>
      <c r="I71" s="1">
        <f t="shared" si="30"/>
        <v>-466.12313832015707</v>
      </c>
      <c r="J71" s="1">
        <f t="shared" si="30"/>
        <v>1626.4008783113393</v>
      </c>
      <c r="K71" s="1">
        <f t="shared" si="30"/>
        <v>3485.1447392385844</v>
      </c>
      <c r="L71" s="1">
        <f t="shared" si="30"/>
        <v>2756.4979834472601</v>
      </c>
      <c r="M71" s="1">
        <f t="shared" si="30"/>
        <v>-3019.0216009184273</v>
      </c>
      <c r="N71" s="1">
        <f t="shared" si="30"/>
        <v>0</v>
      </c>
      <c r="O71" s="1">
        <f t="shared" si="30"/>
        <v>0</v>
      </c>
      <c r="P71" s="1">
        <f t="shared" si="30"/>
        <v>0</v>
      </c>
      <c r="Q71" s="12">
        <f t="shared" si="30"/>
        <v>0</v>
      </c>
      <c r="S71" s="90">
        <f t="shared" si="21"/>
        <v>-5.874715553062515</v>
      </c>
    </row>
    <row r="72" spans="2:19">
      <c r="B72" s="11">
        <f t="shared" ref="B72:Q72" si="31">IF(B$41=$C36,IF(B$40="dx",$R36,-$Q36),IF(B$41=$D36,IF(B$40="dx",-$T36,$S36),IF(B$41=$B36,IF(B$40="dx",($T36-$R36),($Q36-$S36)),0)))</f>
        <v>0</v>
      </c>
      <c r="C72" s="1">
        <f t="shared" si="31"/>
        <v>0</v>
      </c>
      <c r="D72" s="1">
        <f t="shared" si="31"/>
        <v>0</v>
      </c>
      <c r="E72" s="1">
        <f t="shared" si="31"/>
        <v>0</v>
      </c>
      <c r="F72" s="1">
        <f t="shared" si="31"/>
        <v>0</v>
      </c>
      <c r="G72" s="1">
        <f t="shared" si="31"/>
        <v>0</v>
      </c>
      <c r="H72" s="1">
        <f t="shared" si="31"/>
        <v>-144.00173182051958</v>
      </c>
      <c r="I72" s="1">
        <f t="shared" si="31"/>
        <v>-3258.5124030965007</v>
      </c>
      <c r="J72" s="1">
        <f t="shared" si="31"/>
        <v>0</v>
      </c>
      <c r="K72" s="1">
        <f t="shared" si="31"/>
        <v>0</v>
      </c>
      <c r="L72" s="1">
        <f t="shared" si="31"/>
        <v>-2756.4979834472601</v>
      </c>
      <c r="M72" s="1">
        <f t="shared" si="31"/>
        <v>3019.0216009184273</v>
      </c>
      <c r="N72" s="1">
        <f t="shared" si="31"/>
        <v>0</v>
      </c>
      <c r="O72" s="1">
        <f t="shared" si="31"/>
        <v>0</v>
      </c>
      <c r="P72" s="1">
        <f t="shared" si="31"/>
        <v>2900.4997152677797</v>
      </c>
      <c r="Q72" s="12">
        <f t="shared" si="31"/>
        <v>239.49080217807358</v>
      </c>
      <c r="S72" s="90">
        <f t="shared" si="21"/>
        <v>4.3237060372547376</v>
      </c>
    </row>
    <row r="73" spans="2:19">
      <c r="B73" s="13">
        <f t="shared" ref="B73:Q73" si="32">IF(B$41=$C37,IF(B$40="dx",$R37,-$Q37),IF(B$41=$D37,IF(B$40="dx",-$T37,$S37),IF(B$41=$B37,IF(B$40="dx",($T37-$R37),($Q37-$S37)),0)))</f>
        <v>0</v>
      </c>
      <c r="C73" s="14">
        <f t="shared" si="32"/>
        <v>0</v>
      </c>
      <c r="D73" s="14">
        <f t="shared" si="32"/>
        <v>0</v>
      </c>
      <c r="E73" s="14">
        <f t="shared" si="32"/>
        <v>0</v>
      </c>
      <c r="F73" s="14">
        <f t="shared" si="32"/>
        <v>1547.5839770261648</v>
      </c>
      <c r="G73" s="14">
        <f t="shared" si="32"/>
        <v>3939.3046687938736</v>
      </c>
      <c r="H73" s="14">
        <f t="shared" si="32"/>
        <v>1352.9157382416149</v>
      </c>
      <c r="I73" s="14">
        <f t="shared" si="32"/>
        <v>-3699.8138666158002</v>
      </c>
      <c r="J73" s="14">
        <f t="shared" si="32"/>
        <v>0</v>
      </c>
      <c r="K73" s="14">
        <f t="shared" si="32"/>
        <v>0</v>
      </c>
      <c r="L73" s="14">
        <f t="shared" si="32"/>
        <v>0</v>
      </c>
      <c r="M73" s="14">
        <f t="shared" si="32"/>
        <v>0</v>
      </c>
      <c r="N73" s="14">
        <f t="shared" si="32"/>
        <v>0</v>
      </c>
      <c r="O73" s="14">
        <f t="shared" si="32"/>
        <v>0</v>
      </c>
      <c r="P73" s="14">
        <f t="shared" si="32"/>
        <v>-2900.4997152677797</v>
      </c>
      <c r="Q73" s="15">
        <f t="shared" si="32"/>
        <v>-239.49080217807358</v>
      </c>
      <c r="S73" s="91">
        <f t="shared" si="21"/>
        <v>-0.14731276564816653</v>
      </c>
    </row>
    <row r="74" spans="2:19">
      <c r="B74" s="23"/>
      <c r="C74" s="23"/>
      <c r="D74" s="23"/>
      <c r="E74" s="23"/>
      <c r="F74" s="23"/>
      <c r="G74" s="23"/>
      <c r="H74" s="23"/>
      <c r="I74" s="23"/>
      <c r="J74" s="23"/>
      <c r="K74" s="23"/>
      <c r="L74" s="23"/>
      <c r="M74" s="23"/>
      <c r="N74" s="23"/>
      <c r="O74" s="23"/>
      <c r="P74" s="23"/>
      <c r="Q74" s="23"/>
      <c r="S74" s="23"/>
    </row>
    <row r="75" spans="2:19">
      <c r="B75" s="263" t="s">
        <v>45</v>
      </c>
      <c r="C75" s="264"/>
      <c r="D75" s="264"/>
      <c r="E75" s="264"/>
      <c r="F75" s="264"/>
      <c r="G75" s="264"/>
      <c r="H75" s="264"/>
      <c r="I75" s="264"/>
      <c r="J75" s="264"/>
      <c r="K75" s="264"/>
      <c r="L75" s="264"/>
      <c r="M75" s="264"/>
      <c r="N75" s="264"/>
      <c r="O75" s="264"/>
      <c r="P75" s="264"/>
      <c r="Q75" s="265"/>
      <c r="S75" s="69" t="s">
        <v>46</v>
      </c>
    </row>
    <row r="76" spans="2:19">
      <c r="B76" s="73">
        <f>B42/$L4</f>
        <v>173.64575395634725</v>
      </c>
      <c r="C76" s="74">
        <f t="shared" ref="C76:Q76" si="33">C42/$L4</f>
        <v>-766.93541330720211</v>
      </c>
      <c r="D76" s="74">
        <f t="shared" si="33"/>
        <v>0</v>
      </c>
      <c r="E76" s="74">
        <f t="shared" si="33"/>
        <v>0</v>
      </c>
      <c r="F76" s="74">
        <f t="shared" si="33"/>
        <v>0</v>
      </c>
      <c r="G76" s="74">
        <f t="shared" si="33"/>
        <v>0</v>
      </c>
      <c r="H76" s="74">
        <f t="shared" si="33"/>
        <v>0</v>
      </c>
      <c r="I76" s="74">
        <f t="shared" si="33"/>
        <v>0</v>
      </c>
      <c r="J76" s="74">
        <f t="shared" si="33"/>
        <v>0</v>
      </c>
      <c r="K76" s="74">
        <f t="shared" si="33"/>
        <v>0</v>
      </c>
      <c r="L76" s="74">
        <f t="shared" si="33"/>
        <v>-173.64575395634725</v>
      </c>
      <c r="M76" s="74">
        <f t="shared" si="33"/>
        <v>766.93541330720211</v>
      </c>
      <c r="N76" s="74">
        <f t="shared" si="33"/>
        <v>0</v>
      </c>
      <c r="O76" s="74">
        <f t="shared" si="33"/>
        <v>0</v>
      </c>
      <c r="P76" s="74">
        <f t="shared" si="33"/>
        <v>0</v>
      </c>
      <c r="Q76" s="95">
        <f t="shared" si="33"/>
        <v>0</v>
      </c>
      <c r="S76" s="75">
        <f t="shared" ref="S76:S95" si="34">S42/$L4</f>
        <v>4.3747543610694333</v>
      </c>
    </row>
    <row r="77" spans="2:19">
      <c r="B77" s="76">
        <f t="shared" ref="B77:Q91" si="35">B43/$L5</f>
        <v>0</v>
      </c>
      <c r="C77" s="77">
        <f t="shared" si="35"/>
        <v>0</v>
      </c>
      <c r="D77" s="77">
        <f t="shared" si="35"/>
        <v>0</v>
      </c>
      <c r="E77" s="77">
        <f t="shared" si="35"/>
        <v>0</v>
      </c>
      <c r="F77" s="77">
        <f t="shared" si="35"/>
        <v>0</v>
      </c>
      <c r="G77" s="77">
        <f t="shared" si="35"/>
        <v>0</v>
      </c>
      <c r="H77" s="77">
        <f t="shared" si="35"/>
        <v>638.97868514563504</v>
      </c>
      <c r="I77" s="77">
        <f t="shared" si="35"/>
        <v>583.41532121992759</v>
      </c>
      <c r="J77" s="77">
        <f t="shared" si="35"/>
        <v>0</v>
      </c>
      <c r="K77" s="77">
        <f t="shared" si="35"/>
        <v>0</v>
      </c>
      <c r="L77" s="77">
        <f t="shared" si="35"/>
        <v>-638.97868514563504</v>
      </c>
      <c r="M77" s="77">
        <f t="shared" si="35"/>
        <v>-583.41532121992759</v>
      </c>
      <c r="N77" s="77">
        <f t="shared" si="35"/>
        <v>0</v>
      </c>
      <c r="O77" s="77">
        <f t="shared" si="35"/>
        <v>0</v>
      </c>
      <c r="P77" s="77">
        <f t="shared" si="35"/>
        <v>0</v>
      </c>
      <c r="Q77" s="96">
        <f t="shared" si="35"/>
        <v>0</v>
      </c>
      <c r="S77" s="78">
        <f t="shared" si="34"/>
        <v>-3.2749715790610265</v>
      </c>
    </row>
    <row r="78" spans="2:19">
      <c r="B78" s="76">
        <f t="shared" si="35"/>
        <v>0</v>
      </c>
      <c r="C78" s="77">
        <f t="shared" si="35"/>
        <v>0</v>
      </c>
      <c r="D78" s="77">
        <f t="shared" si="35"/>
        <v>0</v>
      </c>
      <c r="E78" s="77">
        <f t="shared" si="35"/>
        <v>0</v>
      </c>
      <c r="F78" s="77">
        <f t="shared" si="35"/>
        <v>0</v>
      </c>
      <c r="G78" s="77">
        <f t="shared" si="35"/>
        <v>0</v>
      </c>
      <c r="H78" s="77">
        <f t="shared" si="35"/>
        <v>0</v>
      </c>
      <c r="I78" s="77">
        <f t="shared" si="35"/>
        <v>0</v>
      </c>
      <c r="J78" s="77">
        <f t="shared" si="35"/>
        <v>-166.41610288114117</v>
      </c>
      <c r="K78" s="77">
        <f t="shared" si="35"/>
        <v>832.08051440570546</v>
      </c>
      <c r="L78" s="77">
        <f t="shared" si="35"/>
        <v>166.41610288114117</v>
      </c>
      <c r="M78" s="77">
        <f t="shared" si="35"/>
        <v>-832.08051440570546</v>
      </c>
      <c r="N78" s="77">
        <f t="shared" si="35"/>
        <v>0</v>
      </c>
      <c r="O78" s="77">
        <f t="shared" si="35"/>
        <v>0</v>
      </c>
      <c r="P78" s="77">
        <f t="shared" si="35"/>
        <v>0</v>
      </c>
      <c r="Q78" s="96">
        <f t="shared" si="35"/>
        <v>0</v>
      </c>
      <c r="S78" s="78">
        <f t="shared" si="34"/>
        <v>-2.3904111586779639</v>
      </c>
    </row>
    <row r="79" spans="2:19">
      <c r="B79" s="76">
        <f t="shared" si="35"/>
        <v>0</v>
      </c>
      <c r="C79" s="77">
        <f t="shared" si="35"/>
        <v>0</v>
      </c>
      <c r="D79" s="77">
        <f t="shared" si="35"/>
        <v>0</v>
      </c>
      <c r="E79" s="77">
        <f t="shared" si="35"/>
        <v>0</v>
      </c>
      <c r="F79" s="77">
        <f t="shared" si="35"/>
        <v>0</v>
      </c>
      <c r="G79" s="77">
        <f t="shared" si="35"/>
        <v>0</v>
      </c>
      <c r="H79" s="77">
        <f t="shared" si="35"/>
        <v>0</v>
      </c>
      <c r="I79" s="77">
        <f t="shared" si="35"/>
        <v>0</v>
      </c>
      <c r="J79" s="77">
        <f t="shared" si="35"/>
        <v>0</v>
      </c>
      <c r="K79" s="77">
        <f t="shared" si="35"/>
        <v>0</v>
      </c>
      <c r="L79" s="77">
        <f t="shared" si="35"/>
        <v>176.475126219299</v>
      </c>
      <c r="M79" s="77">
        <f t="shared" si="35"/>
        <v>852.96311005994744</v>
      </c>
      <c r="N79" s="77">
        <f t="shared" si="35"/>
        <v>-176.475126219299</v>
      </c>
      <c r="O79" s="77">
        <f t="shared" si="35"/>
        <v>-852.96311005994744</v>
      </c>
      <c r="P79" s="77">
        <f t="shared" si="35"/>
        <v>0</v>
      </c>
      <c r="Q79" s="96">
        <f t="shared" si="35"/>
        <v>0</v>
      </c>
      <c r="S79" s="78">
        <f t="shared" si="34"/>
        <v>1.767271640617095</v>
      </c>
    </row>
    <row r="80" spans="2:19">
      <c r="B80" s="76">
        <f t="shared" si="35"/>
        <v>0</v>
      </c>
      <c r="C80" s="77">
        <f t="shared" si="35"/>
        <v>0</v>
      </c>
      <c r="D80" s="77">
        <f t="shared" si="35"/>
        <v>0</v>
      </c>
      <c r="E80" s="77">
        <f t="shared" si="35"/>
        <v>0</v>
      </c>
      <c r="F80" s="77">
        <f t="shared" si="35"/>
        <v>0</v>
      </c>
      <c r="G80" s="77">
        <f t="shared" si="35"/>
        <v>0</v>
      </c>
      <c r="H80" s="77">
        <f t="shared" si="35"/>
        <v>0</v>
      </c>
      <c r="I80" s="77">
        <f t="shared" si="35"/>
        <v>0</v>
      </c>
      <c r="J80" s="77">
        <f t="shared" si="35"/>
        <v>0</v>
      </c>
      <c r="K80" s="77">
        <f t="shared" si="35"/>
        <v>0</v>
      </c>
      <c r="L80" s="77">
        <f t="shared" si="35"/>
        <v>-648.84325426498947</v>
      </c>
      <c r="M80" s="77">
        <f t="shared" si="35"/>
        <v>551.27284008980359</v>
      </c>
      <c r="N80" s="77">
        <f t="shared" si="35"/>
        <v>0</v>
      </c>
      <c r="O80" s="77">
        <f t="shared" si="35"/>
        <v>0</v>
      </c>
      <c r="P80" s="77">
        <f t="shared" si="35"/>
        <v>648.84325426498947</v>
      </c>
      <c r="Q80" s="96">
        <f t="shared" si="35"/>
        <v>-551.27284008980359</v>
      </c>
      <c r="S80" s="78">
        <f t="shared" si="34"/>
        <v>0.17444624592307148</v>
      </c>
    </row>
    <row r="81" spans="2:52">
      <c r="B81" s="76">
        <f t="shared" si="35"/>
        <v>521.73885822320426</v>
      </c>
      <c r="C81" s="77">
        <f t="shared" si="35"/>
        <v>-695.65181096427273</v>
      </c>
      <c r="D81" s="77">
        <f t="shared" si="35"/>
        <v>0</v>
      </c>
      <c r="E81" s="77">
        <f t="shared" si="35"/>
        <v>0</v>
      </c>
      <c r="F81" s="77">
        <f t="shared" si="35"/>
        <v>0</v>
      </c>
      <c r="G81" s="77">
        <f t="shared" si="35"/>
        <v>0</v>
      </c>
      <c r="H81" s="77">
        <f t="shared" si="35"/>
        <v>0</v>
      </c>
      <c r="I81" s="77">
        <f t="shared" si="35"/>
        <v>0</v>
      </c>
      <c r="J81" s="77">
        <f t="shared" si="35"/>
        <v>0</v>
      </c>
      <c r="K81" s="77">
        <f t="shared" si="35"/>
        <v>0</v>
      </c>
      <c r="L81" s="77">
        <f t="shared" si="35"/>
        <v>0</v>
      </c>
      <c r="M81" s="77">
        <f t="shared" si="35"/>
        <v>0</v>
      </c>
      <c r="N81" s="77">
        <f t="shared" si="35"/>
        <v>-521.73885822320426</v>
      </c>
      <c r="O81" s="77">
        <f t="shared" si="35"/>
        <v>695.65181096427273</v>
      </c>
      <c r="P81" s="77">
        <f t="shared" si="35"/>
        <v>0</v>
      </c>
      <c r="Q81" s="96">
        <f t="shared" si="35"/>
        <v>0</v>
      </c>
      <c r="S81" s="78">
        <f t="shared" si="34"/>
        <v>-0.52173885821580979</v>
      </c>
    </row>
    <row r="82" spans="2:52">
      <c r="B82" s="76">
        <f t="shared" si="35"/>
        <v>0</v>
      </c>
      <c r="C82" s="77">
        <f t="shared" si="35"/>
        <v>0</v>
      </c>
      <c r="D82" s="77">
        <f t="shared" si="35"/>
        <v>0</v>
      </c>
      <c r="E82" s="77">
        <f t="shared" si="35"/>
        <v>0</v>
      </c>
      <c r="F82" s="77">
        <f t="shared" si="35"/>
        <v>0</v>
      </c>
      <c r="G82" s="77">
        <f t="shared" si="35"/>
        <v>0</v>
      </c>
      <c r="H82" s="77">
        <f t="shared" si="35"/>
        <v>0</v>
      </c>
      <c r="I82" s="77">
        <f t="shared" si="35"/>
        <v>0</v>
      </c>
      <c r="J82" s="77">
        <f t="shared" si="35"/>
        <v>0</v>
      </c>
      <c r="K82" s="77">
        <f t="shared" si="35"/>
        <v>0</v>
      </c>
      <c r="L82" s="77">
        <f t="shared" si="35"/>
        <v>0</v>
      </c>
      <c r="M82" s="77">
        <f t="shared" si="35"/>
        <v>0</v>
      </c>
      <c r="N82" s="77">
        <f t="shared" si="35"/>
        <v>-841.4861035042926</v>
      </c>
      <c r="O82" s="77">
        <f t="shared" si="35"/>
        <v>-165.1997258413335</v>
      </c>
      <c r="P82" s="77">
        <f t="shared" si="35"/>
        <v>841.4861035042926</v>
      </c>
      <c r="Q82" s="96">
        <f t="shared" si="35"/>
        <v>165.1997258413335</v>
      </c>
      <c r="S82" s="78">
        <f t="shared" si="34"/>
        <v>-2.6511992613971169</v>
      </c>
    </row>
    <row r="83" spans="2:52">
      <c r="B83" s="76">
        <f t="shared" si="35"/>
        <v>0</v>
      </c>
      <c r="C83" s="77">
        <f t="shared" si="35"/>
        <v>0</v>
      </c>
      <c r="D83" s="77">
        <f t="shared" si="35"/>
        <v>0</v>
      </c>
      <c r="E83" s="77">
        <f t="shared" si="35"/>
        <v>0</v>
      </c>
      <c r="F83" s="77">
        <f t="shared" si="35"/>
        <v>0</v>
      </c>
      <c r="G83" s="77">
        <f t="shared" si="35"/>
        <v>0</v>
      </c>
      <c r="H83" s="77">
        <f t="shared" si="35"/>
        <v>0</v>
      </c>
      <c r="I83" s="77">
        <f t="shared" si="35"/>
        <v>0</v>
      </c>
      <c r="J83" s="77">
        <f t="shared" si="35"/>
        <v>0</v>
      </c>
      <c r="K83" s="77">
        <f t="shared" si="35"/>
        <v>0</v>
      </c>
      <c r="L83" s="77">
        <f t="shared" si="35"/>
        <v>176.4747726760782</v>
      </c>
      <c r="M83" s="77">
        <f t="shared" si="35"/>
        <v>852.96140126771127</v>
      </c>
      <c r="N83" s="77">
        <f t="shared" si="35"/>
        <v>-176.4747726760782</v>
      </c>
      <c r="O83" s="77">
        <f t="shared" si="35"/>
        <v>-852.96140126771127</v>
      </c>
      <c r="P83" s="77">
        <f t="shared" si="35"/>
        <v>0</v>
      </c>
      <c r="Q83" s="96">
        <f t="shared" si="35"/>
        <v>0</v>
      </c>
      <c r="S83" s="78">
        <f t="shared" si="34"/>
        <v>-0.23609197020761724</v>
      </c>
    </row>
    <row r="84" spans="2:52">
      <c r="B84" s="76">
        <f t="shared" si="35"/>
        <v>0</v>
      </c>
      <c r="C84" s="77">
        <f t="shared" si="35"/>
        <v>0</v>
      </c>
      <c r="D84" s="77">
        <f t="shared" si="35"/>
        <v>0</v>
      </c>
      <c r="E84" s="77">
        <f t="shared" si="35"/>
        <v>0</v>
      </c>
      <c r="F84" s="77">
        <f t="shared" si="35"/>
        <v>0</v>
      </c>
      <c r="G84" s="77">
        <f t="shared" si="35"/>
        <v>0</v>
      </c>
      <c r="H84" s="77">
        <f t="shared" si="35"/>
        <v>0</v>
      </c>
      <c r="I84" s="77">
        <f t="shared" si="35"/>
        <v>0</v>
      </c>
      <c r="J84" s="77">
        <f t="shared" si="35"/>
        <v>-11.835277523251683</v>
      </c>
      <c r="K84" s="77">
        <f t="shared" si="35"/>
        <v>757.45776148811296</v>
      </c>
      <c r="L84" s="77">
        <f t="shared" si="35"/>
        <v>0</v>
      </c>
      <c r="M84" s="77">
        <f t="shared" si="35"/>
        <v>0</v>
      </c>
      <c r="N84" s="77">
        <f t="shared" si="35"/>
        <v>11.835277523251683</v>
      </c>
      <c r="O84" s="77">
        <f t="shared" si="35"/>
        <v>-757.45776148811296</v>
      </c>
      <c r="P84" s="77">
        <f t="shared" si="35"/>
        <v>0</v>
      </c>
      <c r="Q84" s="96">
        <f t="shared" si="35"/>
        <v>0</v>
      </c>
      <c r="S84" s="78">
        <f t="shared" si="34"/>
        <v>-4.1209852356017498</v>
      </c>
    </row>
    <row r="85" spans="2:52">
      <c r="B85" s="76">
        <f t="shared" si="35"/>
        <v>-859.07018756239881</v>
      </c>
      <c r="C85" s="77">
        <f t="shared" si="35"/>
        <v>-148.11554957972396</v>
      </c>
      <c r="D85" s="77">
        <f t="shared" si="35"/>
        <v>859.07018756239881</v>
      </c>
      <c r="E85" s="77">
        <f t="shared" si="35"/>
        <v>148.11554957972396</v>
      </c>
      <c r="F85" s="77">
        <f t="shared" si="35"/>
        <v>0</v>
      </c>
      <c r="G85" s="77">
        <f t="shared" si="35"/>
        <v>0</v>
      </c>
      <c r="H85" s="77">
        <f t="shared" si="35"/>
        <v>0</v>
      </c>
      <c r="I85" s="77">
        <f t="shared" si="35"/>
        <v>0</v>
      </c>
      <c r="J85" s="77">
        <f t="shared" si="35"/>
        <v>0</v>
      </c>
      <c r="K85" s="77">
        <f t="shared" si="35"/>
        <v>0</v>
      </c>
      <c r="L85" s="77">
        <f t="shared" si="35"/>
        <v>0</v>
      </c>
      <c r="M85" s="77">
        <f t="shared" si="35"/>
        <v>0</v>
      </c>
      <c r="N85" s="77">
        <f t="shared" si="35"/>
        <v>0</v>
      </c>
      <c r="O85" s="77">
        <f t="shared" si="35"/>
        <v>0</v>
      </c>
      <c r="P85" s="77">
        <f t="shared" si="35"/>
        <v>0</v>
      </c>
      <c r="Q85" s="96">
        <f t="shared" si="35"/>
        <v>0</v>
      </c>
      <c r="S85" s="78">
        <f t="shared" si="34"/>
        <v>13.328719727550133</v>
      </c>
    </row>
    <row r="86" spans="2:52">
      <c r="B86" s="76">
        <f t="shared" si="35"/>
        <v>-370.46025554557082</v>
      </c>
      <c r="C86" s="77">
        <f t="shared" si="35"/>
        <v>-771.36929921817512</v>
      </c>
      <c r="D86" s="77">
        <f t="shared" si="35"/>
        <v>0</v>
      </c>
      <c r="E86" s="77">
        <f t="shared" si="35"/>
        <v>0</v>
      </c>
      <c r="F86" s="77">
        <f t="shared" si="35"/>
        <v>0</v>
      </c>
      <c r="G86" s="77">
        <f t="shared" si="35"/>
        <v>0</v>
      </c>
      <c r="H86" s="77">
        <f t="shared" si="35"/>
        <v>0</v>
      </c>
      <c r="I86" s="77">
        <f t="shared" si="35"/>
        <v>0</v>
      </c>
      <c r="J86" s="77">
        <f t="shared" si="35"/>
        <v>0</v>
      </c>
      <c r="K86" s="77">
        <f t="shared" si="35"/>
        <v>0</v>
      </c>
      <c r="L86" s="77">
        <f t="shared" si="35"/>
        <v>0</v>
      </c>
      <c r="M86" s="77">
        <f t="shared" si="35"/>
        <v>0</v>
      </c>
      <c r="N86" s="77">
        <f t="shared" si="35"/>
        <v>0</v>
      </c>
      <c r="O86" s="77">
        <f t="shared" si="35"/>
        <v>0</v>
      </c>
      <c r="P86" s="77">
        <f t="shared" si="35"/>
        <v>370.46025554557082</v>
      </c>
      <c r="Q86" s="96">
        <f t="shared" si="35"/>
        <v>771.36929921817512</v>
      </c>
      <c r="S86" s="78">
        <f t="shared" si="34"/>
        <v>8.6226524897523014</v>
      </c>
    </row>
    <row r="87" spans="2:52">
      <c r="B87" s="76">
        <f t="shared" si="35"/>
        <v>173.64591781163858</v>
      </c>
      <c r="C87" s="77">
        <f t="shared" si="35"/>
        <v>-766.93613700140429</v>
      </c>
      <c r="D87" s="77">
        <f t="shared" si="35"/>
        <v>0</v>
      </c>
      <c r="E87" s="77">
        <f t="shared" si="35"/>
        <v>0</v>
      </c>
      <c r="F87" s="77">
        <f t="shared" si="35"/>
        <v>0</v>
      </c>
      <c r="G87" s="77">
        <f t="shared" si="35"/>
        <v>0</v>
      </c>
      <c r="H87" s="77">
        <f t="shared" si="35"/>
        <v>0</v>
      </c>
      <c r="I87" s="77">
        <f t="shared" si="35"/>
        <v>0</v>
      </c>
      <c r="J87" s="77">
        <f t="shared" si="35"/>
        <v>0</v>
      </c>
      <c r="K87" s="77">
        <f t="shared" si="35"/>
        <v>0</v>
      </c>
      <c r="L87" s="77">
        <f t="shared" si="35"/>
        <v>-173.64591781163858</v>
      </c>
      <c r="M87" s="77">
        <f t="shared" si="35"/>
        <v>766.93613700140429</v>
      </c>
      <c r="N87" s="77">
        <f t="shared" si="35"/>
        <v>0</v>
      </c>
      <c r="O87" s="77">
        <f t="shared" si="35"/>
        <v>0</v>
      </c>
      <c r="P87" s="77">
        <f t="shared" si="35"/>
        <v>0</v>
      </c>
      <c r="Q87" s="96">
        <f t="shared" si="35"/>
        <v>0</v>
      </c>
      <c r="S87" s="78">
        <f t="shared" si="34"/>
        <v>5.3183766735569504</v>
      </c>
    </row>
    <row r="88" spans="2:52">
      <c r="B88" s="76">
        <f t="shared" si="35"/>
        <v>0</v>
      </c>
      <c r="C88" s="77">
        <f t="shared" si="35"/>
        <v>0</v>
      </c>
      <c r="D88" s="77">
        <f t="shared" si="35"/>
        <v>739.63346912744237</v>
      </c>
      <c r="E88" s="77">
        <f t="shared" si="35"/>
        <v>-299.00076411534923</v>
      </c>
      <c r="F88" s="77">
        <f t="shared" si="35"/>
        <v>0</v>
      </c>
      <c r="G88" s="77">
        <f t="shared" si="35"/>
        <v>0</v>
      </c>
      <c r="H88" s="77">
        <f t="shared" si="35"/>
        <v>0</v>
      </c>
      <c r="I88" s="77">
        <f t="shared" si="35"/>
        <v>0</v>
      </c>
      <c r="J88" s="77">
        <f t="shared" si="35"/>
        <v>0</v>
      </c>
      <c r="K88" s="77">
        <f t="shared" si="35"/>
        <v>0</v>
      </c>
      <c r="L88" s="77">
        <f t="shared" si="35"/>
        <v>0</v>
      </c>
      <c r="M88" s="77">
        <f t="shared" si="35"/>
        <v>0</v>
      </c>
      <c r="N88" s="77">
        <f t="shared" si="35"/>
        <v>-739.63346912744237</v>
      </c>
      <c r="O88" s="77">
        <f t="shared" si="35"/>
        <v>299.00076411534923</v>
      </c>
      <c r="P88" s="77">
        <f t="shared" si="35"/>
        <v>0</v>
      </c>
      <c r="Q88" s="96">
        <f t="shared" si="35"/>
        <v>0</v>
      </c>
      <c r="S88" s="78">
        <f t="shared" si="34"/>
        <v>2.8218515331544021</v>
      </c>
    </row>
    <row r="89" spans="2:52">
      <c r="B89" s="76">
        <f t="shared" si="35"/>
        <v>0</v>
      </c>
      <c r="C89" s="77">
        <f t="shared" si="35"/>
        <v>0</v>
      </c>
      <c r="D89" s="77">
        <f t="shared" si="35"/>
        <v>430.35881439142804</v>
      </c>
      <c r="E89" s="77">
        <f t="shared" si="35"/>
        <v>-759.10513094043529</v>
      </c>
      <c r="F89" s="77">
        <f t="shared" si="35"/>
        <v>0</v>
      </c>
      <c r="G89" s="77">
        <f t="shared" si="35"/>
        <v>0</v>
      </c>
      <c r="H89" s="77">
        <f t="shared" si="35"/>
        <v>0</v>
      </c>
      <c r="I89" s="77">
        <f t="shared" si="35"/>
        <v>0</v>
      </c>
      <c r="J89" s="77">
        <f t="shared" si="35"/>
        <v>0</v>
      </c>
      <c r="K89" s="77">
        <f t="shared" si="35"/>
        <v>0</v>
      </c>
      <c r="L89" s="77">
        <f t="shared" si="35"/>
        <v>0</v>
      </c>
      <c r="M89" s="77">
        <f t="shared" si="35"/>
        <v>0</v>
      </c>
      <c r="N89" s="77">
        <f t="shared" si="35"/>
        <v>0</v>
      </c>
      <c r="O89" s="77">
        <f t="shared" si="35"/>
        <v>0</v>
      </c>
      <c r="P89" s="77">
        <f t="shared" si="35"/>
        <v>-430.35881439142804</v>
      </c>
      <c r="Q89" s="96">
        <f t="shared" si="35"/>
        <v>759.10513094043529</v>
      </c>
      <c r="S89" s="78">
        <f t="shared" si="34"/>
        <v>2.8147503340980387</v>
      </c>
    </row>
    <row r="90" spans="2:52">
      <c r="B90" s="76">
        <f t="shared" si="35"/>
        <v>0</v>
      </c>
      <c r="C90" s="77">
        <f t="shared" si="35"/>
        <v>0</v>
      </c>
      <c r="D90" s="77">
        <f t="shared" si="35"/>
        <v>-131.2759998436544</v>
      </c>
      <c r="E90" s="77">
        <f t="shared" si="35"/>
        <v>-761.4007990931957</v>
      </c>
      <c r="F90" s="77">
        <f t="shared" si="35"/>
        <v>131.2759998436544</v>
      </c>
      <c r="G90" s="77">
        <f t="shared" si="35"/>
        <v>761.4007990931957</v>
      </c>
      <c r="H90" s="77">
        <f t="shared" si="35"/>
        <v>0</v>
      </c>
      <c r="I90" s="77">
        <f t="shared" si="35"/>
        <v>0</v>
      </c>
      <c r="J90" s="77">
        <f t="shared" si="35"/>
        <v>0</v>
      </c>
      <c r="K90" s="77">
        <f t="shared" si="35"/>
        <v>0</v>
      </c>
      <c r="L90" s="77">
        <f t="shared" si="35"/>
        <v>0</v>
      </c>
      <c r="M90" s="77">
        <f t="shared" si="35"/>
        <v>0</v>
      </c>
      <c r="N90" s="77">
        <f t="shared" si="35"/>
        <v>0</v>
      </c>
      <c r="O90" s="77">
        <f t="shared" si="35"/>
        <v>0</v>
      </c>
      <c r="P90" s="77">
        <f t="shared" si="35"/>
        <v>0</v>
      </c>
      <c r="Q90" s="96">
        <f t="shared" si="35"/>
        <v>0</v>
      </c>
      <c r="S90" s="78">
        <f t="shared" si="34"/>
        <v>4.851676322608987</v>
      </c>
    </row>
    <row r="91" spans="2:52">
      <c r="B91" s="76">
        <f t="shared" si="35"/>
        <v>0</v>
      </c>
      <c r="C91" s="77">
        <f t="shared" si="35"/>
        <v>0</v>
      </c>
      <c r="D91" s="77">
        <f t="shared" si="35"/>
        <v>0</v>
      </c>
      <c r="E91" s="77">
        <f t="shared" si="35"/>
        <v>0</v>
      </c>
      <c r="F91" s="77">
        <f t="shared" si="35"/>
        <v>809.05062022798631</v>
      </c>
      <c r="G91" s="77">
        <f t="shared" si="35"/>
        <v>-317.84131508956631</v>
      </c>
      <c r="H91" s="77">
        <f t="shared" si="35"/>
        <v>-809.05062022798631</v>
      </c>
      <c r="I91" s="77">
        <f t="shared" si="35"/>
        <v>317.84131508956631</v>
      </c>
      <c r="J91" s="77">
        <f t="shared" si="35"/>
        <v>0</v>
      </c>
      <c r="K91" s="77">
        <f t="shared" si="35"/>
        <v>0</v>
      </c>
      <c r="L91" s="77">
        <f t="shared" si="35"/>
        <v>0</v>
      </c>
      <c r="M91" s="77">
        <f t="shared" si="35"/>
        <v>0</v>
      </c>
      <c r="N91" s="77">
        <f t="shared" si="35"/>
        <v>0</v>
      </c>
      <c r="O91" s="77">
        <f t="shared" si="35"/>
        <v>0</v>
      </c>
      <c r="P91" s="77">
        <f t="shared" si="35"/>
        <v>0</v>
      </c>
      <c r="Q91" s="96">
        <f t="shared" si="35"/>
        <v>0</v>
      </c>
      <c r="S91" s="78">
        <f t="shared" si="34"/>
        <v>-7.1368755743134642</v>
      </c>
      <c r="U91" s="257" t="s">
        <v>47</v>
      </c>
      <c r="V91" s="258"/>
      <c r="W91" s="258"/>
      <c r="X91" s="258"/>
      <c r="Y91" s="258"/>
      <c r="Z91" s="258"/>
      <c r="AA91" s="258"/>
      <c r="AB91" s="258"/>
      <c r="AC91" s="258"/>
      <c r="AD91" s="258"/>
      <c r="AE91" s="258"/>
      <c r="AF91" s="258"/>
      <c r="AG91" s="258"/>
      <c r="AH91" s="258"/>
      <c r="AI91" s="258"/>
      <c r="AJ91" s="258"/>
      <c r="AK91" s="258"/>
      <c r="AL91" s="258"/>
      <c r="AM91" s="258"/>
      <c r="AN91" s="258"/>
      <c r="AO91" s="258"/>
      <c r="AP91" s="258"/>
      <c r="AQ91" s="258"/>
      <c r="AR91" s="258"/>
      <c r="AS91" s="258"/>
      <c r="AT91" s="258"/>
      <c r="AU91" s="258"/>
      <c r="AV91" s="258"/>
      <c r="AW91" s="258"/>
      <c r="AX91" s="258"/>
      <c r="AY91" s="258"/>
      <c r="AZ91" s="259"/>
    </row>
    <row r="92" spans="2:52">
      <c r="B92" s="76">
        <f t="shared" ref="B92:Q95" si="36">B58/$L20</f>
        <v>0</v>
      </c>
      <c r="C92" s="77">
        <f t="shared" si="36"/>
        <v>0</v>
      </c>
      <c r="D92" s="77">
        <f t="shared" si="36"/>
        <v>0</v>
      </c>
      <c r="E92" s="77">
        <f t="shared" si="36"/>
        <v>0</v>
      </c>
      <c r="F92" s="77">
        <f t="shared" si="36"/>
        <v>778.90203551257537</v>
      </c>
      <c r="G92" s="77">
        <f t="shared" si="36"/>
        <v>152.72588931619109</v>
      </c>
      <c r="H92" s="77">
        <f t="shared" si="36"/>
        <v>0</v>
      </c>
      <c r="I92" s="77">
        <f t="shared" si="36"/>
        <v>0</v>
      </c>
      <c r="J92" s="77">
        <f t="shared" si="36"/>
        <v>0</v>
      </c>
      <c r="K92" s="77">
        <f t="shared" si="36"/>
        <v>0</v>
      </c>
      <c r="L92" s="77">
        <f t="shared" si="36"/>
        <v>-778.90203551257537</v>
      </c>
      <c r="M92" s="77">
        <f t="shared" si="36"/>
        <v>-152.72588931619109</v>
      </c>
      <c r="N92" s="77">
        <f t="shared" si="36"/>
        <v>0</v>
      </c>
      <c r="O92" s="77">
        <f t="shared" si="36"/>
        <v>0</v>
      </c>
      <c r="P92" s="77">
        <f t="shared" si="36"/>
        <v>0</v>
      </c>
      <c r="Q92" s="96">
        <f t="shared" si="36"/>
        <v>0</v>
      </c>
      <c r="S92" s="78">
        <f t="shared" si="34"/>
        <v>-9.7397475563487905</v>
      </c>
      <c r="U92" s="8" cm="1">
        <f t="array" ref="U92:AZ107">TRANSPOSE(B76:Q107)</f>
        <v>173.64575395634725</v>
      </c>
      <c r="V92" s="9">
        <v>0</v>
      </c>
      <c r="W92" s="9">
        <v>0</v>
      </c>
      <c r="X92" s="9">
        <v>0</v>
      </c>
      <c r="Y92" s="9">
        <v>0</v>
      </c>
      <c r="Z92" s="9">
        <v>521.73885822320426</v>
      </c>
      <c r="AA92" s="9">
        <v>0</v>
      </c>
      <c r="AB92" s="9">
        <v>0</v>
      </c>
      <c r="AC92" s="9">
        <v>0</v>
      </c>
      <c r="AD92" s="9">
        <v>-859.07018756239881</v>
      </c>
      <c r="AE92" s="9">
        <v>-370.46025554557082</v>
      </c>
      <c r="AF92" s="9">
        <v>173.64591781163858</v>
      </c>
      <c r="AG92" s="9">
        <v>0</v>
      </c>
      <c r="AH92" s="9">
        <v>0</v>
      </c>
      <c r="AI92" s="9">
        <v>0</v>
      </c>
      <c r="AJ92" s="9">
        <v>0</v>
      </c>
      <c r="AK92" s="9">
        <v>0</v>
      </c>
      <c r="AL92" s="9">
        <v>0</v>
      </c>
      <c r="AM92" s="9">
        <v>0</v>
      </c>
      <c r="AN92" s="9">
        <v>0</v>
      </c>
      <c r="AO92" s="65">
        <v>-1134.4354025237385</v>
      </c>
      <c r="AP92" s="65">
        <v>0</v>
      </c>
      <c r="AQ92" s="65">
        <v>0</v>
      </c>
      <c r="AR92" s="65">
        <v>0</v>
      </c>
      <c r="AS92" s="65">
        <v>0</v>
      </c>
      <c r="AT92" s="65">
        <v>1134.4354025237385</v>
      </c>
      <c r="AU92" s="65">
        <v>0</v>
      </c>
      <c r="AV92" s="65">
        <v>0</v>
      </c>
      <c r="AW92" s="65">
        <v>0</v>
      </c>
      <c r="AX92" s="65">
        <v>0</v>
      </c>
      <c r="AY92" s="65">
        <v>0</v>
      </c>
      <c r="AZ92" s="66">
        <v>0</v>
      </c>
    </row>
    <row r="93" spans="2:52">
      <c r="B93" s="76">
        <f t="shared" si="36"/>
        <v>0</v>
      </c>
      <c r="C93" s="77">
        <f t="shared" si="36"/>
        <v>0</v>
      </c>
      <c r="D93" s="77">
        <f t="shared" si="36"/>
        <v>0</v>
      </c>
      <c r="E93" s="77">
        <f t="shared" si="36"/>
        <v>0</v>
      </c>
      <c r="F93" s="77">
        <f t="shared" si="36"/>
        <v>497.85054034703103</v>
      </c>
      <c r="G93" s="77">
        <f t="shared" si="36"/>
        <v>665.16096784070419</v>
      </c>
      <c r="H93" s="77">
        <f t="shared" si="36"/>
        <v>0</v>
      </c>
      <c r="I93" s="77">
        <f t="shared" si="36"/>
        <v>0</v>
      </c>
      <c r="J93" s="77">
        <f t="shared" si="36"/>
        <v>0</v>
      </c>
      <c r="K93" s="77">
        <f t="shared" si="36"/>
        <v>0</v>
      </c>
      <c r="L93" s="77">
        <f t="shared" si="36"/>
        <v>0</v>
      </c>
      <c r="M93" s="77">
        <f t="shared" si="36"/>
        <v>0</v>
      </c>
      <c r="N93" s="77">
        <f t="shared" si="36"/>
        <v>0</v>
      </c>
      <c r="O93" s="77">
        <f t="shared" si="36"/>
        <v>0</v>
      </c>
      <c r="P93" s="77">
        <f t="shared" si="36"/>
        <v>-497.85054034703103</v>
      </c>
      <c r="Q93" s="96">
        <f t="shared" si="36"/>
        <v>-665.16096784070419</v>
      </c>
      <c r="S93" s="78">
        <f t="shared" si="34"/>
        <v>-1.4969801863653001</v>
      </c>
      <c r="U93" s="11">
        <v>-766.93541330720211</v>
      </c>
      <c r="V93" s="1">
        <v>0</v>
      </c>
      <c r="W93" s="1">
        <v>0</v>
      </c>
      <c r="X93" s="1">
        <v>0</v>
      </c>
      <c r="Y93" s="1">
        <v>0</v>
      </c>
      <c r="Z93" s="1">
        <v>-695.65181096427273</v>
      </c>
      <c r="AA93" s="1">
        <v>0</v>
      </c>
      <c r="AB93" s="1">
        <v>0</v>
      </c>
      <c r="AC93" s="1">
        <v>0</v>
      </c>
      <c r="AD93" s="1">
        <v>-148.11554957972396</v>
      </c>
      <c r="AE93" s="1">
        <v>-771.36929921817512</v>
      </c>
      <c r="AF93" s="1">
        <v>-766.93613700140429</v>
      </c>
      <c r="AG93" s="1">
        <v>0</v>
      </c>
      <c r="AH93" s="1">
        <v>0</v>
      </c>
      <c r="AI93" s="1">
        <v>0</v>
      </c>
      <c r="AJ93" s="1">
        <v>0</v>
      </c>
      <c r="AK93" s="1">
        <v>0</v>
      </c>
      <c r="AL93" s="1">
        <v>0</v>
      </c>
      <c r="AM93" s="1">
        <v>0</v>
      </c>
      <c r="AN93" s="1">
        <v>0</v>
      </c>
      <c r="AO93" s="25">
        <v>544.82752884363765</v>
      </c>
      <c r="AP93" s="25">
        <v>0</v>
      </c>
      <c r="AQ93" s="25">
        <v>0</v>
      </c>
      <c r="AR93" s="25">
        <v>0</v>
      </c>
      <c r="AS93" s="25">
        <v>0</v>
      </c>
      <c r="AT93" s="25">
        <v>-544.82752884363754</v>
      </c>
      <c r="AU93" s="25">
        <v>0</v>
      </c>
      <c r="AV93" s="25">
        <v>0</v>
      </c>
      <c r="AW93" s="25">
        <v>0</v>
      </c>
      <c r="AX93" s="25">
        <v>0</v>
      </c>
      <c r="AY93" s="25">
        <v>0</v>
      </c>
      <c r="AZ93" s="45">
        <v>0</v>
      </c>
    </row>
    <row r="94" spans="2:52">
      <c r="B94" s="76">
        <f t="shared" si="36"/>
        <v>0</v>
      </c>
      <c r="C94" s="77">
        <f t="shared" si="36"/>
        <v>0</v>
      </c>
      <c r="D94" s="77">
        <f t="shared" si="36"/>
        <v>0</v>
      </c>
      <c r="E94" s="77">
        <f t="shared" si="36"/>
        <v>0</v>
      </c>
      <c r="F94" s="77">
        <f t="shared" si="36"/>
        <v>0</v>
      </c>
      <c r="G94" s="77">
        <f t="shared" si="36"/>
        <v>0</v>
      </c>
      <c r="H94" s="77">
        <f t="shared" si="36"/>
        <v>0</v>
      </c>
      <c r="I94" s="77">
        <f t="shared" si="36"/>
        <v>0</v>
      </c>
      <c r="J94" s="77">
        <f t="shared" si="36"/>
        <v>-377.87944384412987</v>
      </c>
      <c r="K94" s="77">
        <f t="shared" si="36"/>
        <v>647.79333230422344</v>
      </c>
      <c r="L94" s="77">
        <f t="shared" si="36"/>
        <v>0</v>
      </c>
      <c r="M94" s="77">
        <f t="shared" si="36"/>
        <v>0</v>
      </c>
      <c r="N94" s="77">
        <f t="shared" si="36"/>
        <v>0</v>
      </c>
      <c r="O94" s="77">
        <f t="shared" si="36"/>
        <v>0</v>
      </c>
      <c r="P94" s="77">
        <f t="shared" si="36"/>
        <v>377.87944384412987</v>
      </c>
      <c r="Q94" s="96">
        <f t="shared" si="36"/>
        <v>-647.79333230422344</v>
      </c>
      <c r="S94" s="78">
        <f t="shared" si="34"/>
        <v>0.9417507191093506</v>
      </c>
      <c r="U94" s="11">
        <v>0</v>
      </c>
      <c r="V94" s="1">
        <v>0</v>
      </c>
      <c r="W94" s="1">
        <v>0</v>
      </c>
      <c r="X94" s="1">
        <v>0</v>
      </c>
      <c r="Y94" s="1">
        <v>0</v>
      </c>
      <c r="Z94" s="1">
        <v>0</v>
      </c>
      <c r="AA94" s="1">
        <v>0</v>
      </c>
      <c r="AB94" s="1">
        <v>0</v>
      </c>
      <c r="AC94" s="1">
        <v>0</v>
      </c>
      <c r="AD94" s="1">
        <v>859.07018756239881</v>
      </c>
      <c r="AE94" s="1">
        <v>0</v>
      </c>
      <c r="AF94" s="1">
        <v>0</v>
      </c>
      <c r="AG94" s="1">
        <v>739.63346912744237</v>
      </c>
      <c r="AH94" s="1">
        <v>430.35881439142804</v>
      </c>
      <c r="AI94" s="1">
        <v>-131.2759998436544</v>
      </c>
      <c r="AJ94" s="1">
        <v>0</v>
      </c>
      <c r="AK94" s="1">
        <v>0</v>
      </c>
      <c r="AL94" s="1">
        <v>0</v>
      </c>
      <c r="AM94" s="1">
        <v>0</v>
      </c>
      <c r="AN94" s="1">
        <v>0</v>
      </c>
      <c r="AO94" s="25">
        <v>1264.4975850526728</v>
      </c>
      <c r="AP94" s="25">
        <v>-1264.4975850526728</v>
      </c>
      <c r="AQ94" s="25">
        <v>0</v>
      </c>
      <c r="AR94" s="25">
        <v>0</v>
      </c>
      <c r="AS94" s="25">
        <v>0</v>
      </c>
      <c r="AT94" s="25">
        <v>0</v>
      </c>
      <c r="AU94" s="25">
        <v>0</v>
      </c>
      <c r="AV94" s="25">
        <v>0</v>
      </c>
      <c r="AW94" s="25">
        <v>0</v>
      </c>
      <c r="AX94" s="25">
        <v>0</v>
      </c>
      <c r="AY94" s="25">
        <v>0</v>
      </c>
      <c r="AZ94" s="45">
        <v>0</v>
      </c>
    </row>
    <row r="95" spans="2:52">
      <c r="B95" s="79">
        <f t="shared" si="36"/>
        <v>0</v>
      </c>
      <c r="C95" s="80">
        <f t="shared" si="36"/>
        <v>0</v>
      </c>
      <c r="D95" s="80">
        <f t="shared" si="36"/>
        <v>0</v>
      </c>
      <c r="E95" s="80">
        <f t="shared" si="36"/>
        <v>0</v>
      </c>
      <c r="F95" s="80">
        <f t="shared" si="36"/>
        <v>0</v>
      </c>
      <c r="G95" s="80">
        <f t="shared" si="36"/>
        <v>0</v>
      </c>
      <c r="H95" s="80">
        <f t="shared" si="36"/>
        <v>777.48569899492554</v>
      </c>
      <c r="I95" s="80">
        <f t="shared" si="36"/>
        <v>-362.82665953096574</v>
      </c>
      <c r="J95" s="80">
        <f t="shared" si="36"/>
        <v>-777.48569899492554</v>
      </c>
      <c r="K95" s="80">
        <f t="shared" si="36"/>
        <v>362.82665953096574</v>
      </c>
      <c r="L95" s="80">
        <f t="shared" si="36"/>
        <v>0</v>
      </c>
      <c r="M95" s="80">
        <f t="shared" si="36"/>
        <v>0</v>
      </c>
      <c r="N95" s="80">
        <f t="shared" si="36"/>
        <v>0</v>
      </c>
      <c r="O95" s="80">
        <f t="shared" si="36"/>
        <v>0</v>
      </c>
      <c r="P95" s="80">
        <f t="shared" si="36"/>
        <v>0</v>
      </c>
      <c r="Q95" s="97">
        <f t="shared" si="36"/>
        <v>0</v>
      </c>
      <c r="S95" s="81">
        <f t="shared" si="34"/>
        <v>-0.72621666850997124</v>
      </c>
      <c r="U95" s="11">
        <v>0</v>
      </c>
      <c r="V95" s="1">
        <v>0</v>
      </c>
      <c r="W95" s="1">
        <v>0</v>
      </c>
      <c r="X95" s="1">
        <v>0</v>
      </c>
      <c r="Y95" s="1">
        <v>0</v>
      </c>
      <c r="Z95" s="1">
        <v>0</v>
      </c>
      <c r="AA95" s="1">
        <v>0</v>
      </c>
      <c r="AB95" s="1">
        <v>0</v>
      </c>
      <c r="AC95" s="1">
        <v>0</v>
      </c>
      <c r="AD95" s="1">
        <v>148.11554957972396</v>
      </c>
      <c r="AE95" s="1">
        <v>0</v>
      </c>
      <c r="AF95" s="1">
        <v>0</v>
      </c>
      <c r="AG95" s="1">
        <v>-299.00076411534923</v>
      </c>
      <c r="AH95" s="1">
        <v>-759.10513094043529</v>
      </c>
      <c r="AI95" s="1">
        <v>-761.4007990931957</v>
      </c>
      <c r="AJ95" s="1">
        <v>0</v>
      </c>
      <c r="AK95" s="1">
        <v>0</v>
      </c>
      <c r="AL95" s="1">
        <v>0</v>
      </c>
      <c r="AM95" s="1">
        <v>0</v>
      </c>
      <c r="AN95" s="1">
        <v>0</v>
      </c>
      <c r="AO95" s="25">
        <v>716.88052065978297</v>
      </c>
      <c r="AP95" s="25">
        <v>-716.88052065978297</v>
      </c>
      <c r="AQ95" s="25">
        <v>0</v>
      </c>
      <c r="AR95" s="25">
        <v>0</v>
      </c>
      <c r="AS95" s="25">
        <v>0</v>
      </c>
      <c r="AT95" s="25">
        <v>0</v>
      </c>
      <c r="AU95" s="25">
        <v>0</v>
      </c>
      <c r="AV95" s="25">
        <v>0</v>
      </c>
      <c r="AW95" s="25">
        <v>0</v>
      </c>
      <c r="AX95" s="25">
        <v>0</v>
      </c>
      <c r="AY95" s="25">
        <v>0</v>
      </c>
      <c r="AZ95" s="45">
        <v>0</v>
      </c>
    </row>
    <row r="96" spans="2:52">
      <c r="B96" s="82">
        <f t="shared" ref="B96:Q96" si="37">B62/$O26</f>
        <v>-1134.4354025237385</v>
      </c>
      <c r="C96" s="83">
        <f t="shared" si="37"/>
        <v>544.82752884363765</v>
      </c>
      <c r="D96" s="83">
        <f t="shared" si="37"/>
        <v>1264.4975850526728</v>
      </c>
      <c r="E96" s="83">
        <f t="shared" si="37"/>
        <v>716.88052065978297</v>
      </c>
      <c r="F96" s="83">
        <f t="shared" si="37"/>
        <v>0</v>
      </c>
      <c r="G96" s="83">
        <f t="shared" si="37"/>
        <v>0</v>
      </c>
      <c r="H96" s="83">
        <f t="shared" si="37"/>
        <v>0</v>
      </c>
      <c r="I96" s="83">
        <f t="shared" si="37"/>
        <v>0</v>
      </c>
      <c r="J96" s="83">
        <f t="shared" si="37"/>
        <v>0</v>
      </c>
      <c r="K96" s="83">
        <f t="shared" si="37"/>
        <v>0</v>
      </c>
      <c r="L96" s="83">
        <f t="shared" si="37"/>
        <v>0</v>
      </c>
      <c r="M96" s="83">
        <f t="shared" si="37"/>
        <v>0</v>
      </c>
      <c r="N96" s="83">
        <f t="shared" si="37"/>
        <v>0</v>
      </c>
      <c r="O96" s="83">
        <f t="shared" si="37"/>
        <v>0</v>
      </c>
      <c r="P96" s="83">
        <f t="shared" si="37"/>
        <v>-130.06218252893419</v>
      </c>
      <c r="Q96" s="120">
        <f t="shared" si="37"/>
        <v>-1261.7080495034206</v>
      </c>
      <c r="S96" s="75">
        <f t="shared" ref="S96:S107" si="38">S62/$O26</f>
        <v>9.7889043667246742</v>
      </c>
      <c r="U96" s="11">
        <v>0</v>
      </c>
      <c r="V96" s="1">
        <v>0</v>
      </c>
      <c r="W96" s="1">
        <v>0</v>
      </c>
      <c r="X96" s="1">
        <v>0</v>
      </c>
      <c r="Y96" s="1">
        <v>0</v>
      </c>
      <c r="Z96" s="1">
        <v>0</v>
      </c>
      <c r="AA96" s="1">
        <v>0</v>
      </c>
      <c r="AB96" s="1">
        <v>0</v>
      </c>
      <c r="AC96" s="1">
        <v>0</v>
      </c>
      <c r="AD96" s="1">
        <v>0</v>
      </c>
      <c r="AE96" s="1">
        <v>0</v>
      </c>
      <c r="AF96" s="1">
        <v>0</v>
      </c>
      <c r="AG96" s="1">
        <v>0</v>
      </c>
      <c r="AH96" s="1">
        <v>0</v>
      </c>
      <c r="AI96" s="1">
        <v>131.2759998436544</v>
      </c>
      <c r="AJ96" s="1">
        <v>809.05062022798631</v>
      </c>
      <c r="AK96" s="1">
        <v>778.90203551257537</v>
      </c>
      <c r="AL96" s="1">
        <v>497.85054034703103</v>
      </c>
      <c r="AM96" s="1">
        <v>0</v>
      </c>
      <c r="AN96" s="1">
        <v>0</v>
      </c>
      <c r="AO96" s="25">
        <v>0</v>
      </c>
      <c r="AP96" s="25">
        <v>-834.43114608444728</v>
      </c>
      <c r="AQ96" s="25">
        <v>834.43114608444728</v>
      </c>
      <c r="AR96" s="25">
        <v>0</v>
      </c>
      <c r="AS96" s="25">
        <v>0</v>
      </c>
      <c r="AT96" s="25">
        <v>0</v>
      </c>
      <c r="AU96" s="25">
        <v>0</v>
      </c>
      <c r="AV96" s="25">
        <v>0</v>
      </c>
      <c r="AW96" s="25">
        <v>0</v>
      </c>
      <c r="AX96" s="25">
        <v>0</v>
      </c>
      <c r="AY96" s="25">
        <v>0</v>
      </c>
      <c r="AZ96" s="45">
        <v>515.86132567538823</v>
      </c>
    </row>
    <row r="97" spans="1:52">
      <c r="B97" s="76">
        <f t="shared" ref="B97:Q97" si="39">B63/$O27</f>
        <v>0</v>
      </c>
      <c r="C97" s="77">
        <f t="shared" si="39"/>
        <v>0</v>
      </c>
      <c r="D97" s="77">
        <f t="shared" si="39"/>
        <v>-1264.4975850526728</v>
      </c>
      <c r="E97" s="77">
        <f t="shared" si="39"/>
        <v>-716.88052065978297</v>
      </c>
      <c r="F97" s="77">
        <f t="shared" si="39"/>
        <v>-834.43114608444728</v>
      </c>
      <c r="G97" s="77">
        <f t="shared" si="39"/>
        <v>624.54355719204011</v>
      </c>
      <c r="H97" s="77">
        <f t="shared" si="39"/>
        <v>0</v>
      </c>
      <c r="I97" s="77">
        <f t="shared" si="39"/>
        <v>0</v>
      </c>
      <c r="J97" s="77">
        <f t="shared" si="39"/>
        <v>0</v>
      </c>
      <c r="K97" s="77">
        <f t="shared" si="39"/>
        <v>0</v>
      </c>
      <c r="L97" s="77">
        <f t="shared" si="39"/>
        <v>0</v>
      </c>
      <c r="M97" s="77">
        <f t="shared" si="39"/>
        <v>0</v>
      </c>
      <c r="N97" s="77">
        <f t="shared" si="39"/>
        <v>0</v>
      </c>
      <c r="O97" s="77">
        <f t="shared" si="39"/>
        <v>0</v>
      </c>
      <c r="P97" s="77">
        <f t="shared" si="39"/>
        <v>2098.9287311371199</v>
      </c>
      <c r="Q97" s="96">
        <f t="shared" si="39"/>
        <v>92.336963467742791</v>
      </c>
      <c r="S97" s="84">
        <f t="shared" si="38"/>
        <v>6.2259547517840019</v>
      </c>
      <c r="U97" s="11">
        <v>0</v>
      </c>
      <c r="V97" s="1">
        <v>0</v>
      </c>
      <c r="W97" s="1">
        <v>0</v>
      </c>
      <c r="X97" s="1">
        <v>0</v>
      </c>
      <c r="Y97" s="1">
        <v>0</v>
      </c>
      <c r="Z97" s="1">
        <v>0</v>
      </c>
      <c r="AA97" s="1">
        <v>0</v>
      </c>
      <c r="AB97" s="1">
        <v>0</v>
      </c>
      <c r="AC97" s="1">
        <v>0</v>
      </c>
      <c r="AD97" s="1">
        <v>0</v>
      </c>
      <c r="AE97" s="1">
        <v>0</v>
      </c>
      <c r="AF97" s="1">
        <v>0</v>
      </c>
      <c r="AG97" s="1">
        <v>0</v>
      </c>
      <c r="AH97" s="1">
        <v>0</v>
      </c>
      <c r="AI97" s="1">
        <v>761.4007990931957</v>
      </c>
      <c r="AJ97" s="1">
        <v>-317.84131508956631</v>
      </c>
      <c r="AK97" s="1">
        <v>152.72588931619109</v>
      </c>
      <c r="AL97" s="1">
        <v>665.16096784070419</v>
      </c>
      <c r="AM97" s="1">
        <v>0</v>
      </c>
      <c r="AN97" s="1">
        <v>0</v>
      </c>
      <c r="AO97" s="25">
        <v>0</v>
      </c>
      <c r="AP97" s="25">
        <v>624.54355719204011</v>
      </c>
      <c r="AQ97" s="25">
        <v>-624.54355719204023</v>
      </c>
      <c r="AR97" s="25">
        <v>0</v>
      </c>
      <c r="AS97" s="25">
        <v>0</v>
      </c>
      <c r="AT97" s="25">
        <v>0</v>
      </c>
      <c r="AU97" s="25">
        <v>0</v>
      </c>
      <c r="AV97" s="25">
        <v>0</v>
      </c>
      <c r="AW97" s="25">
        <v>0</v>
      </c>
      <c r="AX97" s="25">
        <v>0</v>
      </c>
      <c r="AY97" s="25">
        <v>0</v>
      </c>
      <c r="AZ97" s="45">
        <v>1313.1015562646246</v>
      </c>
    </row>
    <row r="98" spans="1:52">
      <c r="B98" s="76">
        <f t="shared" ref="B98:Q98" si="40">B64/$O28</f>
        <v>0</v>
      </c>
      <c r="C98" s="77">
        <f t="shared" si="40"/>
        <v>0</v>
      </c>
      <c r="D98" s="77">
        <f t="shared" si="40"/>
        <v>0</v>
      </c>
      <c r="E98" s="77">
        <f t="shared" si="40"/>
        <v>0</v>
      </c>
      <c r="F98" s="77">
        <f t="shared" si="40"/>
        <v>834.43114608444728</v>
      </c>
      <c r="G98" s="77">
        <f t="shared" si="40"/>
        <v>-624.54355719204023</v>
      </c>
      <c r="H98" s="77">
        <f t="shared" si="40"/>
        <v>-966.83323842259324</v>
      </c>
      <c r="I98" s="77">
        <f t="shared" si="40"/>
        <v>-79.830267392691198</v>
      </c>
      <c r="J98" s="77">
        <f t="shared" si="40"/>
        <v>0</v>
      </c>
      <c r="K98" s="77">
        <f t="shared" si="40"/>
        <v>0</v>
      </c>
      <c r="L98" s="77">
        <f t="shared" si="40"/>
        <v>0</v>
      </c>
      <c r="M98" s="77">
        <f t="shared" si="40"/>
        <v>0</v>
      </c>
      <c r="N98" s="77">
        <f t="shared" si="40"/>
        <v>0</v>
      </c>
      <c r="O98" s="77">
        <f t="shared" si="40"/>
        <v>0</v>
      </c>
      <c r="P98" s="77">
        <f t="shared" si="40"/>
        <v>132.40209233814599</v>
      </c>
      <c r="Q98" s="96">
        <f t="shared" si="40"/>
        <v>704.37382458473132</v>
      </c>
      <c r="S98" s="84">
        <f t="shared" si="38"/>
        <v>-8.955911418079646</v>
      </c>
      <c r="U98" s="11">
        <v>0</v>
      </c>
      <c r="V98" s="1">
        <v>638.97868514563504</v>
      </c>
      <c r="W98" s="1">
        <v>0</v>
      </c>
      <c r="X98" s="1">
        <v>0</v>
      </c>
      <c r="Y98" s="1">
        <v>0</v>
      </c>
      <c r="Z98" s="1">
        <v>0</v>
      </c>
      <c r="AA98" s="1">
        <v>0</v>
      </c>
      <c r="AB98" s="1">
        <v>0</v>
      </c>
      <c r="AC98" s="1">
        <v>0</v>
      </c>
      <c r="AD98" s="1">
        <v>0</v>
      </c>
      <c r="AE98" s="1">
        <v>0</v>
      </c>
      <c r="AF98" s="1">
        <v>0</v>
      </c>
      <c r="AG98" s="1">
        <v>0</v>
      </c>
      <c r="AH98" s="1">
        <v>0</v>
      </c>
      <c r="AI98" s="1">
        <v>0</v>
      </c>
      <c r="AJ98" s="1">
        <v>-809.05062022798631</v>
      </c>
      <c r="AK98" s="1">
        <v>0</v>
      </c>
      <c r="AL98" s="1">
        <v>0</v>
      </c>
      <c r="AM98" s="1">
        <v>0</v>
      </c>
      <c r="AN98" s="1">
        <v>777.48569899492554</v>
      </c>
      <c r="AO98" s="25">
        <v>0</v>
      </c>
      <c r="AP98" s="25">
        <v>0</v>
      </c>
      <c r="AQ98" s="25">
        <v>-966.83323842259324</v>
      </c>
      <c r="AR98" s="25">
        <v>966.83323842259324</v>
      </c>
      <c r="AS98" s="25">
        <v>0</v>
      </c>
      <c r="AT98" s="25">
        <v>0</v>
      </c>
      <c r="AU98" s="25">
        <v>0</v>
      </c>
      <c r="AV98" s="25">
        <v>0</v>
      </c>
      <c r="AW98" s="25">
        <v>542.13362610377976</v>
      </c>
      <c r="AX98" s="25">
        <v>-1460.9662872528663</v>
      </c>
      <c r="AY98" s="25">
        <v>-48.000577273506529</v>
      </c>
      <c r="AZ98" s="45">
        <v>450.97191274720495</v>
      </c>
    </row>
    <row r="99" spans="1:52">
      <c r="B99" s="76">
        <f t="shared" ref="B99:Q99" si="41">B65/$O29</f>
        <v>0</v>
      </c>
      <c r="C99" s="77">
        <f t="shared" si="41"/>
        <v>0</v>
      </c>
      <c r="D99" s="77">
        <f t="shared" si="41"/>
        <v>0</v>
      </c>
      <c r="E99" s="77">
        <f t="shared" si="41"/>
        <v>0</v>
      </c>
      <c r="F99" s="77">
        <f t="shared" si="41"/>
        <v>0</v>
      </c>
      <c r="G99" s="77">
        <f t="shared" si="41"/>
        <v>0</v>
      </c>
      <c r="H99" s="77">
        <f t="shared" si="41"/>
        <v>966.83323842259324</v>
      </c>
      <c r="I99" s="77">
        <f t="shared" si="41"/>
        <v>79.830267392691198</v>
      </c>
      <c r="J99" s="77">
        <f t="shared" si="41"/>
        <v>0</v>
      </c>
      <c r="K99" s="77">
        <f t="shared" si="41"/>
        <v>0</v>
      </c>
      <c r="L99" s="77">
        <f t="shared" si="41"/>
        <v>-787.29216492149499</v>
      </c>
      <c r="M99" s="77">
        <f t="shared" si="41"/>
        <v>-926.63591092529953</v>
      </c>
      <c r="N99" s="77">
        <f t="shared" si="41"/>
        <v>0</v>
      </c>
      <c r="O99" s="77">
        <f t="shared" si="41"/>
        <v>0</v>
      </c>
      <c r="P99" s="77">
        <f t="shared" si="41"/>
        <v>-179.54107350109825</v>
      </c>
      <c r="Q99" s="96">
        <f t="shared" si="41"/>
        <v>846.80564353260843</v>
      </c>
      <c r="S99" s="84">
        <f t="shared" si="38"/>
        <v>-6.9490357648997287</v>
      </c>
      <c r="U99" s="11">
        <v>0</v>
      </c>
      <c r="V99" s="1">
        <v>583.41532121992759</v>
      </c>
      <c r="W99" s="1">
        <v>0</v>
      </c>
      <c r="X99" s="1">
        <v>0</v>
      </c>
      <c r="Y99" s="1">
        <v>0</v>
      </c>
      <c r="Z99" s="1">
        <v>0</v>
      </c>
      <c r="AA99" s="1">
        <v>0</v>
      </c>
      <c r="AB99" s="1">
        <v>0</v>
      </c>
      <c r="AC99" s="1">
        <v>0</v>
      </c>
      <c r="AD99" s="1">
        <v>0</v>
      </c>
      <c r="AE99" s="1">
        <v>0</v>
      </c>
      <c r="AF99" s="1">
        <v>0</v>
      </c>
      <c r="AG99" s="1">
        <v>0</v>
      </c>
      <c r="AH99" s="1">
        <v>0</v>
      </c>
      <c r="AI99" s="1">
        <v>0</v>
      </c>
      <c r="AJ99" s="1">
        <v>317.84131508956631</v>
      </c>
      <c r="AK99" s="1">
        <v>0</v>
      </c>
      <c r="AL99" s="1">
        <v>0</v>
      </c>
      <c r="AM99" s="1">
        <v>0</v>
      </c>
      <c r="AN99" s="1">
        <v>-362.82665953096574</v>
      </c>
      <c r="AO99" s="25">
        <v>0</v>
      </c>
      <c r="AP99" s="25">
        <v>0</v>
      </c>
      <c r="AQ99" s="25">
        <v>-79.830267392691198</v>
      </c>
      <c r="AR99" s="25">
        <v>79.830267392691198</v>
      </c>
      <c r="AS99" s="25">
        <v>0</v>
      </c>
      <c r="AT99" s="25">
        <v>0</v>
      </c>
      <c r="AU99" s="25">
        <v>0</v>
      </c>
      <c r="AV99" s="25">
        <v>0</v>
      </c>
      <c r="AW99" s="25">
        <v>1161.7149130795281</v>
      </c>
      <c r="AX99" s="25">
        <v>-155.37437944005237</v>
      </c>
      <c r="AY99" s="25">
        <v>-1086.170801032167</v>
      </c>
      <c r="AZ99" s="45">
        <v>-1233.2712888719334</v>
      </c>
    </row>
    <row r="100" spans="1:52">
      <c r="B100" s="76">
        <f t="shared" ref="B100:Q100" si="42">B66/$O30</f>
        <v>0</v>
      </c>
      <c r="C100" s="77">
        <f t="shared" si="42"/>
        <v>0</v>
      </c>
      <c r="D100" s="77">
        <f t="shared" si="42"/>
        <v>0</v>
      </c>
      <c r="E100" s="77">
        <f t="shared" si="42"/>
        <v>0</v>
      </c>
      <c r="F100" s="77">
        <f t="shared" si="42"/>
        <v>0</v>
      </c>
      <c r="G100" s="77">
        <f t="shared" si="42"/>
        <v>0</v>
      </c>
      <c r="H100" s="77">
        <f t="shared" si="42"/>
        <v>0</v>
      </c>
      <c r="I100" s="77">
        <f t="shared" si="42"/>
        <v>0</v>
      </c>
      <c r="J100" s="77">
        <f t="shared" si="42"/>
        <v>0</v>
      </c>
      <c r="K100" s="77">
        <f t="shared" si="42"/>
        <v>0</v>
      </c>
      <c r="L100" s="77">
        <f t="shared" si="42"/>
        <v>787.29216492149499</v>
      </c>
      <c r="M100" s="77">
        <f t="shared" si="42"/>
        <v>926.63591092529953</v>
      </c>
      <c r="N100" s="77">
        <f t="shared" si="42"/>
        <v>246.09904342602113</v>
      </c>
      <c r="O100" s="77">
        <f t="shared" si="42"/>
        <v>-1253.5670024512951</v>
      </c>
      <c r="P100" s="77">
        <f t="shared" si="42"/>
        <v>-1033.3912083475161</v>
      </c>
      <c r="Q100" s="96">
        <f t="shared" si="42"/>
        <v>326.93109152599556</v>
      </c>
      <c r="S100" s="84">
        <f t="shared" si="38"/>
        <v>0.98513327884575119</v>
      </c>
      <c r="U100" s="11">
        <v>0</v>
      </c>
      <c r="V100" s="1">
        <v>0</v>
      </c>
      <c r="W100" s="1">
        <v>-166.41610288114117</v>
      </c>
      <c r="X100" s="1">
        <v>0</v>
      </c>
      <c r="Y100" s="1">
        <v>0</v>
      </c>
      <c r="Z100" s="1">
        <v>0</v>
      </c>
      <c r="AA100" s="1">
        <v>0</v>
      </c>
      <c r="AB100" s="1">
        <v>0</v>
      </c>
      <c r="AC100" s="1">
        <v>-11.835277523251683</v>
      </c>
      <c r="AD100" s="1">
        <v>0</v>
      </c>
      <c r="AE100" s="1">
        <v>0</v>
      </c>
      <c r="AF100" s="1">
        <v>0</v>
      </c>
      <c r="AG100" s="1">
        <v>0</v>
      </c>
      <c r="AH100" s="1">
        <v>0</v>
      </c>
      <c r="AI100" s="1">
        <v>0</v>
      </c>
      <c r="AJ100" s="1">
        <v>0</v>
      </c>
      <c r="AK100" s="1">
        <v>0</v>
      </c>
      <c r="AL100" s="1">
        <v>0</v>
      </c>
      <c r="AM100" s="1">
        <v>-377.87944384412987</v>
      </c>
      <c r="AN100" s="1">
        <v>-777.48569899492554</v>
      </c>
      <c r="AO100" s="25">
        <v>0</v>
      </c>
      <c r="AP100" s="25">
        <v>0</v>
      </c>
      <c r="AQ100" s="25">
        <v>0</v>
      </c>
      <c r="AR100" s="25">
        <v>0</v>
      </c>
      <c r="AS100" s="25">
        <v>0</v>
      </c>
      <c r="AT100" s="25">
        <v>0</v>
      </c>
      <c r="AU100" s="25">
        <v>-502.98654410869011</v>
      </c>
      <c r="AV100" s="25">
        <v>616.21227183561393</v>
      </c>
      <c r="AW100" s="25">
        <v>7.6243811221108899</v>
      </c>
      <c r="AX100" s="25">
        <v>542.13362610377976</v>
      </c>
      <c r="AY100" s="25">
        <v>0</v>
      </c>
      <c r="AZ100" s="45">
        <v>0</v>
      </c>
    </row>
    <row r="101" spans="1:52">
      <c r="B101" s="76">
        <f t="shared" ref="B101:Q101" si="43">B67/$O31</f>
        <v>1134.4354025237385</v>
      </c>
      <c r="C101" s="77">
        <f t="shared" si="43"/>
        <v>-544.82752884363754</v>
      </c>
      <c r="D101" s="77">
        <f t="shared" si="43"/>
        <v>0</v>
      </c>
      <c r="E101" s="77">
        <f t="shared" si="43"/>
        <v>0</v>
      </c>
      <c r="F101" s="77">
        <f t="shared" si="43"/>
        <v>0</v>
      </c>
      <c r="G101" s="77">
        <f t="shared" si="43"/>
        <v>0</v>
      </c>
      <c r="H101" s="77">
        <f t="shared" si="43"/>
        <v>0</v>
      </c>
      <c r="I101" s="77">
        <f t="shared" si="43"/>
        <v>0</v>
      </c>
      <c r="J101" s="77">
        <f t="shared" si="43"/>
        <v>0</v>
      </c>
      <c r="K101" s="77">
        <f t="shared" si="43"/>
        <v>0</v>
      </c>
      <c r="L101" s="77">
        <f t="shared" si="43"/>
        <v>0</v>
      </c>
      <c r="M101" s="77">
        <f t="shared" si="43"/>
        <v>0</v>
      </c>
      <c r="N101" s="77">
        <f t="shared" si="43"/>
        <v>-246.09904342602113</v>
      </c>
      <c r="O101" s="77">
        <f t="shared" si="43"/>
        <v>1253.5670024512954</v>
      </c>
      <c r="P101" s="77">
        <f t="shared" si="43"/>
        <v>-888.33635909771738</v>
      </c>
      <c r="Q101" s="96">
        <f t="shared" si="43"/>
        <v>-708.73947360765771</v>
      </c>
      <c r="S101" s="84">
        <f t="shared" si="38"/>
        <v>-4.7617118810687016</v>
      </c>
      <c r="U101" s="11">
        <v>0</v>
      </c>
      <c r="V101" s="1">
        <v>0</v>
      </c>
      <c r="W101" s="1">
        <v>832.08051440570546</v>
      </c>
      <c r="X101" s="1">
        <v>0</v>
      </c>
      <c r="Y101" s="1">
        <v>0</v>
      </c>
      <c r="Z101" s="1">
        <v>0</v>
      </c>
      <c r="AA101" s="1">
        <v>0</v>
      </c>
      <c r="AB101" s="1">
        <v>0</v>
      </c>
      <c r="AC101" s="1">
        <v>757.45776148811296</v>
      </c>
      <c r="AD101" s="1">
        <v>0</v>
      </c>
      <c r="AE101" s="1">
        <v>0</v>
      </c>
      <c r="AF101" s="1">
        <v>0</v>
      </c>
      <c r="AG101" s="1">
        <v>0</v>
      </c>
      <c r="AH101" s="1">
        <v>0</v>
      </c>
      <c r="AI101" s="1">
        <v>0</v>
      </c>
      <c r="AJ101" s="1">
        <v>0</v>
      </c>
      <c r="AK101" s="1">
        <v>0</v>
      </c>
      <c r="AL101" s="1">
        <v>0</v>
      </c>
      <c r="AM101" s="1">
        <v>647.79333230422344</v>
      </c>
      <c r="AN101" s="1">
        <v>362.82665953096574</v>
      </c>
      <c r="AO101" s="25">
        <v>0</v>
      </c>
      <c r="AP101" s="25">
        <v>0</v>
      </c>
      <c r="AQ101" s="25">
        <v>0</v>
      </c>
      <c r="AR101" s="25">
        <v>0</v>
      </c>
      <c r="AS101" s="25">
        <v>0</v>
      </c>
      <c r="AT101" s="25">
        <v>0</v>
      </c>
      <c r="AU101" s="25">
        <v>-222.83493495366315</v>
      </c>
      <c r="AV101" s="25">
        <v>-87.49811506946871</v>
      </c>
      <c r="AW101" s="25">
        <v>-841.02274219775836</v>
      </c>
      <c r="AX101" s="25">
        <v>1161.7149130795281</v>
      </c>
      <c r="AY101" s="25">
        <v>0</v>
      </c>
      <c r="AZ101" s="45">
        <v>0</v>
      </c>
    </row>
    <row r="102" spans="1:52">
      <c r="B102" s="76">
        <f t="shared" ref="B102:Q102" si="44">B68/$O32</f>
        <v>0</v>
      </c>
      <c r="C102" s="77">
        <f t="shared" si="44"/>
        <v>0</v>
      </c>
      <c r="D102" s="77">
        <f t="shared" si="44"/>
        <v>0</v>
      </c>
      <c r="E102" s="77">
        <f t="shared" si="44"/>
        <v>0</v>
      </c>
      <c r="F102" s="77">
        <f t="shared" si="44"/>
        <v>0</v>
      </c>
      <c r="G102" s="77">
        <f t="shared" si="44"/>
        <v>0</v>
      </c>
      <c r="H102" s="77">
        <f t="shared" si="44"/>
        <v>0</v>
      </c>
      <c r="I102" s="77">
        <f t="shared" si="44"/>
        <v>0</v>
      </c>
      <c r="J102" s="77">
        <f t="shared" si="44"/>
        <v>-502.98654410869011</v>
      </c>
      <c r="K102" s="77">
        <f t="shared" si="44"/>
        <v>-222.83493495366315</v>
      </c>
      <c r="L102" s="77">
        <f t="shared" si="44"/>
        <v>1165.9702790615045</v>
      </c>
      <c r="M102" s="77">
        <f t="shared" si="44"/>
        <v>233.19405581230089</v>
      </c>
      <c r="N102" s="77">
        <f t="shared" si="44"/>
        <v>-662.98373495281442</v>
      </c>
      <c r="O102" s="77">
        <f t="shared" si="44"/>
        <v>-10.359120858637725</v>
      </c>
      <c r="P102" s="77">
        <f t="shared" si="44"/>
        <v>0</v>
      </c>
      <c r="Q102" s="96">
        <f t="shared" si="44"/>
        <v>0</v>
      </c>
      <c r="S102" s="84">
        <f t="shared" si="38"/>
        <v>1.8472733671022941</v>
      </c>
      <c r="U102" s="11">
        <v>-173.64575395634725</v>
      </c>
      <c r="V102" s="1">
        <v>-638.97868514563504</v>
      </c>
      <c r="W102" s="1">
        <v>166.41610288114117</v>
      </c>
      <c r="X102" s="1">
        <v>176.475126219299</v>
      </c>
      <c r="Y102" s="1">
        <v>-648.84325426498947</v>
      </c>
      <c r="Z102" s="1">
        <v>0</v>
      </c>
      <c r="AA102" s="1">
        <v>0</v>
      </c>
      <c r="AB102" s="1">
        <v>176.4747726760782</v>
      </c>
      <c r="AC102" s="1">
        <v>0</v>
      </c>
      <c r="AD102" s="1">
        <v>0</v>
      </c>
      <c r="AE102" s="1">
        <v>0</v>
      </c>
      <c r="AF102" s="1">
        <v>-173.64591781163858</v>
      </c>
      <c r="AG102" s="1">
        <v>0</v>
      </c>
      <c r="AH102" s="1">
        <v>0</v>
      </c>
      <c r="AI102" s="1">
        <v>0</v>
      </c>
      <c r="AJ102" s="1">
        <v>0</v>
      </c>
      <c r="AK102" s="1">
        <v>-778.90203551257537</v>
      </c>
      <c r="AL102" s="1">
        <v>0</v>
      </c>
      <c r="AM102" s="1">
        <v>0</v>
      </c>
      <c r="AN102" s="1">
        <v>0</v>
      </c>
      <c r="AO102" s="25">
        <v>0</v>
      </c>
      <c r="AP102" s="25">
        <v>0</v>
      </c>
      <c r="AQ102" s="25">
        <v>0</v>
      </c>
      <c r="AR102" s="25">
        <v>-787.29216492149499</v>
      </c>
      <c r="AS102" s="25">
        <v>787.29216492149499</v>
      </c>
      <c r="AT102" s="25">
        <v>0</v>
      </c>
      <c r="AU102" s="25">
        <v>1165.9702790615045</v>
      </c>
      <c r="AV102" s="25">
        <v>-1165.9702790615045</v>
      </c>
      <c r="AW102" s="25">
        <v>0</v>
      </c>
      <c r="AX102" s="25">
        <v>918.83266114908668</v>
      </c>
      <c r="AY102" s="25">
        <v>-918.83266114908668</v>
      </c>
      <c r="AZ102" s="45">
        <v>0</v>
      </c>
    </row>
    <row r="103" spans="1:52">
      <c r="B103" s="76">
        <f t="shared" ref="B103:Q103" si="45">B69/$O33</f>
        <v>0</v>
      </c>
      <c r="C103" s="77">
        <f t="shared" si="45"/>
        <v>0</v>
      </c>
      <c r="D103" s="77">
        <f t="shared" si="45"/>
        <v>0</v>
      </c>
      <c r="E103" s="77">
        <f t="shared" si="45"/>
        <v>0</v>
      </c>
      <c r="F103" s="77">
        <f t="shared" si="45"/>
        <v>0</v>
      </c>
      <c r="G103" s="77">
        <f t="shared" si="45"/>
        <v>0</v>
      </c>
      <c r="H103" s="77">
        <f t="shared" si="45"/>
        <v>0</v>
      </c>
      <c r="I103" s="77">
        <f t="shared" si="45"/>
        <v>0</v>
      </c>
      <c r="J103" s="77">
        <f t="shared" si="45"/>
        <v>616.21227183561393</v>
      </c>
      <c r="K103" s="77">
        <f t="shared" si="45"/>
        <v>-87.49811506946871</v>
      </c>
      <c r="L103" s="77">
        <f t="shared" si="45"/>
        <v>-1165.9702790615045</v>
      </c>
      <c r="M103" s="77">
        <f t="shared" si="45"/>
        <v>-233.19405581230089</v>
      </c>
      <c r="N103" s="77">
        <f t="shared" si="45"/>
        <v>0</v>
      </c>
      <c r="O103" s="77">
        <f t="shared" si="45"/>
        <v>0</v>
      </c>
      <c r="P103" s="77">
        <f t="shared" si="45"/>
        <v>549.75800722589065</v>
      </c>
      <c r="Q103" s="96">
        <f t="shared" si="45"/>
        <v>320.69217088176958</v>
      </c>
      <c r="S103" s="84">
        <f t="shared" si="38"/>
        <v>-4.7604092258287283</v>
      </c>
      <c r="U103" s="11">
        <v>766.93541330720211</v>
      </c>
      <c r="V103" s="1">
        <v>-583.41532121992759</v>
      </c>
      <c r="W103" s="1">
        <v>-832.08051440570546</v>
      </c>
      <c r="X103" s="1">
        <v>852.96311005994744</v>
      </c>
      <c r="Y103" s="1">
        <v>551.27284008980359</v>
      </c>
      <c r="Z103" s="1">
        <v>0</v>
      </c>
      <c r="AA103" s="1">
        <v>0</v>
      </c>
      <c r="AB103" s="1">
        <v>852.96140126771127</v>
      </c>
      <c r="AC103" s="1">
        <v>0</v>
      </c>
      <c r="AD103" s="1">
        <v>0</v>
      </c>
      <c r="AE103" s="1">
        <v>0</v>
      </c>
      <c r="AF103" s="1">
        <v>766.93613700140429</v>
      </c>
      <c r="AG103" s="1">
        <v>0</v>
      </c>
      <c r="AH103" s="1">
        <v>0</v>
      </c>
      <c r="AI103" s="1">
        <v>0</v>
      </c>
      <c r="AJ103" s="1">
        <v>0</v>
      </c>
      <c r="AK103" s="1">
        <v>-152.72588931619109</v>
      </c>
      <c r="AL103" s="1">
        <v>0</v>
      </c>
      <c r="AM103" s="1">
        <v>0</v>
      </c>
      <c r="AN103" s="1">
        <v>0</v>
      </c>
      <c r="AO103" s="25">
        <v>0</v>
      </c>
      <c r="AP103" s="25">
        <v>0</v>
      </c>
      <c r="AQ103" s="25">
        <v>0</v>
      </c>
      <c r="AR103" s="25">
        <v>-926.63591092529953</v>
      </c>
      <c r="AS103" s="25">
        <v>926.63591092529953</v>
      </c>
      <c r="AT103" s="25">
        <v>0</v>
      </c>
      <c r="AU103" s="25">
        <v>233.19405581230089</v>
      </c>
      <c r="AV103" s="25">
        <v>-233.19405581230089</v>
      </c>
      <c r="AW103" s="25">
        <v>0</v>
      </c>
      <c r="AX103" s="25">
        <v>-1006.3405336394758</v>
      </c>
      <c r="AY103" s="25">
        <v>1006.3405336394758</v>
      </c>
      <c r="AZ103" s="45">
        <v>0</v>
      </c>
    </row>
    <row r="104" spans="1:52">
      <c r="B104" s="76">
        <f t="shared" ref="B104:Q104" si="46">B70/$O34</f>
        <v>0</v>
      </c>
      <c r="C104" s="77">
        <f t="shared" si="46"/>
        <v>0</v>
      </c>
      <c r="D104" s="77">
        <f t="shared" si="46"/>
        <v>0</v>
      </c>
      <c r="E104" s="77">
        <f t="shared" si="46"/>
        <v>0</v>
      </c>
      <c r="F104" s="77">
        <f t="shared" si="46"/>
        <v>0</v>
      </c>
      <c r="G104" s="77">
        <f t="shared" si="46"/>
        <v>0</v>
      </c>
      <c r="H104" s="77">
        <f t="shared" si="46"/>
        <v>542.13362610377976</v>
      </c>
      <c r="I104" s="77">
        <f t="shared" si="46"/>
        <v>1161.7149130795281</v>
      </c>
      <c r="J104" s="77">
        <f t="shared" si="46"/>
        <v>7.6243811221108899</v>
      </c>
      <c r="K104" s="77">
        <f t="shared" si="46"/>
        <v>-841.02274219775836</v>
      </c>
      <c r="L104" s="77">
        <f t="shared" si="46"/>
        <v>0</v>
      </c>
      <c r="M104" s="77">
        <f t="shared" si="46"/>
        <v>0</v>
      </c>
      <c r="N104" s="77">
        <f t="shared" si="46"/>
        <v>0</v>
      </c>
      <c r="O104" s="77">
        <f t="shared" si="46"/>
        <v>0</v>
      </c>
      <c r="P104" s="77">
        <f t="shared" si="46"/>
        <v>-549.75800722589065</v>
      </c>
      <c r="Q104" s="96">
        <f t="shared" si="46"/>
        <v>-320.69217088176958</v>
      </c>
      <c r="S104" s="84">
        <f t="shared" si="38"/>
        <v>-1.7060801082872483</v>
      </c>
      <c r="U104" s="11">
        <v>0</v>
      </c>
      <c r="V104" s="1">
        <v>0</v>
      </c>
      <c r="W104" s="1">
        <v>0</v>
      </c>
      <c r="X104" s="1">
        <v>-176.475126219299</v>
      </c>
      <c r="Y104" s="1">
        <v>0</v>
      </c>
      <c r="Z104" s="1">
        <v>-521.73885822320426</v>
      </c>
      <c r="AA104" s="1">
        <v>-841.4861035042926</v>
      </c>
      <c r="AB104" s="1">
        <v>-176.4747726760782</v>
      </c>
      <c r="AC104" s="1">
        <v>11.835277523251683</v>
      </c>
      <c r="AD104" s="1">
        <v>0</v>
      </c>
      <c r="AE104" s="1">
        <v>0</v>
      </c>
      <c r="AF104" s="1">
        <v>0</v>
      </c>
      <c r="AG104" s="1">
        <v>-739.63346912744237</v>
      </c>
      <c r="AH104" s="1">
        <v>0</v>
      </c>
      <c r="AI104" s="1">
        <v>0</v>
      </c>
      <c r="AJ104" s="1">
        <v>0</v>
      </c>
      <c r="AK104" s="1">
        <v>0</v>
      </c>
      <c r="AL104" s="1">
        <v>0</v>
      </c>
      <c r="AM104" s="1">
        <v>0</v>
      </c>
      <c r="AN104" s="1">
        <v>0</v>
      </c>
      <c r="AO104" s="25">
        <v>0</v>
      </c>
      <c r="AP104" s="25">
        <v>0</v>
      </c>
      <c r="AQ104" s="25">
        <v>0</v>
      </c>
      <c r="AR104" s="25">
        <v>0</v>
      </c>
      <c r="AS104" s="25">
        <v>246.09904342602113</v>
      </c>
      <c r="AT104" s="25">
        <v>-246.09904342602113</v>
      </c>
      <c r="AU104" s="25">
        <v>-662.98373495281442</v>
      </c>
      <c r="AV104" s="25">
        <v>0</v>
      </c>
      <c r="AW104" s="25">
        <v>0</v>
      </c>
      <c r="AX104" s="25">
        <v>0</v>
      </c>
      <c r="AY104" s="25">
        <v>0</v>
      </c>
      <c r="AZ104" s="45">
        <v>0</v>
      </c>
    </row>
    <row r="105" spans="1:52">
      <c r="B105" s="76">
        <f t="shared" ref="B105:Q105" si="47">B71/$O35</f>
        <v>0</v>
      </c>
      <c r="C105" s="77">
        <f t="shared" si="47"/>
        <v>0</v>
      </c>
      <c r="D105" s="77">
        <f t="shared" si="47"/>
        <v>0</v>
      </c>
      <c r="E105" s="77">
        <f t="shared" si="47"/>
        <v>0</v>
      </c>
      <c r="F105" s="77">
        <f t="shared" si="47"/>
        <v>0</v>
      </c>
      <c r="G105" s="77">
        <f t="shared" si="47"/>
        <v>0</v>
      </c>
      <c r="H105" s="77">
        <f t="shared" si="47"/>
        <v>-1460.9662872528663</v>
      </c>
      <c r="I105" s="77">
        <f t="shared" si="47"/>
        <v>-155.37437944005237</v>
      </c>
      <c r="J105" s="77">
        <f t="shared" si="47"/>
        <v>542.13362610377976</v>
      </c>
      <c r="K105" s="77">
        <f t="shared" si="47"/>
        <v>1161.7149130795281</v>
      </c>
      <c r="L105" s="77">
        <f t="shared" si="47"/>
        <v>918.83266114908668</v>
      </c>
      <c r="M105" s="77">
        <f t="shared" si="47"/>
        <v>-1006.3405336394758</v>
      </c>
      <c r="N105" s="77">
        <f t="shared" si="47"/>
        <v>0</v>
      </c>
      <c r="O105" s="77">
        <f t="shared" si="47"/>
        <v>0</v>
      </c>
      <c r="P105" s="77">
        <f t="shared" si="47"/>
        <v>0</v>
      </c>
      <c r="Q105" s="96">
        <f t="shared" si="47"/>
        <v>0</v>
      </c>
      <c r="S105" s="84">
        <f t="shared" si="38"/>
        <v>-1.958238517687505</v>
      </c>
      <c r="U105" s="11">
        <v>0</v>
      </c>
      <c r="V105" s="1">
        <v>0</v>
      </c>
      <c r="W105" s="1">
        <v>0</v>
      </c>
      <c r="X105" s="1">
        <v>-852.96311005994744</v>
      </c>
      <c r="Y105" s="1">
        <v>0</v>
      </c>
      <c r="Z105" s="1">
        <v>695.65181096427273</v>
      </c>
      <c r="AA105" s="1">
        <v>-165.1997258413335</v>
      </c>
      <c r="AB105" s="1">
        <v>-852.96140126771127</v>
      </c>
      <c r="AC105" s="1">
        <v>-757.45776148811296</v>
      </c>
      <c r="AD105" s="1">
        <v>0</v>
      </c>
      <c r="AE105" s="1">
        <v>0</v>
      </c>
      <c r="AF105" s="1">
        <v>0</v>
      </c>
      <c r="AG105" s="1">
        <v>299.00076411534923</v>
      </c>
      <c r="AH105" s="1">
        <v>0</v>
      </c>
      <c r="AI105" s="1">
        <v>0</v>
      </c>
      <c r="AJ105" s="1">
        <v>0</v>
      </c>
      <c r="AK105" s="1">
        <v>0</v>
      </c>
      <c r="AL105" s="1">
        <v>0</v>
      </c>
      <c r="AM105" s="1">
        <v>0</v>
      </c>
      <c r="AN105" s="1">
        <v>0</v>
      </c>
      <c r="AO105" s="25">
        <v>0</v>
      </c>
      <c r="AP105" s="25">
        <v>0</v>
      </c>
      <c r="AQ105" s="25">
        <v>0</v>
      </c>
      <c r="AR105" s="25">
        <v>0</v>
      </c>
      <c r="AS105" s="25">
        <v>-1253.5670024512951</v>
      </c>
      <c r="AT105" s="25">
        <v>1253.5670024512954</v>
      </c>
      <c r="AU105" s="25">
        <v>-10.359120858637725</v>
      </c>
      <c r="AV105" s="25">
        <v>0</v>
      </c>
      <c r="AW105" s="25">
        <v>0</v>
      </c>
      <c r="AX105" s="25">
        <v>0</v>
      </c>
      <c r="AY105" s="25">
        <v>0</v>
      </c>
      <c r="AZ105" s="45">
        <v>0</v>
      </c>
    </row>
    <row r="106" spans="1:52">
      <c r="B106" s="76">
        <f t="shared" ref="B106:Q106" si="48">B72/$O36</f>
        <v>0</v>
      </c>
      <c r="C106" s="77">
        <f t="shared" si="48"/>
        <v>0</v>
      </c>
      <c r="D106" s="77">
        <f t="shared" si="48"/>
        <v>0</v>
      </c>
      <c r="E106" s="77">
        <f t="shared" si="48"/>
        <v>0</v>
      </c>
      <c r="F106" s="77">
        <f t="shared" si="48"/>
        <v>0</v>
      </c>
      <c r="G106" s="77">
        <f t="shared" si="48"/>
        <v>0</v>
      </c>
      <c r="H106" s="77">
        <f t="shared" si="48"/>
        <v>-48.000577273506529</v>
      </c>
      <c r="I106" s="77">
        <f t="shared" si="48"/>
        <v>-1086.170801032167</v>
      </c>
      <c r="J106" s="77">
        <f t="shared" si="48"/>
        <v>0</v>
      </c>
      <c r="K106" s="77">
        <f t="shared" si="48"/>
        <v>0</v>
      </c>
      <c r="L106" s="77">
        <f t="shared" si="48"/>
        <v>-918.83266114908668</v>
      </c>
      <c r="M106" s="77">
        <f t="shared" si="48"/>
        <v>1006.3405336394758</v>
      </c>
      <c r="N106" s="77">
        <f t="shared" si="48"/>
        <v>0</v>
      </c>
      <c r="O106" s="77">
        <f t="shared" si="48"/>
        <v>0</v>
      </c>
      <c r="P106" s="77">
        <f t="shared" si="48"/>
        <v>966.83323842259324</v>
      </c>
      <c r="Q106" s="96">
        <f t="shared" si="48"/>
        <v>79.830267392691198</v>
      </c>
      <c r="S106" s="84">
        <f t="shared" si="38"/>
        <v>1.4412353457515792</v>
      </c>
      <c r="U106" s="11">
        <v>0</v>
      </c>
      <c r="V106" s="1">
        <v>0</v>
      </c>
      <c r="W106" s="1">
        <v>0</v>
      </c>
      <c r="X106" s="1">
        <v>0</v>
      </c>
      <c r="Y106" s="1">
        <v>648.84325426498947</v>
      </c>
      <c r="Z106" s="1">
        <v>0</v>
      </c>
      <c r="AA106" s="1">
        <v>841.4861035042926</v>
      </c>
      <c r="AB106" s="1">
        <v>0</v>
      </c>
      <c r="AC106" s="1">
        <v>0</v>
      </c>
      <c r="AD106" s="1">
        <v>0</v>
      </c>
      <c r="AE106" s="1">
        <v>370.46025554557082</v>
      </c>
      <c r="AF106" s="1">
        <v>0</v>
      </c>
      <c r="AG106" s="1">
        <v>0</v>
      </c>
      <c r="AH106" s="1">
        <v>-430.35881439142804</v>
      </c>
      <c r="AI106" s="1">
        <v>0</v>
      </c>
      <c r="AJ106" s="1">
        <v>0</v>
      </c>
      <c r="AK106" s="1">
        <v>0</v>
      </c>
      <c r="AL106" s="1">
        <v>-497.85054034703103</v>
      </c>
      <c r="AM106" s="1">
        <v>377.87944384412987</v>
      </c>
      <c r="AN106" s="1">
        <v>0</v>
      </c>
      <c r="AO106" s="25">
        <v>-130.06218252893419</v>
      </c>
      <c r="AP106" s="25">
        <v>2098.9287311371199</v>
      </c>
      <c r="AQ106" s="25">
        <v>132.40209233814599</v>
      </c>
      <c r="AR106" s="25">
        <v>-179.54107350109825</v>
      </c>
      <c r="AS106" s="25">
        <v>-1033.3912083475161</v>
      </c>
      <c r="AT106" s="25">
        <v>-888.33635909771738</v>
      </c>
      <c r="AU106" s="25">
        <v>0</v>
      </c>
      <c r="AV106" s="25">
        <v>549.75800722589065</v>
      </c>
      <c r="AW106" s="25">
        <v>-549.75800722589065</v>
      </c>
      <c r="AX106" s="25">
        <v>0</v>
      </c>
      <c r="AY106" s="25">
        <v>966.83323842259324</v>
      </c>
      <c r="AZ106" s="45">
        <v>-966.83323842259324</v>
      </c>
    </row>
    <row r="107" spans="1:52">
      <c r="B107" s="79">
        <f t="shared" ref="B107:Q107" si="49">B73/$O37</f>
        <v>0</v>
      </c>
      <c r="C107" s="80">
        <f t="shared" si="49"/>
        <v>0</v>
      </c>
      <c r="D107" s="80">
        <f t="shared" si="49"/>
        <v>0</v>
      </c>
      <c r="E107" s="80">
        <f t="shared" si="49"/>
        <v>0</v>
      </c>
      <c r="F107" s="80">
        <f t="shared" si="49"/>
        <v>515.86132567538823</v>
      </c>
      <c r="G107" s="80">
        <f t="shared" si="49"/>
        <v>1313.1015562646246</v>
      </c>
      <c r="H107" s="80">
        <f t="shared" si="49"/>
        <v>450.97191274720495</v>
      </c>
      <c r="I107" s="80">
        <f t="shared" si="49"/>
        <v>-1233.2712888719334</v>
      </c>
      <c r="J107" s="80">
        <f t="shared" si="49"/>
        <v>0</v>
      </c>
      <c r="K107" s="80">
        <f t="shared" si="49"/>
        <v>0</v>
      </c>
      <c r="L107" s="80">
        <f t="shared" si="49"/>
        <v>0</v>
      </c>
      <c r="M107" s="80">
        <f t="shared" si="49"/>
        <v>0</v>
      </c>
      <c r="N107" s="80">
        <f t="shared" si="49"/>
        <v>0</v>
      </c>
      <c r="O107" s="80">
        <f t="shared" si="49"/>
        <v>0</v>
      </c>
      <c r="P107" s="80">
        <f t="shared" si="49"/>
        <v>-966.83323842259324</v>
      </c>
      <c r="Q107" s="97">
        <f t="shared" si="49"/>
        <v>-79.830267392691198</v>
      </c>
      <c r="S107" s="85">
        <f t="shared" si="38"/>
        <v>-4.9104255216055513E-2</v>
      </c>
      <c r="U107" s="13">
        <v>0</v>
      </c>
      <c r="V107" s="14">
        <v>0</v>
      </c>
      <c r="W107" s="14">
        <v>0</v>
      </c>
      <c r="X107" s="14">
        <v>0</v>
      </c>
      <c r="Y107" s="14">
        <v>-551.27284008980359</v>
      </c>
      <c r="Z107" s="14">
        <v>0</v>
      </c>
      <c r="AA107" s="14">
        <v>165.1997258413335</v>
      </c>
      <c r="AB107" s="14">
        <v>0</v>
      </c>
      <c r="AC107" s="14">
        <v>0</v>
      </c>
      <c r="AD107" s="14">
        <v>0</v>
      </c>
      <c r="AE107" s="14">
        <v>771.36929921817512</v>
      </c>
      <c r="AF107" s="14">
        <v>0</v>
      </c>
      <c r="AG107" s="14">
        <v>0</v>
      </c>
      <c r="AH107" s="14">
        <v>759.10513094043529</v>
      </c>
      <c r="AI107" s="14">
        <v>0</v>
      </c>
      <c r="AJ107" s="14">
        <v>0</v>
      </c>
      <c r="AK107" s="14">
        <v>0</v>
      </c>
      <c r="AL107" s="14">
        <v>-665.16096784070419</v>
      </c>
      <c r="AM107" s="14">
        <v>-647.79333230422344</v>
      </c>
      <c r="AN107" s="14">
        <v>0</v>
      </c>
      <c r="AO107" s="32">
        <v>-1261.7080495034206</v>
      </c>
      <c r="AP107" s="32">
        <v>92.336963467742791</v>
      </c>
      <c r="AQ107" s="32">
        <v>704.37382458473132</v>
      </c>
      <c r="AR107" s="32">
        <v>846.80564353260843</v>
      </c>
      <c r="AS107" s="32">
        <v>326.93109152599556</v>
      </c>
      <c r="AT107" s="32">
        <v>-708.73947360765771</v>
      </c>
      <c r="AU107" s="32">
        <v>0</v>
      </c>
      <c r="AV107" s="32">
        <v>320.69217088176958</v>
      </c>
      <c r="AW107" s="32">
        <v>-320.69217088176958</v>
      </c>
      <c r="AX107" s="32">
        <v>0</v>
      </c>
      <c r="AY107" s="32">
        <v>79.830267392691198</v>
      </c>
      <c r="AZ107" s="49">
        <v>-79.830267392691198</v>
      </c>
    </row>
    <row r="109" spans="1:52">
      <c r="A109" s="23"/>
      <c r="B109" s="266" t="s">
        <v>48</v>
      </c>
      <c r="C109" s="267"/>
      <c r="D109" s="267"/>
      <c r="E109" s="267"/>
      <c r="F109" s="267"/>
      <c r="G109" s="267"/>
      <c r="H109" s="267"/>
      <c r="I109" s="267"/>
      <c r="J109" s="267"/>
      <c r="K109" s="267"/>
      <c r="L109" s="267"/>
      <c r="M109" s="267"/>
      <c r="N109" s="267"/>
      <c r="O109" s="267"/>
      <c r="P109" s="267"/>
      <c r="Q109" s="268"/>
      <c r="R109" s="257" t="s">
        <v>49</v>
      </c>
      <c r="S109" s="258"/>
      <c r="T109" s="259"/>
      <c r="V109" s="69" t="s">
        <v>50</v>
      </c>
    </row>
    <row r="110" spans="1:52">
      <c r="A110" s="23"/>
      <c r="B110" s="73" cm="1">
        <f t="array" ref="B110:Q125">MMULT(_xlfn.ANCHORARRAY(U92),B76:Q107)</f>
        <v>3781646.9419155456</v>
      </c>
      <c r="C110" s="9">
        <v>-1452438.9423782346</v>
      </c>
      <c r="D110" s="9">
        <v>-2172492.4140480189</v>
      </c>
      <c r="E110" s="9">
        <v>-940496.29497446935</v>
      </c>
      <c r="F110" s="9">
        <v>0</v>
      </c>
      <c r="G110" s="9">
        <v>0</v>
      </c>
      <c r="H110" s="9">
        <v>0</v>
      </c>
      <c r="I110" s="9">
        <v>0</v>
      </c>
      <c r="J110" s="9">
        <v>0</v>
      </c>
      <c r="K110" s="9">
        <v>0</v>
      </c>
      <c r="L110" s="9">
        <v>-60305.752639714628</v>
      </c>
      <c r="M110" s="9">
        <v>266350.40749207337</v>
      </c>
      <c r="N110" s="9">
        <v>-551394.90356975817</v>
      </c>
      <c r="O110" s="9">
        <v>1785039.3685897156</v>
      </c>
      <c r="P110" s="9">
        <v>-997453.8716580536</v>
      </c>
      <c r="Q110" s="10">
        <v>341545.461270915</v>
      </c>
      <c r="R110" s="8">
        <v>0</v>
      </c>
      <c r="S110" s="9">
        <v>0</v>
      </c>
      <c r="T110" s="10">
        <v>0</v>
      </c>
      <c r="V110" s="2" cm="1">
        <f t="array" ref="V110:V125">MMULT(_xlfn.ANCHORARRAY(U92),S76:S107)</f>
        <v>-29740.429519208028</v>
      </c>
    </row>
    <row r="111" spans="1:52">
      <c r="A111" s="23"/>
      <c r="B111" s="11">
        <v>-1452438.9423782346</v>
      </c>
      <c r="C111" s="1">
        <v>2870935.2926965696</v>
      </c>
      <c r="D111" s="1">
        <v>561691.44153463398</v>
      </c>
      <c r="E111" s="1">
        <v>368638.02651990624</v>
      </c>
      <c r="F111" s="1">
        <v>0</v>
      </c>
      <c r="G111" s="1">
        <v>0</v>
      </c>
      <c r="H111" s="1">
        <v>0</v>
      </c>
      <c r="I111" s="1">
        <v>0</v>
      </c>
      <c r="J111" s="1">
        <v>0</v>
      </c>
      <c r="K111" s="1">
        <v>0</v>
      </c>
      <c r="L111" s="1">
        <v>266350.40749207337</v>
      </c>
      <c r="M111" s="1">
        <v>-1176380.9664233257</v>
      </c>
      <c r="N111" s="1">
        <v>497030.11525398609</v>
      </c>
      <c r="O111" s="1">
        <v>-1166909.2542833376</v>
      </c>
      <c r="P111" s="1">
        <v>127366.9780975412</v>
      </c>
      <c r="Q111" s="12">
        <v>-896283.09850981273</v>
      </c>
      <c r="R111" s="11">
        <v>0</v>
      </c>
      <c r="S111" s="1">
        <v>0</v>
      </c>
      <c r="T111" s="12">
        <v>0</v>
      </c>
      <c r="V111" s="3">
        <v>-7768.9244862170926</v>
      </c>
      <c r="Y111" s="23"/>
      <c r="Z111" s="152" t="s">
        <v>51</v>
      </c>
      <c r="AA111" s="153" t="s">
        <v>52</v>
      </c>
      <c r="AB111" s="153" t="s">
        <v>53</v>
      </c>
      <c r="AC111" s="154" t="s">
        <v>54</v>
      </c>
      <c r="AD111" s="154" t="s">
        <v>55</v>
      </c>
      <c r="AE111" s="153" t="s">
        <v>56</v>
      </c>
      <c r="AF111" s="153" t="s">
        <v>45</v>
      </c>
      <c r="AG111" s="155" t="s">
        <v>57</v>
      </c>
    </row>
    <row r="112" spans="1:52">
      <c r="A112" s="23"/>
      <c r="B112" s="11">
        <v>-2172492.4140480189</v>
      </c>
      <c r="C112" s="1">
        <v>561691.44153463398</v>
      </c>
      <c r="D112" s="1">
        <v>4685409.6382794194</v>
      </c>
      <c r="E112" s="1">
        <v>1492344.1218479071</v>
      </c>
      <c r="F112" s="1">
        <v>1037902.7809815664</v>
      </c>
      <c r="G112" s="1">
        <v>-889687.47101225727</v>
      </c>
      <c r="H112" s="1">
        <v>0</v>
      </c>
      <c r="I112" s="1">
        <v>0</v>
      </c>
      <c r="J112" s="1">
        <v>0</v>
      </c>
      <c r="K112" s="1">
        <v>0</v>
      </c>
      <c r="L112" s="1">
        <v>0</v>
      </c>
      <c r="M112" s="1">
        <v>0</v>
      </c>
      <c r="N112" s="1">
        <v>-547057.66865349526</v>
      </c>
      <c r="O112" s="1">
        <v>221150.97243439182</v>
      </c>
      <c r="P112" s="1">
        <v>-3003762.3365594717</v>
      </c>
      <c r="Q112" s="12">
        <v>-1385499.0648046758</v>
      </c>
      <c r="R112" s="11">
        <v>0</v>
      </c>
      <c r="S112" s="1">
        <v>0</v>
      </c>
      <c r="T112" s="12">
        <v>0</v>
      </c>
      <c r="V112" s="3">
        <v>18617.226735321579</v>
      </c>
      <c r="Y112" s="149" t="s">
        <v>58</v>
      </c>
      <c r="Z112" s="151">
        <v>9</v>
      </c>
      <c r="AA112" s="35">
        <f>VLOOKUP(Z112,$P$5:$R$13,2,FALSE)</f>
        <v>314</v>
      </c>
      <c r="AB112" s="35">
        <f>VLOOKUP(Z112,$P$5:$R$13,3,FALSE)</f>
        <v>271</v>
      </c>
      <c r="AC112" s="35">
        <f>AA113-AA112</f>
        <v>-169</v>
      </c>
      <c r="AD112" s="35">
        <f>AB113-AB112</f>
        <v>289</v>
      </c>
      <c r="AE112" s="35">
        <f>AC112^2+AD112^2</f>
        <v>112082</v>
      </c>
      <c r="AF112" s="83">
        <f>AD112/AE112*(200/PI()*10000)</f>
        <v>1641.5045610734196</v>
      </c>
      <c r="AG112" s="83">
        <f>-AC112/AE112*200/PI()*10000</f>
        <v>959.91097170037347</v>
      </c>
    </row>
    <row r="113" spans="1:33">
      <c r="A113" s="23"/>
      <c r="B113" s="11">
        <v>-940496.29497446935</v>
      </c>
      <c r="C113" s="1">
        <v>368638.02651990624</v>
      </c>
      <c r="D113" s="1">
        <v>1492344.1218479071</v>
      </c>
      <c r="E113" s="1">
        <v>2295146.8114516018</v>
      </c>
      <c r="F113" s="1">
        <v>498233.78327704128</v>
      </c>
      <c r="G113" s="1">
        <v>-1027454.2873142996</v>
      </c>
      <c r="H113" s="1">
        <v>0</v>
      </c>
      <c r="I113" s="1">
        <v>0</v>
      </c>
      <c r="J113" s="1">
        <v>0</v>
      </c>
      <c r="K113" s="1">
        <v>0</v>
      </c>
      <c r="L113" s="1">
        <v>0</v>
      </c>
      <c r="M113" s="1">
        <v>0</v>
      </c>
      <c r="N113" s="1">
        <v>221150.97243439182</v>
      </c>
      <c r="O113" s="1">
        <v>-89401.456941562705</v>
      </c>
      <c r="P113" s="1">
        <v>-1271232.582584871</v>
      </c>
      <c r="Q113" s="12">
        <v>-1546929.0937156454</v>
      </c>
      <c r="R113" s="11">
        <v>0</v>
      </c>
      <c r="S113" s="1">
        <v>0</v>
      </c>
      <c r="T113" s="12">
        <v>0</v>
      </c>
      <c r="V113" s="3">
        <v>-2146.0975918559425</v>
      </c>
      <c r="Y113" s="150" t="s">
        <v>59</v>
      </c>
      <c r="Z113" s="148">
        <v>6</v>
      </c>
      <c r="AA113" s="1">
        <f>VLOOKUP(Z113,$P$5:$R$13,2,FALSE)</f>
        <v>145</v>
      </c>
      <c r="AB113" s="1">
        <f>VLOOKUP(Z113,$P$5:$R$13,3,FALSE)</f>
        <v>560</v>
      </c>
      <c r="AC113" s="23"/>
      <c r="AD113" s="23"/>
      <c r="AE113" s="23"/>
      <c r="AF113" s="23"/>
      <c r="AG113" s="23"/>
    </row>
    <row r="114" spans="1:33">
      <c r="A114" s="23"/>
      <c r="B114" s="11">
        <v>0</v>
      </c>
      <c r="C114" s="1">
        <v>0</v>
      </c>
      <c r="D114" s="1">
        <v>1037902.7809815664</v>
      </c>
      <c r="E114" s="1">
        <v>498233.78327704128</v>
      </c>
      <c r="F114" s="1">
        <v>3185003.418114882</v>
      </c>
      <c r="G114" s="1">
        <v>-71985.691457216162</v>
      </c>
      <c r="H114" s="1">
        <v>-1228679.7045486527</v>
      </c>
      <c r="I114" s="1">
        <v>-445660.11040028895</v>
      </c>
      <c r="J114" s="1">
        <v>0</v>
      </c>
      <c r="K114" s="1">
        <v>0</v>
      </c>
      <c r="L114" s="1">
        <v>-606688.38092563325</v>
      </c>
      <c r="M114" s="1">
        <v>-118958.50606384952</v>
      </c>
      <c r="N114" s="1">
        <v>0</v>
      </c>
      <c r="O114" s="1">
        <v>0</v>
      </c>
      <c r="P114" s="1">
        <v>-2387538.113622162</v>
      </c>
      <c r="Q114" s="12">
        <v>138370.52464431326</v>
      </c>
      <c r="R114" s="11">
        <v>0</v>
      </c>
      <c r="S114" s="1">
        <v>0</v>
      </c>
      <c r="T114" s="12">
        <v>0</v>
      </c>
      <c r="V114" s="3">
        <v>-26162.319515421543</v>
      </c>
    </row>
    <row r="115" spans="1:33">
      <c r="A115" s="23"/>
      <c r="B115" s="11">
        <v>0</v>
      </c>
      <c r="C115" s="1">
        <v>0</v>
      </c>
      <c r="D115" s="1">
        <v>-889687.47101225727</v>
      </c>
      <c r="E115" s="1">
        <v>-1027454.2873142996</v>
      </c>
      <c r="F115" s="1">
        <v>-71985.691457216162</v>
      </c>
      <c r="G115" s="1">
        <v>3650863.5955685787</v>
      </c>
      <c r="H115" s="1">
        <v>1453151.1035032282</v>
      </c>
      <c r="I115" s="1">
        <v>-1670576.071123057</v>
      </c>
      <c r="J115" s="1">
        <v>0</v>
      </c>
      <c r="K115" s="1">
        <v>0</v>
      </c>
      <c r="L115" s="1">
        <v>-118958.50606384952</v>
      </c>
      <c r="M115" s="1">
        <v>-23325.197267421452</v>
      </c>
      <c r="N115" s="1">
        <v>0</v>
      </c>
      <c r="O115" s="1">
        <v>0</v>
      </c>
      <c r="P115" s="1">
        <v>-372519.4349699053</v>
      </c>
      <c r="Q115" s="12">
        <v>-929508.03986380098</v>
      </c>
      <c r="R115" s="11">
        <v>0</v>
      </c>
      <c r="S115" s="1">
        <v>0</v>
      </c>
      <c r="T115" s="12">
        <v>0</v>
      </c>
      <c r="V115" s="3">
        <v>12896.477578883467</v>
      </c>
    </row>
    <row r="116" spans="1:33">
      <c r="A116" s="23"/>
      <c r="B116" s="11">
        <v>0</v>
      </c>
      <c r="C116" s="1">
        <v>0</v>
      </c>
      <c r="D116" s="1">
        <v>0</v>
      </c>
      <c r="E116" s="1">
        <v>0</v>
      </c>
      <c r="F116" s="1">
        <v>-1228679.7045486527</v>
      </c>
      <c r="G116" s="1">
        <v>1453151.1035032282</v>
      </c>
      <c r="H116" s="1">
        <v>6170884.7826881204</v>
      </c>
      <c r="I116" s="1">
        <v>340680.37661482044</v>
      </c>
      <c r="J116" s="1">
        <v>-1392389.5296808735</v>
      </c>
      <c r="K116" s="1">
        <v>-1871080.4932720729</v>
      </c>
      <c r="L116" s="1">
        <v>-2467753.0368789718</v>
      </c>
      <c r="M116" s="1">
        <v>153232.31314940497</v>
      </c>
      <c r="N116" s="1">
        <v>0</v>
      </c>
      <c r="O116" s="1">
        <v>0</v>
      </c>
      <c r="P116" s="1">
        <v>-1082062.5115796223</v>
      </c>
      <c r="Q116" s="12">
        <v>-75983.299995380643</v>
      </c>
      <c r="R116" s="11">
        <v>0</v>
      </c>
      <c r="S116" s="1">
        <v>0</v>
      </c>
      <c r="T116" s="12">
        <v>0</v>
      </c>
      <c r="V116" s="3">
        <v>6901.8198818779974</v>
      </c>
    </row>
    <row r="117" spans="1:33">
      <c r="A117" s="23"/>
      <c r="B117" s="11">
        <v>0</v>
      </c>
      <c r="C117" s="1">
        <v>0</v>
      </c>
      <c r="D117" s="1">
        <v>0</v>
      </c>
      <c r="E117" s="1">
        <v>0</v>
      </c>
      <c r="F117" s="1">
        <v>-445660.11040028895</v>
      </c>
      <c r="G117" s="1">
        <v>-1670576.071123057</v>
      </c>
      <c r="H117" s="1">
        <v>340680.37661482044</v>
      </c>
      <c r="I117" s="1">
        <v>4660233.2846908486</v>
      </c>
      <c r="J117" s="1">
        <v>206716.22052252485</v>
      </c>
      <c r="K117" s="1">
        <v>-1289172.5804225607</v>
      </c>
      <c r="L117" s="1">
        <v>419606.45415074856</v>
      </c>
      <c r="M117" s="1">
        <v>-1351045.1971937111</v>
      </c>
      <c r="N117" s="1">
        <v>0</v>
      </c>
      <c r="O117" s="1">
        <v>0</v>
      </c>
      <c r="P117" s="1">
        <v>-521342.94088780507</v>
      </c>
      <c r="Q117" s="12">
        <v>-349439.43595151976</v>
      </c>
      <c r="R117" s="11">
        <v>0</v>
      </c>
      <c r="S117" s="1">
        <v>0</v>
      </c>
      <c r="T117" s="12">
        <v>0</v>
      </c>
      <c r="V117" s="3">
        <v>-6937.9498180817955</v>
      </c>
    </row>
    <row r="118" spans="1:33">
      <c r="A118" s="23"/>
      <c r="B118" s="11">
        <v>0</v>
      </c>
      <c r="C118" s="1">
        <v>0</v>
      </c>
      <c r="D118" s="1">
        <v>0</v>
      </c>
      <c r="E118" s="1">
        <v>0</v>
      </c>
      <c r="F118" s="1">
        <v>0</v>
      </c>
      <c r="G118" s="1">
        <v>0</v>
      </c>
      <c r="H118" s="1">
        <v>-1392389.5296808735</v>
      </c>
      <c r="I118" s="1">
        <v>206716.22052252485</v>
      </c>
      <c r="J118" s="1">
        <v>1701791.306568916</v>
      </c>
      <c r="K118" s="1">
        <v>7241.3595319320448</v>
      </c>
      <c r="L118" s="1">
        <v>-834516.79267869215</v>
      </c>
      <c r="M118" s="1">
        <v>-668089.95725682611</v>
      </c>
      <c r="N118" s="1">
        <v>333331.82385013549</v>
      </c>
      <c r="O118" s="1">
        <v>14175.221220043233</v>
      </c>
      <c r="P118" s="1">
        <v>191783.19194051466</v>
      </c>
      <c r="Q118" s="12">
        <v>439957.15598232596</v>
      </c>
      <c r="R118" s="11">
        <v>0</v>
      </c>
      <c r="S118" s="1">
        <v>0</v>
      </c>
      <c r="T118" s="96">
        <f>-AF112</f>
        <v>-1641.5045610734196</v>
      </c>
      <c r="V118" s="3">
        <v>-4281.8802347936562</v>
      </c>
      <c r="Y118" s="21" t="s">
        <v>60</v>
      </c>
    </row>
    <row r="119" spans="1:33">
      <c r="A119" s="23"/>
      <c r="B119" s="11">
        <v>0</v>
      </c>
      <c r="C119" s="1">
        <v>0</v>
      </c>
      <c r="D119" s="1">
        <v>0</v>
      </c>
      <c r="E119" s="1">
        <v>0</v>
      </c>
      <c r="F119" s="1">
        <v>0</v>
      </c>
      <c r="G119" s="1">
        <v>0</v>
      </c>
      <c r="H119" s="1">
        <v>-1871080.4932720729</v>
      </c>
      <c r="I119" s="1">
        <v>-1289172.5804225607</v>
      </c>
      <c r="J119" s="1">
        <v>7241.3595319320448</v>
      </c>
      <c r="K119" s="1">
        <v>3931591.7496781815</v>
      </c>
      <c r="L119" s="1">
        <v>1048094.4919245047</v>
      </c>
      <c r="M119" s="1">
        <v>-1892998.5299485871</v>
      </c>
      <c r="N119" s="1">
        <v>156700.66027289984</v>
      </c>
      <c r="O119" s="1">
        <v>-571433.88641587133</v>
      </c>
      <c r="P119" s="1">
        <v>659043.98154273641</v>
      </c>
      <c r="Q119" s="12">
        <v>-177986.75289116288</v>
      </c>
      <c r="R119" s="11">
        <v>0</v>
      </c>
      <c r="S119" s="1">
        <v>0</v>
      </c>
      <c r="T119" s="96">
        <f>-AG112</f>
        <v>-959.91097170037347</v>
      </c>
      <c r="V119" s="3">
        <v>-5599.0906543018846</v>
      </c>
      <c r="Y119" s="75" cm="1">
        <f t="array" ref="Y119:Y150">MMULT(B76:Q107,_xlfn.ANCHORARRAY(V131))+S76:S107</f>
        <v>-0.87699725353683888</v>
      </c>
    </row>
    <row r="120" spans="1:33">
      <c r="A120" s="23"/>
      <c r="B120" s="11">
        <v>-60305.752639714628</v>
      </c>
      <c r="C120" s="1">
        <v>266350.40749207337</v>
      </c>
      <c r="D120" s="1">
        <v>0</v>
      </c>
      <c r="E120" s="1">
        <v>0</v>
      </c>
      <c r="F120" s="1">
        <v>-606688.38092563325</v>
      </c>
      <c r="G120" s="1">
        <v>-118958.50606384952</v>
      </c>
      <c r="H120" s="1">
        <v>-2467753.0368789718</v>
      </c>
      <c r="I120" s="1">
        <v>419606.45415074856</v>
      </c>
      <c r="J120" s="1">
        <v>-834516.79267869215</v>
      </c>
      <c r="K120" s="1">
        <v>1048094.4919245047</v>
      </c>
      <c r="L120" s="1">
        <v>7233404.8046960104</v>
      </c>
      <c r="M120" s="1">
        <v>183833.69565698656</v>
      </c>
      <c r="N120" s="1">
        <v>-641554.2973373814</v>
      </c>
      <c r="O120" s="1">
        <v>-1300054.8481708304</v>
      </c>
      <c r="P120" s="1">
        <v>-2622586.5442356179</v>
      </c>
      <c r="Q120" s="12">
        <v>-498871.69498963346</v>
      </c>
      <c r="R120" s="11">
        <v>0</v>
      </c>
      <c r="S120" s="1">
        <v>0</v>
      </c>
      <c r="T120" s="12">
        <v>0</v>
      </c>
      <c r="V120" s="3">
        <v>18582.321365888369</v>
      </c>
      <c r="Y120" s="3">
        <v>1.1151990808928796</v>
      </c>
    </row>
    <row r="121" spans="1:33">
      <c r="A121" s="23"/>
      <c r="B121" s="11">
        <v>266350.40749207337</v>
      </c>
      <c r="C121" s="1">
        <v>-1176380.9664233257</v>
      </c>
      <c r="D121" s="1">
        <v>0</v>
      </c>
      <c r="E121" s="1">
        <v>0</v>
      </c>
      <c r="F121" s="1">
        <v>-118958.50606384952</v>
      </c>
      <c r="G121" s="1">
        <v>-23325.197267421452</v>
      </c>
      <c r="H121" s="1">
        <v>153232.31314940497</v>
      </c>
      <c r="I121" s="1">
        <v>-1351045.1971937111</v>
      </c>
      <c r="J121" s="1">
        <v>-668089.95725682611</v>
      </c>
      <c r="K121" s="1">
        <v>-1892998.5299485871</v>
      </c>
      <c r="L121" s="1">
        <v>183833.69565698656</v>
      </c>
      <c r="M121" s="1">
        <v>7842938.2440316249</v>
      </c>
      <c r="N121" s="1">
        <v>-227612.59670674187</v>
      </c>
      <c r="O121" s="1">
        <v>-2619105.105805744</v>
      </c>
      <c r="P121" s="1">
        <v>411244.64372895239</v>
      </c>
      <c r="Q121" s="12">
        <v>-780083.24739283626</v>
      </c>
      <c r="R121" s="11">
        <v>0</v>
      </c>
      <c r="S121" s="1">
        <v>0</v>
      </c>
      <c r="T121" s="12">
        <v>0</v>
      </c>
      <c r="V121" s="3">
        <v>26537.398313834154</v>
      </c>
      <c r="Y121" s="3">
        <v>0.41326808589254416</v>
      </c>
    </row>
    <row r="122" spans="1:33">
      <c r="A122" s="23"/>
      <c r="B122" s="11">
        <v>-551394.90356975817</v>
      </c>
      <c r="C122" s="1">
        <v>497030.11525398609</v>
      </c>
      <c r="D122" s="1">
        <v>-547057.66865349526</v>
      </c>
      <c r="E122" s="1">
        <v>221150.97243439182</v>
      </c>
      <c r="F122" s="1">
        <v>0</v>
      </c>
      <c r="G122" s="1">
        <v>0</v>
      </c>
      <c r="H122" s="1">
        <v>0</v>
      </c>
      <c r="I122" s="1">
        <v>0</v>
      </c>
      <c r="J122" s="1">
        <v>333331.82385013549</v>
      </c>
      <c r="K122" s="1">
        <v>156700.66027289984</v>
      </c>
      <c r="L122" s="1">
        <v>-641554.2973373814</v>
      </c>
      <c r="M122" s="1">
        <v>-227612.59670674187</v>
      </c>
      <c r="N122" s="1">
        <v>2150471.7677460173</v>
      </c>
      <c r="O122" s="1">
        <v>-763133.41304021364</v>
      </c>
      <c r="P122" s="1">
        <v>-743796.72203551815</v>
      </c>
      <c r="Q122" s="12">
        <v>115864.26178567765</v>
      </c>
      <c r="R122" s="11">
        <v>0</v>
      </c>
      <c r="S122" s="1">
        <v>0</v>
      </c>
      <c r="T122" s="12">
        <v>0</v>
      </c>
      <c r="V122" s="3">
        <v>286.615620603975</v>
      </c>
      <c r="Y122" s="3">
        <v>1.6768800075377803</v>
      </c>
    </row>
    <row r="123" spans="1:33">
      <c r="A123" s="23"/>
      <c r="B123" s="11">
        <v>1785039.3685897156</v>
      </c>
      <c r="C123" s="1">
        <v>-1166909.2542833376</v>
      </c>
      <c r="D123" s="1">
        <v>221150.97243439182</v>
      </c>
      <c r="E123" s="1">
        <v>-89401.456941562705</v>
      </c>
      <c r="F123" s="1">
        <v>0</v>
      </c>
      <c r="G123" s="1">
        <v>0</v>
      </c>
      <c r="H123" s="1">
        <v>0</v>
      </c>
      <c r="I123" s="1">
        <v>0</v>
      </c>
      <c r="J123" s="1">
        <v>14175.221220043233</v>
      </c>
      <c r="K123" s="1">
        <v>-571433.88641587133</v>
      </c>
      <c r="L123" s="1">
        <v>-1300054.8481708304</v>
      </c>
      <c r="M123" s="1">
        <v>-2619105.105805744</v>
      </c>
      <c r="N123" s="1">
        <v>-763133.41304021364</v>
      </c>
      <c r="O123" s="1">
        <v>5772423.0987262009</v>
      </c>
      <c r="P123" s="1">
        <v>42822.698966893367</v>
      </c>
      <c r="Q123" s="12">
        <v>-1325573.3952796846</v>
      </c>
      <c r="R123" s="11">
        <v>0</v>
      </c>
      <c r="S123" s="1">
        <v>0</v>
      </c>
      <c r="T123" s="12">
        <v>0</v>
      </c>
      <c r="V123" s="3">
        <v>-4488.9949400166188</v>
      </c>
      <c r="Y123" s="3">
        <v>-0.39211797106325597</v>
      </c>
    </row>
    <row r="124" spans="1:33">
      <c r="A124" s="23"/>
      <c r="B124" s="11">
        <v>-997453.8716580536</v>
      </c>
      <c r="C124" s="1">
        <v>127366.9780975412</v>
      </c>
      <c r="D124" s="1">
        <v>-3003762.3365594717</v>
      </c>
      <c r="E124" s="1">
        <v>-1271232.582584871</v>
      </c>
      <c r="F124" s="1">
        <v>-2387538.113622162</v>
      </c>
      <c r="G124" s="1">
        <v>-372519.4349699053</v>
      </c>
      <c r="H124" s="1">
        <v>-1082062.5115796223</v>
      </c>
      <c r="I124" s="1">
        <v>-521342.94088780507</v>
      </c>
      <c r="J124" s="1">
        <v>191783.19194051466</v>
      </c>
      <c r="K124" s="1">
        <v>659043.98154273641</v>
      </c>
      <c r="L124" s="1">
        <v>-2622586.5442356179</v>
      </c>
      <c r="M124" s="1">
        <v>411244.64372895239</v>
      </c>
      <c r="N124" s="1">
        <v>-743796.72203551815</v>
      </c>
      <c r="O124" s="1">
        <v>42822.698966893367</v>
      </c>
      <c r="P124" s="1">
        <v>10645416.907749932</v>
      </c>
      <c r="Q124" s="12">
        <v>924616.65610645735</v>
      </c>
      <c r="R124" s="11">
        <v>1</v>
      </c>
      <c r="S124" s="1">
        <v>0</v>
      </c>
      <c r="T124" s="96">
        <f>AF112</f>
        <v>1641.5045610734196</v>
      </c>
      <c r="V124" s="3">
        <v>15796.645665731303</v>
      </c>
      <c r="Y124" s="3">
        <v>-0.34537338680248753</v>
      </c>
    </row>
    <row r="125" spans="1:33">
      <c r="A125" s="23"/>
      <c r="B125" s="13">
        <v>341545.461270915</v>
      </c>
      <c r="C125" s="14">
        <v>-896283.09850981273</v>
      </c>
      <c r="D125" s="14">
        <v>-1385499.0648046758</v>
      </c>
      <c r="E125" s="14">
        <v>-1546929.0937156454</v>
      </c>
      <c r="F125" s="14">
        <v>138370.52464431326</v>
      </c>
      <c r="G125" s="14">
        <v>-929508.03986380098</v>
      </c>
      <c r="H125" s="14">
        <v>-75983.299995380643</v>
      </c>
      <c r="I125" s="14">
        <v>-349439.43595151976</v>
      </c>
      <c r="J125" s="14">
        <v>439957.15598232596</v>
      </c>
      <c r="K125" s="14">
        <v>-177986.75289116288</v>
      </c>
      <c r="L125" s="14">
        <v>-498871.69498963346</v>
      </c>
      <c r="M125" s="14">
        <v>-780083.24739283626</v>
      </c>
      <c r="N125" s="14">
        <v>115864.26178567765</v>
      </c>
      <c r="O125" s="14">
        <v>-1325573.3952796846</v>
      </c>
      <c r="P125" s="14">
        <v>924616.65610645735</v>
      </c>
      <c r="Q125" s="15">
        <v>6005803.0636044648</v>
      </c>
      <c r="R125" s="13">
        <v>0</v>
      </c>
      <c r="S125" s="14">
        <v>1</v>
      </c>
      <c r="T125" s="97">
        <f>AG112</f>
        <v>959.91097170037347</v>
      </c>
      <c r="V125" s="4">
        <v>-12492.818402244282</v>
      </c>
      <c r="Y125" s="3">
        <v>0.2429392152529628</v>
      </c>
    </row>
    <row r="126" spans="1:33">
      <c r="A126" s="260" t="s">
        <v>61</v>
      </c>
      <c r="B126" s="8">
        <v>0</v>
      </c>
      <c r="C126" s="9">
        <v>0</v>
      </c>
      <c r="D126" s="9">
        <v>0</v>
      </c>
      <c r="E126" s="9">
        <v>0</v>
      </c>
      <c r="F126" s="9">
        <v>0</v>
      </c>
      <c r="G126" s="9">
        <v>0</v>
      </c>
      <c r="H126" s="9">
        <v>0</v>
      </c>
      <c r="I126" s="9">
        <v>0</v>
      </c>
      <c r="J126" s="9">
        <v>0</v>
      </c>
      <c r="K126" s="9">
        <v>0</v>
      </c>
      <c r="L126" s="9">
        <v>0</v>
      </c>
      <c r="M126" s="9">
        <v>0</v>
      </c>
      <c r="N126" s="9">
        <v>0</v>
      </c>
      <c r="O126" s="9">
        <v>0</v>
      </c>
      <c r="P126" s="9">
        <v>1</v>
      </c>
      <c r="Q126" s="10">
        <v>0</v>
      </c>
      <c r="R126" s="23">
        <v>0</v>
      </c>
      <c r="S126" s="23">
        <v>0</v>
      </c>
      <c r="T126" s="23">
        <v>0</v>
      </c>
      <c r="Y126" s="3">
        <v>-0.32648342219994336</v>
      </c>
    </row>
    <row r="127" spans="1:33">
      <c r="A127" s="261"/>
      <c r="B127" s="11">
        <v>0</v>
      </c>
      <c r="C127" s="1">
        <v>0</v>
      </c>
      <c r="D127" s="1">
        <v>0</v>
      </c>
      <c r="E127" s="1">
        <v>0</v>
      </c>
      <c r="F127" s="1">
        <v>0</v>
      </c>
      <c r="G127" s="1">
        <v>0</v>
      </c>
      <c r="H127" s="1">
        <v>0</v>
      </c>
      <c r="I127" s="1">
        <v>0</v>
      </c>
      <c r="J127" s="1">
        <v>0</v>
      </c>
      <c r="K127" s="1">
        <v>0</v>
      </c>
      <c r="L127" s="1">
        <v>0</v>
      </c>
      <c r="M127" s="1">
        <v>0</v>
      </c>
      <c r="N127" s="1">
        <v>0</v>
      </c>
      <c r="O127" s="1">
        <v>0</v>
      </c>
      <c r="P127" s="1">
        <v>0</v>
      </c>
      <c r="Q127" s="12">
        <v>1</v>
      </c>
      <c r="R127" s="23">
        <v>0</v>
      </c>
      <c r="S127" s="23">
        <v>0</v>
      </c>
      <c r="T127" s="23">
        <v>0</v>
      </c>
      <c r="Y127" s="3">
        <v>-1.1986399788450934</v>
      </c>
    </row>
    <row r="128" spans="1:33">
      <c r="A128" s="262"/>
      <c r="B128" s="13">
        <v>0</v>
      </c>
      <c r="C128" s="14">
        <v>0</v>
      </c>
      <c r="D128" s="14">
        <v>0</v>
      </c>
      <c r="E128" s="14">
        <v>0</v>
      </c>
      <c r="F128" s="14">
        <v>0</v>
      </c>
      <c r="G128" s="14">
        <v>0</v>
      </c>
      <c r="H128" s="14">
        <v>0</v>
      </c>
      <c r="I128" s="14">
        <v>0</v>
      </c>
      <c r="J128" s="14">
        <f>T118</f>
        <v>-1641.5045610734196</v>
      </c>
      <c r="K128" s="14">
        <f>T119</f>
        <v>-959.91097170037347</v>
      </c>
      <c r="L128" s="14">
        <v>0</v>
      </c>
      <c r="M128" s="14">
        <v>0</v>
      </c>
      <c r="N128" s="14">
        <v>0</v>
      </c>
      <c r="O128" s="14">
        <v>0</v>
      </c>
      <c r="P128" s="14">
        <f>T124</f>
        <v>1641.5045610734196</v>
      </c>
      <c r="Q128" s="15">
        <f>T125</f>
        <v>959.91097170037347</v>
      </c>
      <c r="R128" s="23">
        <v>0</v>
      </c>
      <c r="S128" s="23">
        <v>0</v>
      </c>
      <c r="T128" s="23">
        <v>0</v>
      </c>
      <c r="Y128" s="3">
        <v>0.86593438951951995</v>
      </c>
    </row>
    <row r="129" spans="2:31">
      <c r="V129" s="23"/>
      <c r="W129" s="23"/>
      <c r="X129" s="23"/>
      <c r="Y129" s="3">
        <v>0.23398421788926171</v>
      </c>
      <c r="Z129" s="23"/>
      <c r="AA129" s="21" t="s">
        <v>62</v>
      </c>
      <c r="AB129" s="87" cm="1">
        <f t="array" ref="AB129">MMULT(TRANSPOSE(_xlfn.ANCHORARRAY(Y119)),S76:S107)</f>
        <v>19.042041973245915</v>
      </c>
      <c r="AC129" s="23"/>
      <c r="AD129" s="23"/>
      <c r="AE129" s="23"/>
    </row>
    <row r="130" spans="2:31">
      <c r="B130" s="269" t="s">
        <v>63</v>
      </c>
      <c r="C130" s="270"/>
      <c r="D130" s="270"/>
      <c r="E130" s="270"/>
      <c r="F130" s="270"/>
      <c r="G130" s="270"/>
      <c r="H130" s="270"/>
      <c r="I130" s="270"/>
      <c r="J130" s="270"/>
      <c r="K130" s="270"/>
      <c r="L130" s="270"/>
      <c r="M130" s="270"/>
      <c r="N130" s="270"/>
      <c r="O130" s="270"/>
      <c r="P130" s="270"/>
      <c r="Q130" s="271"/>
      <c r="R130" s="257" t="s">
        <v>64</v>
      </c>
      <c r="S130" s="258"/>
      <c r="T130" s="259"/>
      <c r="V130" s="69" t="s">
        <v>52</v>
      </c>
      <c r="W130" s="69" t="s">
        <v>65</v>
      </c>
      <c r="X130" s="23"/>
      <c r="Y130" s="3">
        <v>6.6620103302359901E-2</v>
      </c>
      <c r="Z130" s="23"/>
      <c r="AA130" s="21" t="s">
        <v>66</v>
      </c>
      <c r="AB130" s="88" cm="1">
        <f t="array" ref="AB130">MMULT(TRANSPOSE(_xlfn.ANCHORARRAY(Y119)),_xlfn.ANCHORARRAY(Y119))</f>
        <v>19.042041973245826</v>
      </c>
      <c r="AC130" s="23"/>
      <c r="AD130" s="23"/>
      <c r="AE130" s="23"/>
    </row>
    <row r="131" spans="2:31">
      <c r="B131" s="64" cm="1">
        <f t="array" ref="B131:T149">MINVERSE(B110:T128)</f>
        <v>6.9203662869457135E-7</v>
      </c>
      <c r="C131" s="65">
        <v>1.012691033412317E-7</v>
      </c>
      <c r="D131" s="65">
        <v>3.6999498468692336E-7</v>
      </c>
      <c r="E131" s="65">
        <v>1.2405692497440373E-7</v>
      </c>
      <c r="F131" s="65">
        <v>-1.9826715291503461E-7</v>
      </c>
      <c r="G131" s="65">
        <v>1.674412326468975E-7</v>
      </c>
      <c r="H131" s="65">
        <v>-1.1726989324492789E-7</v>
      </c>
      <c r="I131" s="65">
        <v>5.7084389462049895E-9</v>
      </c>
      <c r="J131" s="65">
        <v>3.9804532687995511E-8</v>
      </c>
      <c r="K131" s="65">
        <v>-6.8068106194264504E-8</v>
      </c>
      <c r="L131" s="65">
        <v>-7.2385524529779911E-8</v>
      </c>
      <c r="M131" s="65">
        <v>-1.0296184349922656E-7</v>
      </c>
      <c r="N131" s="65">
        <v>1.089971561858753E-7</v>
      </c>
      <c r="O131" s="65">
        <v>-2.6122980916666672E-7</v>
      </c>
      <c r="P131" s="65">
        <v>0</v>
      </c>
      <c r="Q131" s="66">
        <v>0</v>
      </c>
      <c r="R131" s="64">
        <v>1.0000000000000002</v>
      </c>
      <c r="S131" s="65">
        <v>-5.8490153858502613E-16</v>
      </c>
      <c r="T131" s="66">
        <v>2.3974069261783744E-4</v>
      </c>
      <c r="V131" s="92" cm="1">
        <f t="array" ref="V131:V146">-MMULT(B131:Q146,_xlfn.ANCHORARRAY(V110))</f>
        <v>1.0911475877788047E-2</v>
      </c>
      <c r="W131" s="89">
        <f>$AB$131*SQRT(INDEX($B$131:$Q$146,1,1))</f>
        <v>8.3280725420982211E-4</v>
      </c>
      <c r="X131" s="23"/>
      <c r="Y131" s="3">
        <v>9.7226098395492677E-2</v>
      </c>
      <c r="Z131" s="23"/>
      <c r="AA131" s="21" t="s">
        <v>67</v>
      </c>
      <c r="AB131" s="88">
        <f>SQRT(AB130/(32-16+3))</f>
        <v>1.0011057563684223</v>
      </c>
      <c r="AC131" s="23"/>
      <c r="AD131" s="23"/>
      <c r="AE131" s="23"/>
    </row>
    <row r="132" spans="2:31">
      <c r="B132" s="67">
        <v>1.0126910334123168E-7</v>
      </c>
      <c r="C132" s="25">
        <v>5.5261133165212932E-7</v>
      </c>
      <c r="D132" s="25">
        <v>-2.6447153562332046E-8</v>
      </c>
      <c r="E132" s="25">
        <v>-4.0919135852281897E-9</v>
      </c>
      <c r="F132" s="25">
        <v>2.3247545802363498E-8</v>
      </c>
      <c r="G132" s="25">
        <v>4.6806581464922586E-8</v>
      </c>
      <c r="H132" s="25">
        <v>-8.292163532289197E-9</v>
      </c>
      <c r="I132" s="25">
        <v>1.1042362233739024E-7</v>
      </c>
      <c r="J132" s="25">
        <v>-7.1512518710380485E-8</v>
      </c>
      <c r="K132" s="25">
        <v>1.2229063850473354E-7</v>
      </c>
      <c r="L132" s="25">
        <v>-3.0946939850121649E-8</v>
      </c>
      <c r="M132" s="25">
        <v>1.7601064216696952E-7</v>
      </c>
      <c r="N132" s="25">
        <v>-3.924229763904455E-8</v>
      </c>
      <c r="O132" s="25">
        <v>1.6133020394831373E-7</v>
      </c>
      <c r="P132" s="25">
        <v>0</v>
      </c>
      <c r="Q132" s="45">
        <v>0</v>
      </c>
      <c r="R132" s="67">
        <v>-6.2911185643904193E-17</v>
      </c>
      <c r="S132" s="25">
        <v>1.0000000000000009</v>
      </c>
      <c r="T132" s="45">
        <v>-1.1513862211251417E-4</v>
      </c>
      <c r="V132" s="93">
        <v>5.6346553255407781E-3</v>
      </c>
      <c r="W132" s="90">
        <f>$AB$131*SQRT(INDEX($B$131:$Q$146,2,2))</f>
        <v>7.4420031868234298E-4</v>
      </c>
      <c r="X132" s="23"/>
      <c r="Y132" s="3">
        <v>-1.1277619813966102</v>
      </c>
      <c r="Z132" s="23"/>
      <c r="AA132" s="23"/>
      <c r="AB132" s="23"/>
      <c r="AC132" s="23"/>
      <c r="AD132" s="23"/>
      <c r="AE132" s="23"/>
    </row>
    <row r="133" spans="2:31">
      <c r="B133" s="67">
        <v>3.6999498468692346E-7</v>
      </c>
      <c r="C133" s="25">
        <v>-2.6447153562332026E-8</v>
      </c>
      <c r="D133" s="25">
        <v>5.1500326039024937E-7</v>
      </c>
      <c r="E133" s="25">
        <v>-1.0022874106109218E-7</v>
      </c>
      <c r="F133" s="25">
        <v>-1.9808629700234896E-7</v>
      </c>
      <c r="G133" s="25">
        <v>1.2888936578981125E-7</v>
      </c>
      <c r="H133" s="25">
        <v>-9.5603869195349556E-8</v>
      </c>
      <c r="I133" s="25">
        <v>-1.1652313873244298E-9</v>
      </c>
      <c r="J133" s="25">
        <v>3.1819505820773921E-8</v>
      </c>
      <c r="K133" s="25">
        <v>-5.4413237764518675E-8</v>
      </c>
      <c r="L133" s="25">
        <v>-4.6355239793625059E-8</v>
      </c>
      <c r="M133" s="25">
        <v>-7.9765086677688146E-8</v>
      </c>
      <c r="N133" s="25">
        <v>1.5793123333888331E-7</v>
      </c>
      <c r="O133" s="25">
        <v>-1.7226225585947653E-7</v>
      </c>
      <c r="P133" s="25">
        <v>0</v>
      </c>
      <c r="Q133" s="45">
        <v>0</v>
      </c>
      <c r="R133" s="67">
        <v>1</v>
      </c>
      <c r="S133" s="25">
        <v>-2.8969284258813303E-16</v>
      </c>
      <c r="T133" s="45">
        <v>2.0030965764779838E-4</v>
      </c>
      <c r="V133" s="93">
        <v>-3.2063701956687629E-3</v>
      </c>
      <c r="W133" s="90">
        <f>$AB$131*SQRT(INDEX($B$131:$Q$146,3,3))</f>
        <v>7.1843080832682533E-4</v>
      </c>
      <c r="X133" s="23"/>
      <c r="Y133" s="3">
        <v>1.1178339261651065</v>
      </c>
      <c r="Z133" s="23"/>
      <c r="AA133" s="69" t="s">
        <v>68</v>
      </c>
      <c r="AB133" s="23"/>
      <c r="AC133" s="23"/>
      <c r="AD133" s="23"/>
      <c r="AE133" s="23"/>
    </row>
    <row r="134" spans="2:31">
      <c r="B134" s="67">
        <v>1.2405692497440383E-7</v>
      </c>
      <c r="C134" s="25">
        <v>-4.0919135852281988E-9</v>
      </c>
      <c r="D134" s="25">
        <v>-1.0022874106109188E-7</v>
      </c>
      <c r="E134" s="25">
        <v>7.0360405914628516E-7</v>
      </c>
      <c r="F134" s="25">
        <v>-1.1561202368174962E-7</v>
      </c>
      <c r="G134" s="25">
        <v>2.6368154579168118E-7</v>
      </c>
      <c r="H134" s="25">
        <v>-1.1646405194351073E-7</v>
      </c>
      <c r="I134" s="25">
        <v>1.058141707106078E-7</v>
      </c>
      <c r="J134" s="25">
        <v>-1.3700551169336905E-8</v>
      </c>
      <c r="K134" s="25">
        <v>2.3428753183067294E-8</v>
      </c>
      <c r="L134" s="25">
        <v>-7.3802523459333096E-8</v>
      </c>
      <c r="M134" s="25">
        <v>3.4154458454132095E-10</v>
      </c>
      <c r="N134" s="25">
        <v>-1.0529069833935907E-7</v>
      </c>
      <c r="O134" s="25">
        <v>-5.2486436899427246E-8</v>
      </c>
      <c r="P134" s="25">
        <v>0</v>
      </c>
      <c r="Q134" s="45">
        <v>0</v>
      </c>
      <c r="R134" s="67">
        <v>4.0369003427194055E-16</v>
      </c>
      <c r="S134" s="25">
        <v>0.99999999999999944</v>
      </c>
      <c r="T134" s="45">
        <v>1.1356138071371247E-4</v>
      </c>
      <c r="V134" s="93">
        <v>3.3758468163847923E-3</v>
      </c>
      <c r="W134" s="90">
        <f>$AB$131*SQRT(INDEX($B$131:$Q$146,4,4))</f>
        <v>8.3973861932118974E-4</v>
      </c>
      <c r="X134" s="23"/>
      <c r="Y134" s="3">
        <v>0.24178000297645674</v>
      </c>
      <c r="Z134" s="23"/>
      <c r="AA134" s="2" cm="1">
        <f t="array" ref="AA134:AA149">MMULT(_xlfn.ANCHORARRAY(U92),_xlfn.ANCHORARRAY(Y119))</f>
        <v>-6.8212102632969618E-12</v>
      </c>
      <c r="AB134" s="23"/>
      <c r="AC134" s="23"/>
      <c r="AD134" s="23"/>
      <c r="AE134" s="23"/>
    </row>
    <row r="135" spans="2:31">
      <c r="B135" s="67">
        <v>-1.9826715291503472E-7</v>
      </c>
      <c r="C135" s="25">
        <v>2.3247545802363478E-8</v>
      </c>
      <c r="D135" s="25">
        <v>-1.9808629700234907E-7</v>
      </c>
      <c r="E135" s="25">
        <v>-1.1561202368174952E-7</v>
      </c>
      <c r="F135" s="25">
        <v>4.8554039827327671E-7</v>
      </c>
      <c r="G135" s="25">
        <v>-1.3396380112123377E-7</v>
      </c>
      <c r="H135" s="25">
        <v>1.766070856518691E-7</v>
      </c>
      <c r="I135" s="25">
        <v>8.0467506901057014E-9</v>
      </c>
      <c r="J135" s="25">
        <v>-2.6435315012034223E-8</v>
      </c>
      <c r="K135" s="25">
        <v>4.5205952890401735E-8</v>
      </c>
      <c r="L135" s="25">
        <v>1.0670043547696175E-7</v>
      </c>
      <c r="M135" s="25">
        <v>6.3733134260651707E-8</v>
      </c>
      <c r="N135" s="25">
        <v>-9.9119086233312003E-9</v>
      </c>
      <c r="O135" s="25">
        <v>1.2798725213447888E-7</v>
      </c>
      <c r="P135" s="25">
        <v>0</v>
      </c>
      <c r="Q135" s="45">
        <v>0</v>
      </c>
      <c r="R135" s="67">
        <v>0.99999999999999978</v>
      </c>
      <c r="S135" s="25">
        <v>3.7187823981619793E-16</v>
      </c>
      <c r="T135" s="45">
        <v>-2.5709034800465457E-4</v>
      </c>
      <c r="V135" s="93">
        <v>8.0344438706707651E-3</v>
      </c>
      <c r="W135" s="90">
        <f>$AB$131*SQRT(INDEX($B$131:$Q$146,5,5))</f>
        <v>6.9757778829114829E-4</v>
      </c>
      <c r="X135" s="23"/>
      <c r="Y135" s="3">
        <v>-1.1756864680412651</v>
      </c>
      <c r="Z135" s="23"/>
      <c r="AA135" s="3">
        <v>1.9468870959826745E-12</v>
      </c>
      <c r="AB135" s="23"/>
      <c r="AC135" s="23"/>
      <c r="AD135" s="23"/>
      <c r="AE135" s="23"/>
    </row>
    <row r="136" spans="2:31">
      <c r="B136" s="67">
        <v>1.674412326468975E-7</v>
      </c>
      <c r="C136" s="25">
        <v>4.6806581464922626E-8</v>
      </c>
      <c r="D136" s="25">
        <v>1.2888936578981136E-7</v>
      </c>
      <c r="E136" s="25">
        <v>2.6368154579168107E-7</v>
      </c>
      <c r="F136" s="25">
        <v>-1.339638011212338E-7</v>
      </c>
      <c r="G136" s="25">
        <v>5.775571693144732E-7</v>
      </c>
      <c r="H136" s="25">
        <v>-2.0970519866372585E-7</v>
      </c>
      <c r="I136" s="25">
        <v>2.6352001552479554E-7</v>
      </c>
      <c r="J136" s="25">
        <v>-5.1338287825214664E-8</v>
      </c>
      <c r="K136" s="25">
        <v>8.7791509949627486E-8</v>
      </c>
      <c r="L136" s="25">
        <v>-1.1516374111234312E-7</v>
      </c>
      <c r="M136" s="25">
        <v>5.873757885282573E-8</v>
      </c>
      <c r="N136" s="25">
        <v>-7.6706132825393915E-10</v>
      </c>
      <c r="O136" s="25">
        <v>-3.3741555690313514E-8</v>
      </c>
      <c r="P136" s="25">
        <v>0</v>
      </c>
      <c r="Q136" s="45">
        <v>0</v>
      </c>
      <c r="R136" s="67">
        <v>4.1184341749592684E-16</v>
      </c>
      <c r="S136" s="25">
        <v>0.99999999999999989</v>
      </c>
      <c r="T136" s="45">
        <v>1.9242345065379054E-4</v>
      </c>
      <c r="V136" s="93">
        <v>-3.4661364180215231E-3</v>
      </c>
      <c r="W136" s="90">
        <f>$AB$131*SQRT(INDEX($B$131:$Q$146,6,6))</f>
        <v>7.6081216507635496E-4</v>
      </c>
      <c r="X136" s="23"/>
      <c r="Y136" s="3">
        <v>0.1974333815569238</v>
      </c>
      <c r="Z136" s="23"/>
      <c r="AA136" s="3">
        <v>1.2960299500264227E-11</v>
      </c>
      <c r="AB136" s="23"/>
      <c r="AC136" s="23"/>
      <c r="AD136" s="23"/>
      <c r="AE136" s="23"/>
    </row>
    <row r="137" spans="2:31">
      <c r="B137" s="67">
        <v>-1.1726989324492791E-7</v>
      </c>
      <c r="C137" s="25">
        <v>-8.2921635322892714E-9</v>
      </c>
      <c r="D137" s="25">
        <v>-9.5603869195349609E-8</v>
      </c>
      <c r="E137" s="25">
        <v>-1.1646405194351072E-7</v>
      </c>
      <c r="F137" s="25">
        <v>1.766070856518691E-7</v>
      </c>
      <c r="G137" s="25">
        <v>-2.097051986637259E-7</v>
      </c>
      <c r="H137" s="25">
        <v>3.0662187427636858E-7</v>
      </c>
      <c r="I137" s="25">
        <v>-8.6268470656437881E-8</v>
      </c>
      <c r="J137" s="25">
        <v>-7.2888321783549153E-9</v>
      </c>
      <c r="K137" s="25">
        <v>1.2464334316831806E-8</v>
      </c>
      <c r="L137" s="25">
        <v>1.3342164984406877E-7</v>
      </c>
      <c r="M137" s="25">
        <v>9.2223401352011564E-9</v>
      </c>
      <c r="N137" s="25">
        <v>2.7313456038757304E-8</v>
      </c>
      <c r="O137" s="25">
        <v>7.5542872497472498E-8</v>
      </c>
      <c r="P137" s="25">
        <v>0</v>
      </c>
      <c r="Q137" s="45">
        <v>0</v>
      </c>
      <c r="R137" s="67">
        <v>0.99999999999999978</v>
      </c>
      <c r="S137" s="25">
        <v>2.2499168751190334E-16</v>
      </c>
      <c r="T137" s="45">
        <v>-3.4383862493874058E-4</v>
      </c>
      <c r="V137" s="93">
        <v>2.3383288140716937E-4</v>
      </c>
      <c r="W137" s="90">
        <f>$AB$131*SQRT(INDEX($B$131:$Q$146,7,7))</f>
        <v>5.5434677536936794E-4</v>
      </c>
      <c r="X137" s="23"/>
      <c r="Y137" s="3">
        <v>0.64004277079064942</v>
      </c>
      <c r="Z137" s="23"/>
      <c r="AA137" s="3">
        <v>-1.1368683772161603E-12</v>
      </c>
      <c r="AB137" s="23"/>
      <c r="AC137" s="23"/>
      <c r="AD137" s="23"/>
      <c r="AE137" s="23"/>
    </row>
    <row r="138" spans="2:31">
      <c r="B138" s="67">
        <v>5.7084389462050061E-9</v>
      </c>
      <c r="C138" s="25">
        <v>1.104236223373903E-7</v>
      </c>
      <c r="D138" s="25">
        <v>-1.16523138732443E-9</v>
      </c>
      <c r="E138" s="25">
        <v>1.0581417071060785E-7</v>
      </c>
      <c r="F138" s="25">
        <v>8.0467506901056997E-9</v>
      </c>
      <c r="G138" s="25">
        <v>2.6352001552479559E-7</v>
      </c>
      <c r="H138" s="25">
        <v>-8.6268470656437815E-8</v>
      </c>
      <c r="I138" s="25">
        <v>4.3978453436793149E-7</v>
      </c>
      <c r="J138" s="25">
        <v>-1.2724882147269133E-7</v>
      </c>
      <c r="K138" s="25">
        <v>2.176030142343657E-7</v>
      </c>
      <c r="L138" s="25">
        <v>-8.6312655876172289E-8</v>
      </c>
      <c r="M138" s="25">
        <v>1.7263865063639591E-7</v>
      </c>
      <c r="N138" s="25">
        <v>-2.4124261845888618E-9</v>
      </c>
      <c r="O138" s="25">
        <v>1.0266716063374729E-7</v>
      </c>
      <c r="P138" s="25">
        <v>0</v>
      </c>
      <c r="Q138" s="45">
        <v>0</v>
      </c>
      <c r="R138" s="67">
        <v>1.2328991846613399E-16</v>
      </c>
      <c r="S138" s="25">
        <v>1.0000000000000007</v>
      </c>
      <c r="T138" s="45">
        <v>-2.8390345178428173E-5</v>
      </c>
      <c r="V138" s="93">
        <v>-1.0733324302167623E-4</v>
      </c>
      <c r="W138" s="90">
        <f>$AB$131*SQRT(INDEX($B$131:$Q$146,8,8))</f>
        <v>6.6389582103704235E-4</v>
      </c>
      <c r="X138" s="23"/>
      <c r="Y138" s="3">
        <v>-0.78936848880628085</v>
      </c>
      <c r="Z138" s="23"/>
      <c r="AA138" s="3">
        <v>-1.0999201549566351E-11</v>
      </c>
      <c r="AB138" s="23"/>
      <c r="AC138" s="23"/>
      <c r="AD138" s="23"/>
      <c r="AE138" s="23"/>
    </row>
    <row r="139" spans="2:31">
      <c r="B139" s="67">
        <v>3.9804532687995624E-8</v>
      </c>
      <c r="C139" s="25">
        <v>-7.1512518710380564E-8</v>
      </c>
      <c r="D139" s="25">
        <v>3.1819505820773954E-8</v>
      </c>
      <c r="E139" s="25">
        <v>-1.3700551169336903E-8</v>
      </c>
      <c r="F139" s="25">
        <v>-2.6435315012034279E-8</v>
      </c>
      <c r="G139" s="25">
        <v>-5.1338287825214624E-8</v>
      </c>
      <c r="H139" s="25">
        <v>-7.2888321783549997E-9</v>
      </c>
      <c r="I139" s="25">
        <v>-1.272488214726913E-7</v>
      </c>
      <c r="J139" s="25">
        <v>1.3702912642687079E-7</v>
      </c>
      <c r="K139" s="25">
        <v>-2.3432791442228193E-7</v>
      </c>
      <c r="L139" s="25">
        <v>4.0574131584562109E-8</v>
      </c>
      <c r="M139" s="25">
        <v>-1.1139985722702888E-7</v>
      </c>
      <c r="N139" s="25">
        <v>-6.9751036526897667E-10</v>
      </c>
      <c r="O139" s="25">
        <v>-9.3229479772266631E-8</v>
      </c>
      <c r="P139" s="25">
        <v>0</v>
      </c>
      <c r="Q139" s="45">
        <v>0</v>
      </c>
      <c r="R139" s="67">
        <v>0.99999999999999944</v>
      </c>
      <c r="S139" s="25">
        <v>-2.6090470451723705E-16</v>
      </c>
      <c r="T139" s="45">
        <v>-4.5424552285484995E-4</v>
      </c>
      <c r="V139" s="93">
        <v>2.0308221388080108E-4</v>
      </c>
      <c r="W139" s="90">
        <f>$AB$131*SQRT(INDEX($B$131:$Q$146,9,9))</f>
        <v>3.70583776804118E-4</v>
      </c>
      <c r="X139" s="23"/>
      <c r="Y139" s="3">
        <v>-1.1539133717322638</v>
      </c>
      <c r="Z139" s="23"/>
      <c r="AA139" s="3">
        <v>-1.1993961379630491E-11</v>
      </c>
      <c r="AB139" s="23"/>
      <c r="AC139" s="23"/>
      <c r="AD139" s="23"/>
      <c r="AE139" s="23"/>
    </row>
    <row r="140" spans="2:31">
      <c r="B140" s="67">
        <v>-6.8068106194264437E-8</v>
      </c>
      <c r="C140" s="25">
        <v>1.2229063850473352E-7</v>
      </c>
      <c r="D140" s="25">
        <v>-5.4413237764518675E-8</v>
      </c>
      <c r="E140" s="25">
        <v>2.3428753183067294E-8</v>
      </c>
      <c r="F140" s="25">
        <v>4.5205952890401748E-8</v>
      </c>
      <c r="G140" s="25">
        <v>8.7791509949627446E-8</v>
      </c>
      <c r="H140" s="25">
        <v>1.24643343168319E-8</v>
      </c>
      <c r="I140" s="25">
        <v>2.1760301423436564E-7</v>
      </c>
      <c r="J140" s="25">
        <v>-2.3432791442228191E-7</v>
      </c>
      <c r="K140" s="25">
        <v>4.0071459921916856E-7</v>
      </c>
      <c r="L140" s="25">
        <v>-6.93841658457895E-8</v>
      </c>
      <c r="M140" s="25">
        <v>1.9050034756574747E-7</v>
      </c>
      <c r="N140" s="25">
        <v>1.1927839974128232E-9</v>
      </c>
      <c r="O140" s="25">
        <v>1.594279269478405E-7</v>
      </c>
      <c r="P140" s="25">
        <v>0</v>
      </c>
      <c r="Q140" s="45">
        <v>0</v>
      </c>
      <c r="R140" s="67">
        <v>-1.1810761841299356E-16</v>
      </c>
      <c r="S140" s="25">
        <v>1.0000000000000009</v>
      </c>
      <c r="T140" s="45">
        <v>-2.6497655499866247E-4</v>
      </c>
      <c r="V140" s="93">
        <v>-3.4728260243521302E-4</v>
      </c>
      <c r="W140" s="90">
        <f>$AB$131*SQRT(INDEX($B$131:$Q$146,10,10))</f>
        <v>6.337201863691721E-4</v>
      </c>
      <c r="X140" s="23"/>
      <c r="Y140" s="3">
        <v>-1.00862007778459</v>
      </c>
      <c r="Z140" s="23"/>
      <c r="AA140" s="3">
        <v>5.3148596634855494E-12</v>
      </c>
      <c r="AB140" s="23"/>
      <c r="AC140" s="23"/>
      <c r="AD140" s="23"/>
      <c r="AE140" s="23"/>
    </row>
    <row r="141" spans="2:31">
      <c r="B141" s="67">
        <v>-7.2385524529779845E-8</v>
      </c>
      <c r="C141" s="25">
        <v>-3.0946939850121702E-8</v>
      </c>
      <c r="D141" s="25">
        <v>-4.6355239793625013E-8</v>
      </c>
      <c r="E141" s="25">
        <v>-7.3802523459333096E-8</v>
      </c>
      <c r="F141" s="25">
        <v>1.0670043547696172E-7</v>
      </c>
      <c r="G141" s="25">
        <v>-1.1516374111234309E-7</v>
      </c>
      <c r="H141" s="25">
        <v>1.3342164984406869E-7</v>
      </c>
      <c r="I141" s="25">
        <v>-8.6312655876172276E-8</v>
      </c>
      <c r="J141" s="25">
        <v>4.0574131584562029E-8</v>
      </c>
      <c r="K141" s="25">
        <v>-6.9384165845789527E-8</v>
      </c>
      <c r="L141" s="25">
        <v>2.2967878221459091E-7</v>
      </c>
      <c r="M141" s="25">
        <v>-1.312696048953193E-8</v>
      </c>
      <c r="N141" s="25">
        <v>7.3451892999338782E-8</v>
      </c>
      <c r="O141" s="25">
        <v>6.5275239765009361E-8</v>
      </c>
      <c r="P141" s="25">
        <v>0</v>
      </c>
      <c r="Q141" s="45">
        <v>0</v>
      </c>
      <c r="R141" s="67">
        <v>0.99999999999999978</v>
      </c>
      <c r="S141" s="25">
        <v>9.134800962470032E-17</v>
      </c>
      <c r="T141" s="45">
        <v>-1.7822827806457655E-4</v>
      </c>
      <c r="V141" s="93">
        <v>-2.7939264819148305E-3</v>
      </c>
      <c r="W141" s="90">
        <f>$AB$131*SQRT(INDEX($B$131:$Q$146,11,11))</f>
        <v>4.7977807431606647E-4</v>
      </c>
      <c r="X141" s="23"/>
      <c r="Y141" s="3">
        <v>-0.30447700319067295</v>
      </c>
      <c r="Z141" s="23"/>
      <c r="AA141" s="3">
        <v>8.8107299234252423E-12</v>
      </c>
      <c r="AB141" s="23"/>
      <c r="AC141" s="23"/>
      <c r="AD141" s="23"/>
      <c r="AE141" s="23"/>
    </row>
    <row r="142" spans="2:31">
      <c r="B142" s="67">
        <v>-1.0296184349922659E-7</v>
      </c>
      <c r="C142" s="25">
        <v>1.7601064216696954E-7</v>
      </c>
      <c r="D142" s="25">
        <v>-7.9765086677688199E-8</v>
      </c>
      <c r="E142" s="25">
        <v>3.4154458454136417E-10</v>
      </c>
      <c r="F142" s="25">
        <v>6.3733134260651733E-8</v>
      </c>
      <c r="G142" s="25">
        <v>5.8737578852825664E-8</v>
      </c>
      <c r="H142" s="25">
        <v>9.2223401352012523E-9</v>
      </c>
      <c r="I142" s="25">
        <v>1.7263865063639588E-7</v>
      </c>
      <c r="J142" s="25">
        <v>-1.113998572270288E-7</v>
      </c>
      <c r="K142" s="25">
        <v>1.9050034756574755E-7</v>
      </c>
      <c r="L142" s="25">
        <v>-1.3126960489531859E-8</v>
      </c>
      <c r="M142" s="25">
        <v>3.0126690674567179E-7</v>
      </c>
      <c r="N142" s="25">
        <v>2.4351860018604586E-8</v>
      </c>
      <c r="O142" s="25">
        <v>2.2656952629608658E-7</v>
      </c>
      <c r="P142" s="25">
        <v>0</v>
      </c>
      <c r="Q142" s="45">
        <v>0</v>
      </c>
      <c r="R142" s="67">
        <v>2.0415114608845439E-17</v>
      </c>
      <c r="S142" s="25">
        <v>1.0000000000000009</v>
      </c>
      <c r="T142" s="45">
        <v>-2.0977310604060784E-4</v>
      </c>
      <c r="V142" s="93">
        <v>-4.3161650541344862E-3</v>
      </c>
      <c r="W142" s="90">
        <f>$AB$131*SQRT(INDEX($B$131:$Q$146,12,12))</f>
        <v>5.4948478660042698E-4</v>
      </c>
      <c r="X142" s="23"/>
      <c r="Y142" s="3">
        <v>-0.53237683918961665</v>
      </c>
      <c r="Z142" s="23"/>
      <c r="AA142" s="3">
        <v>2.7853275241795927E-12</v>
      </c>
      <c r="AB142" s="23"/>
      <c r="AC142" s="23"/>
      <c r="AD142" s="23"/>
      <c r="AE142" s="23"/>
    </row>
    <row r="143" spans="2:31">
      <c r="B143" s="67">
        <v>1.0899715618587531E-7</v>
      </c>
      <c r="C143" s="25">
        <v>-3.9242297639044576E-8</v>
      </c>
      <c r="D143" s="25">
        <v>1.5793123333888336E-7</v>
      </c>
      <c r="E143" s="25">
        <v>-1.0529069833935916E-7</v>
      </c>
      <c r="F143" s="25">
        <v>-9.911908623331197E-9</v>
      </c>
      <c r="G143" s="25">
        <v>-7.6706132825391113E-10</v>
      </c>
      <c r="H143" s="25">
        <v>2.731345603875728E-8</v>
      </c>
      <c r="I143" s="25">
        <v>-2.4124261845888846E-9</v>
      </c>
      <c r="J143" s="25">
        <v>-6.9751036526907221E-10</v>
      </c>
      <c r="K143" s="25">
        <v>1.1927839974127864E-9</v>
      </c>
      <c r="L143" s="25">
        <v>7.3451892999338742E-8</v>
      </c>
      <c r="M143" s="25">
        <v>2.4351860018604563E-8</v>
      </c>
      <c r="N143" s="25">
        <v>5.979310589252534E-7</v>
      </c>
      <c r="O143" s="25">
        <v>5.7440006798746185E-8</v>
      </c>
      <c r="P143" s="25">
        <v>0</v>
      </c>
      <c r="Q143" s="45">
        <v>0</v>
      </c>
      <c r="R143" s="67">
        <v>1.0000000000000007</v>
      </c>
      <c r="S143" s="25">
        <v>9.9891005281974385E-17</v>
      </c>
      <c r="T143" s="45">
        <v>5.0471724761649931E-5</v>
      </c>
      <c r="V143" s="93">
        <v>-2.6051081978378122E-3</v>
      </c>
      <c r="W143" s="90">
        <f>$AB$131*SQRT(INDEX($B$131:$Q$146,13,13))</f>
        <v>7.7411505744716066E-4</v>
      </c>
      <c r="X143" s="23"/>
      <c r="Y143" s="3">
        <v>-0.52840266872971409</v>
      </c>
      <c r="Z143" s="23"/>
      <c r="AA143" s="3">
        <v>2.0463630789890885E-12</v>
      </c>
      <c r="AB143" s="23"/>
      <c r="AC143" s="23"/>
      <c r="AD143" s="23"/>
      <c r="AE143" s="23"/>
    </row>
    <row r="144" spans="2:31">
      <c r="B144" s="67">
        <v>-2.6122980916666672E-7</v>
      </c>
      <c r="C144" s="25">
        <v>1.6133020394831371E-7</v>
      </c>
      <c r="D144" s="25">
        <v>-1.7226225585947653E-7</v>
      </c>
      <c r="E144" s="25">
        <v>-5.2486436899427187E-8</v>
      </c>
      <c r="F144" s="25">
        <v>1.2798725213447885E-7</v>
      </c>
      <c r="G144" s="25">
        <v>-3.3741555690313488E-8</v>
      </c>
      <c r="H144" s="25">
        <v>7.5542872497472511E-8</v>
      </c>
      <c r="I144" s="25">
        <v>1.0266716063374727E-7</v>
      </c>
      <c r="J144" s="25">
        <v>-9.3229479772266591E-8</v>
      </c>
      <c r="K144" s="25">
        <v>1.5942792694784055E-7</v>
      </c>
      <c r="L144" s="25">
        <v>6.5275239765009401E-8</v>
      </c>
      <c r="M144" s="25">
        <v>2.2656952629608653E-7</v>
      </c>
      <c r="N144" s="25">
        <v>5.7440006798746238E-8</v>
      </c>
      <c r="O144" s="25">
        <v>4.3352609678103634E-7</v>
      </c>
      <c r="P144" s="25">
        <v>0</v>
      </c>
      <c r="Q144" s="45">
        <v>0</v>
      </c>
      <c r="R144" s="67">
        <v>7.8548935916216495E-18</v>
      </c>
      <c r="S144" s="25">
        <v>1.0000000000000011</v>
      </c>
      <c r="T144" s="45">
        <v>-2.5709034800465474E-4</v>
      </c>
      <c r="V144" s="93">
        <v>-4.2492572337478572E-3</v>
      </c>
      <c r="W144" s="90">
        <f>$AB$131*SQRT(INDEX($B$131:$Q$146,14,14))</f>
        <v>6.5915504650798467E-4</v>
      </c>
      <c r="X144" s="23"/>
      <c r="Y144" s="3">
        <v>-0.13887670606679325</v>
      </c>
      <c r="Z144" s="23"/>
      <c r="AA144" s="3">
        <v>5.1443294069031253E-12</v>
      </c>
      <c r="AB144" s="23"/>
      <c r="AC144" s="23"/>
      <c r="AD144" s="23"/>
      <c r="AE144" s="23"/>
    </row>
    <row r="145" spans="1:72">
      <c r="B145" s="67">
        <v>0</v>
      </c>
      <c r="C145" s="25">
        <v>0</v>
      </c>
      <c r="D145" s="25">
        <v>0</v>
      </c>
      <c r="E145" s="25">
        <v>0</v>
      </c>
      <c r="F145" s="25">
        <v>0</v>
      </c>
      <c r="G145" s="25">
        <v>0</v>
      </c>
      <c r="H145" s="25">
        <v>0</v>
      </c>
      <c r="I145" s="25">
        <v>0</v>
      </c>
      <c r="J145" s="25">
        <v>0</v>
      </c>
      <c r="K145" s="25">
        <v>0</v>
      </c>
      <c r="L145" s="25">
        <v>0</v>
      </c>
      <c r="M145" s="25">
        <v>0</v>
      </c>
      <c r="N145" s="25">
        <v>0</v>
      </c>
      <c r="O145" s="25">
        <v>0</v>
      </c>
      <c r="P145" s="25">
        <v>0</v>
      </c>
      <c r="Q145" s="45">
        <v>0</v>
      </c>
      <c r="R145" s="67">
        <v>1</v>
      </c>
      <c r="S145" s="25">
        <v>0</v>
      </c>
      <c r="T145" s="45">
        <v>0</v>
      </c>
      <c r="V145" s="93">
        <v>0</v>
      </c>
      <c r="W145" s="90">
        <f>$AB$131*SQRT(INDEX($B$131:$Q$146,15,15))</f>
        <v>0</v>
      </c>
      <c r="X145" s="23"/>
      <c r="Y145" s="3">
        <v>-0.67046389982532184</v>
      </c>
      <c r="Z145" s="23"/>
      <c r="AA145" s="3">
        <v>5.1159076974727213E-13</v>
      </c>
      <c r="AB145" s="23"/>
      <c r="AC145" s="23"/>
      <c r="AD145" s="23"/>
      <c r="AE145" s="23"/>
    </row>
    <row r="146" spans="1:72">
      <c r="B146" s="68">
        <v>0</v>
      </c>
      <c r="C146" s="32">
        <v>0</v>
      </c>
      <c r="D146" s="32">
        <v>0</v>
      </c>
      <c r="E146" s="32">
        <v>0</v>
      </c>
      <c r="F146" s="32">
        <v>0</v>
      </c>
      <c r="G146" s="32">
        <v>0</v>
      </c>
      <c r="H146" s="32">
        <v>0</v>
      </c>
      <c r="I146" s="32">
        <v>0</v>
      </c>
      <c r="J146" s="32">
        <v>0</v>
      </c>
      <c r="K146" s="32">
        <v>0</v>
      </c>
      <c r="L146" s="32">
        <v>0</v>
      </c>
      <c r="M146" s="32">
        <v>0</v>
      </c>
      <c r="N146" s="32">
        <v>0</v>
      </c>
      <c r="O146" s="32">
        <v>0</v>
      </c>
      <c r="P146" s="32">
        <v>0</v>
      </c>
      <c r="Q146" s="49">
        <v>0</v>
      </c>
      <c r="R146" s="68">
        <v>0</v>
      </c>
      <c r="S146" s="32">
        <v>1</v>
      </c>
      <c r="T146" s="49">
        <v>0</v>
      </c>
      <c r="V146" s="94">
        <v>0</v>
      </c>
      <c r="W146" s="91">
        <f>$AB$131*SQRT(INDEX($B$131:$Q$146,16,16))</f>
        <v>0</v>
      </c>
      <c r="X146" s="23"/>
      <c r="Y146" s="3">
        <v>-0.34074162600983104</v>
      </c>
      <c r="Z146" s="23"/>
      <c r="AA146" s="3">
        <v>-5.0022208597511053E-12</v>
      </c>
      <c r="AB146" s="23"/>
      <c r="AC146" s="23"/>
      <c r="AD146" s="23"/>
      <c r="AE146" s="23"/>
    </row>
    <row r="147" spans="1:72" ht="25.75" customHeight="1">
      <c r="A147" s="260" t="s">
        <v>69</v>
      </c>
      <c r="B147" s="98">
        <v>0.99999999999999989</v>
      </c>
      <c r="C147" s="52">
        <v>-3.9995013473909716E-17</v>
      </c>
      <c r="D147" s="52">
        <v>0.99999999999999989</v>
      </c>
      <c r="E147" s="52">
        <v>-2.7996509431736798E-16</v>
      </c>
      <c r="F147" s="52">
        <v>1</v>
      </c>
      <c r="G147" s="52">
        <v>7.9990026947819431E-17</v>
      </c>
      <c r="H147" s="52">
        <v>0.99999999999999956</v>
      </c>
      <c r="I147" s="52">
        <v>7.9990026947819431E-17</v>
      </c>
      <c r="J147" s="52">
        <v>0.99999999999999989</v>
      </c>
      <c r="K147" s="52">
        <v>1.5998005389563886E-16</v>
      </c>
      <c r="L147" s="52">
        <v>0.99999999999999989</v>
      </c>
      <c r="M147" s="52">
        <v>1.5998005389563886E-16</v>
      </c>
      <c r="N147" s="52">
        <v>1.0000000000000002</v>
      </c>
      <c r="O147" s="52">
        <v>3.1996010779127773E-16</v>
      </c>
      <c r="P147" s="37">
        <v>1</v>
      </c>
      <c r="Q147" s="53">
        <v>0</v>
      </c>
      <c r="R147">
        <v>-3.0850060284137709E-9</v>
      </c>
      <c r="S147">
        <v>3.4924596548080356E-10</v>
      </c>
      <c r="T147">
        <v>3.5915106721872602E-13</v>
      </c>
      <c r="V147" s="23"/>
      <c r="W147" s="23"/>
      <c r="X147" s="23"/>
      <c r="Y147" s="3">
        <v>-1.410381126659769</v>
      </c>
      <c r="Z147" s="23"/>
      <c r="AA147" s="3">
        <v>-1.780176006604961E-11</v>
      </c>
      <c r="AB147" s="23"/>
      <c r="AC147" s="23"/>
      <c r="AD147" s="23"/>
      <c r="AE147" s="23"/>
    </row>
    <row r="148" spans="1:72">
      <c r="A148" s="261"/>
      <c r="B148" s="99">
        <v>-5.0878036100633772E-16</v>
      </c>
      <c r="C148" s="43">
        <v>1.0000000000000007</v>
      </c>
      <c r="D148" s="43">
        <v>-1.6746046512892916E-16</v>
      </c>
      <c r="E148" s="43">
        <v>0.99999999999999967</v>
      </c>
      <c r="F148" s="43">
        <v>2.7507989307034091E-16</v>
      </c>
      <c r="G148" s="43">
        <v>0.99999999999999978</v>
      </c>
      <c r="H148" s="43">
        <v>2.7739614256083507E-16</v>
      </c>
      <c r="I148" s="43">
        <v>1.0000000000000004</v>
      </c>
      <c r="J148" s="43">
        <v>-3.4777355058696372E-16</v>
      </c>
      <c r="K148" s="43">
        <v>1.0000000000000009</v>
      </c>
      <c r="L148" s="43">
        <v>2.7424546704986408E-16</v>
      </c>
      <c r="M148" s="43">
        <v>1.0000000000000009</v>
      </c>
      <c r="N148" s="43">
        <v>4.4094813691392766E-16</v>
      </c>
      <c r="O148" s="43">
        <v>1.0000000000000011</v>
      </c>
      <c r="P148" s="25">
        <v>0</v>
      </c>
      <c r="Q148" s="45">
        <v>1</v>
      </c>
      <c r="R148">
        <v>1.4551915228366841E-9</v>
      </c>
      <c r="S148">
        <v>9.31322574615481E-10</v>
      </c>
      <c r="T148">
        <v>-9.7242538445315725E-13</v>
      </c>
      <c r="V148" s="23"/>
      <c r="W148" s="23"/>
      <c r="X148" s="23"/>
      <c r="Y148" s="3">
        <v>-0.80014838011942357</v>
      </c>
      <c r="Z148" s="23"/>
      <c r="AA148" s="3">
        <v>-3.3821834222180769E-12</v>
      </c>
      <c r="AB148" s="23"/>
      <c r="AE148" s="23"/>
    </row>
    <row r="149" spans="1:72">
      <c r="A149" s="262"/>
      <c r="B149" s="100">
        <v>2.3974069261783755E-4</v>
      </c>
      <c r="C149" s="48">
        <v>-1.1513862211251413E-4</v>
      </c>
      <c r="D149" s="48">
        <v>2.0030965764779844E-4</v>
      </c>
      <c r="E149" s="48">
        <v>1.1356138071371242E-4</v>
      </c>
      <c r="F149" s="48">
        <v>-2.5709034800465452E-4</v>
      </c>
      <c r="G149" s="48">
        <v>1.9242345065379062E-4</v>
      </c>
      <c r="H149" s="48">
        <v>-3.4383862493874036E-4</v>
      </c>
      <c r="I149" s="48">
        <v>-2.8390345178428091E-5</v>
      </c>
      <c r="J149" s="48">
        <v>-4.542455228548499E-4</v>
      </c>
      <c r="K149" s="48">
        <v>-2.6497655499866247E-4</v>
      </c>
      <c r="L149" s="48">
        <v>-1.7822827806457663E-4</v>
      </c>
      <c r="M149" s="48">
        <v>-2.0977310604060781E-4</v>
      </c>
      <c r="N149" s="48">
        <v>5.0471724761649904E-5</v>
      </c>
      <c r="O149" s="48">
        <v>-2.5709034800465479E-4</v>
      </c>
      <c r="P149" s="32">
        <v>0</v>
      </c>
      <c r="Q149" s="49">
        <v>0</v>
      </c>
      <c r="R149">
        <v>3.3408761084073242E-13</v>
      </c>
      <c r="S149">
        <v>-8.4931148334367036E-13</v>
      </c>
      <c r="T149">
        <v>1.6652303716444719E-18</v>
      </c>
      <c r="V149" s="23"/>
      <c r="W149" s="23"/>
      <c r="X149" s="23"/>
      <c r="Y149" s="3">
        <v>-0.22978747241230391</v>
      </c>
      <c r="Z149" s="23"/>
      <c r="AA149" s="4">
        <v>1.7266188478970435E-11</v>
      </c>
      <c r="AB149" s="23"/>
      <c r="AE149" s="23"/>
    </row>
    <row r="150" spans="1:72">
      <c r="V150" s="23"/>
      <c r="W150" s="23"/>
      <c r="X150" s="23"/>
      <c r="Y150" s="4">
        <v>-0.21801144500536149</v>
      </c>
      <c r="Z150" s="23"/>
      <c r="AB150" s="23"/>
      <c r="AE150" s="23"/>
    </row>
    <row r="151" spans="1:72">
      <c r="V151" s="23"/>
      <c r="W151" s="23"/>
      <c r="X151" s="23"/>
      <c r="Z151" s="23"/>
      <c r="AA151" s="23"/>
      <c r="AB151" s="23"/>
      <c r="AE151" s="23"/>
    </row>
    <row r="152" spans="1:72">
      <c r="V152" s="23"/>
      <c r="W152" s="23"/>
      <c r="X152" s="23"/>
      <c r="Z152" s="23"/>
      <c r="AA152" s="23"/>
      <c r="AB152" s="23"/>
      <c r="AC152" s="23"/>
      <c r="AD152" s="23"/>
      <c r="AE152" s="23"/>
    </row>
    <row r="154" spans="1:72">
      <c r="B154" s="272" t="s">
        <v>70</v>
      </c>
      <c r="C154" s="273"/>
      <c r="D154" s="273"/>
      <c r="E154" s="273"/>
      <c r="F154" s="273"/>
      <c r="G154" s="273"/>
      <c r="H154" s="273"/>
      <c r="I154" s="273"/>
      <c r="J154" s="273"/>
      <c r="K154" s="273"/>
      <c r="L154" s="273"/>
      <c r="M154" s="273"/>
      <c r="N154" s="273"/>
      <c r="O154" s="273"/>
      <c r="P154" s="273"/>
      <c r="Q154" s="273"/>
      <c r="R154" s="273"/>
      <c r="S154" s="273"/>
      <c r="T154" s="273"/>
      <c r="U154" s="273"/>
      <c r="V154" s="273"/>
      <c r="W154" s="273"/>
      <c r="X154" s="273"/>
      <c r="Y154" s="273"/>
      <c r="Z154" s="273"/>
      <c r="AA154" s="273"/>
      <c r="AB154" s="273"/>
      <c r="AC154" s="273"/>
      <c r="AD154" s="273"/>
      <c r="AE154" s="273"/>
      <c r="AF154" s="273"/>
      <c r="AG154" s="274"/>
      <c r="AJ154" s="269" t="s">
        <v>71</v>
      </c>
      <c r="AK154" s="270"/>
      <c r="AL154" s="270"/>
      <c r="AM154" s="270"/>
      <c r="AN154" s="270"/>
      <c r="AO154" s="270"/>
      <c r="AP154" s="270"/>
      <c r="AQ154" s="270"/>
      <c r="AR154" s="270"/>
      <c r="AS154" s="270"/>
      <c r="AT154" s="270"/>
      <c r="AU154" s="270"/>
      <c r="AV154" s="270"/>
      <c r="AW154" s="270"/>
      <c r="AX154" s="270"/>
      <c r="AY154" s="270"/>
      <c r="AZ154" s="270"/>
      <c r="BA154" s="270"/>
      <c r="BB154" s="270"/>
      <c r="BC154" s="270"/>
      <c r="BD154" s="270"/>
      <c r="BE154" s="270"/>
      <c r="BF154" s="270"/>
      <c r="BG154" s="270"/>
      <c r="BH154" s="270"/>
      <c r="BI154" s="270"/>
      <c r="BJ154" s="270"/>
      <c r="BK154" s="270"/>
      <c r="BL154" s="270"/>
      <c r="BM154" s="270"/>
      <c r="BN154" s="270"/>
      <c r="BO154" s="271"/>
    </row>
    <row r="155" spans="1:72">
      <c r="A155">
        <v>1</v>
      </c>
      <c r="B155" s="8" cm="1">
        <f t="array" ref="B155:AG186">_xlfn.MUNIT(32)</f>
        <v>1</v>
      </c>
      <c r="C155" s="9">
        <v>0</v>
      </c>
      <c r="D155" s="9">
        <v>0</v>
      </c>
      <c r="E155" s="9">
        <v>0</v>
      </c>
      <c r="F155" s="9">
        <v>0</v>
      </c>
      <c r="G155" s="9">
        <v>0</v>
      </c>
      <c r="H155" s="9">
        <v>0</v>
      </c>
      <c r="I155" s="9">
        <v>0</v>
      </c>
      <c r="J155" s="9">
        <v>0</v>
      </c>
      <c r="K155" s="9">
        <v>0</v>
      </c>
      <c r="L155" s="9">
        <v>0</v>
      </c>
      <c r="M155" s="9">
        <v>0</v>
      </c>
      <c r="N155" s="9">
        <v>0</v>
      </c>
      <c r="O155" s="9">
        <v>0</v>
      </c>
      <c r="P155" s="9">
        <v>0</v>
      </c>
      <c r="Q155" s="9">
        <v>0</v>
      </c>
      <c r="R155" s="9">
        <v>0</v>
      </c>
      <c r="S155" s="9">
        <v>0</v>
      </c>
      <c r="T155" s="9">
        <v>0</v>
      </c>
      <c r="U155" s="9">
        <v>0</v>
      </c>
      <c r="V155" s="9">
        <v>0</v>
      </c>
      <c r="W155" s="9">
        <v>0</v>
      </c>
      <c r="X155" s="9">
        <v>0</v>
      </c>
      <c r="Y155" s="9">
        <v>0</v>
      </c>
      <c r="Z155" s="9">
        <v>0</v>
      </c>
      <c r="AA155" s="9">
        <v>0</v>
      </c>
      <c r="AB155" s="9">
        <v>0</v>
      </c>
      <c r="AC155" s="9">
        <v>0</v>
      </c>
      <c r="AD155" s="9">
        <v>0</v>
      </c>
      <c r="AE155" s="9">
        <v>0</v>
      </c>
      <c r="AF155" s="9">
        <v>0</v>
      </c>
      <c r="AG155" s="10">
        <v>0</v>
      </c>
      <c r="AH155" s="23"/>
      <c r="AI155" s="23">
        <v>1</v>
      </c>
      <c r="AJ155" s="8" cm="1">
        <f t="array" ref="AJ155:BO186">MMULT(MMULT(B76:Q107,B131:Q146),_xlfn.ANCHORARRAY(U92))</f>
        <v>0.26820151088061206</v>
      </c>
      <c r="AK155" s="9">
        <v>-4.2334841892681871E-3</v>
      </c>
      <c r="AL155" s="9">
        <v>-2.4575665803245578E-2</v>
      </c>
      <c r="AM155" s="9">
        <v>5.7774100521840968E-2</v>
      </c>
      <c r="AN155" s="9">
        <v>6.9523280632850099E-2</v>
      </c>
      <c r="AO155" s="9">
        <v>0.13918542102890863</v>
      </c>
      <c r="AP155" s="9">
        <v>-4.5134827226539553E-2</v>
      </c>
      <c r="AQ155" s="9">
        <v>5.7773984779514842E-2</v>
      </c>
      <c r="AR155" s="9">
        <v>4.5857572238886674E-2</v>
      </c>
      <c r="AS155" s="9">
        <v>9.2477920432634766E-2</v>
      </c>
      <c r="AT155" s="9">
        <v>0.21393519860375831</v>
      </c>
      <c r="AU155" s="9">
        <v>0.26820176396043477</v>
      </c>
      <c r="AV155" s="9">
        <v>-3.0691591053061126E-2</v>
      </c>
      <c r="AW155" s="9">
        <v>-1.5146144945430772E-2</v>
      </c>
      <c r="AX155" s="9">
        <v>8.5840424816346766E-3</v>
      </c>
      <c r="AY155" s="9">
        <v>8.3669325128304835E-3</v>
      </c>
      <c r="AZ155" s="9">
        <v>9.7503123931469426E-3</v>
      </c>
      <c r="BA155" s="9">
        <v>2.7821811253266722E-2</v>
      </c>
      <c r="BB155" s="9">
        <v>4.5645903433442353E-2</v>
      </c>
      <c r="BC155" s="9">
        <v>-3.560198334286363E-3</v>
      </c>
      <c r="BD155" s="9">
        <v>-5.0967149585240727E-2</v>
      </c>
      <c r="BE155" s="9">
        <v>-1.2138019875997934E-2</v>
      </c>
      <c r="BF155" s="9">
        <v>-3.0626513583326513E-2</v>
      </c>
      <c r="BG155" s="9">
        <v>-6.8041433421336811E-2</v>
      </c>
      <c r="BH155" s="9">
        <v>6.5898384439816493E-2</v>
      </c>
      <c r="BI155" s="9">
        <v>9.5874732026085457E-2</v>
      </c>
      <c r="BJ155" s="9">
        <v>-5.907134460494845E-2</v>
      </c>
      <c r="BK155" s="9">
        <v>2.9287633983691753E-3</v>
      </c>
      <c r="BL155" s="9">
        <v>1.3254144970267036E-2</v>
      </c>
      <c r="BM155" s="9">
        <v>-3.8153490587601216E-2</v>
      </c>
      <c r="BN155" s="9">
        <v>4.8873734902921268E-2</v>
      </c>
      <c r="BO155" s="10">
        <v>-2.6973174665433919E-2</v>
      </c>
      <c r="BP155" s="23"/>
      <c r="BQ155" s="23"/>
      <c r="BR155" s="23"/>
      <c r="BS155" s="23"/>
      <c r="BT155" s="23"/>
    </row>
    <row r="156" spans="1:72">
      <c r="A156">
        <v>2</v>
      </c>
      <c r="B156" s="11">
        <v>0</v>
      </c>
      <c r="C156" s="1">
        <v>1</v>
      </c>
      <c r="D156" s="1">
        <v>0</v>
      </c>
      <c r="E156" s="1">
        <v>0</v>
      </c>
      <c r="F156" s="1">
        <v>0</v>
      </c>
      <c r="G156" s="1">
        <v>0</v>
      </c>
      <c r="H156" s="1">
        <v>0</v>
      </c>
      <c r="I156" s="1">
        <v>0</v>
      </c>
      <c r="J156" s="1">
        <v>0</v>
      </c>
      <c r="K156" s="1">
        <v>0</v>
      </c>
      <c r="L156" s="1">
        <v>0</v>
      </c>
      <c r="M156" s="1">
        <v>0</v>
      </c>
      <c r="N156" s="1">
        <v>0</v>
      </c>
      <c r="O156" s="1">
        <v>0</v>
      </c>
      <c r="P156" s="1">
        <v>0</v>
      </c>
      <c r="Q156" s="1">
        <v>0</v>
      </c>
      <c r="R156" s="1">
        <v>0</v>
      </c>
      <c r="S156" s="1">
        <v>0</v>
      </c>
      <c r="T156" s="1">
        <v>0</v>
      </c>
      <c r="U156" s="1">
        <v>0</v>
      </c>
      <c r="V156" s="1">
        <v>0</v>
      </c>
      <c r="W156" s="1">
        <v>0</v>
      </c>
      <c r="X156" s="1">
        <v>0</v>
      </c>
      <c r="Y156" s="1">
        <v>0</v>
      </c>
      <c r="Z156" s="1">
        <v>0</v>
      </c>
      <c r="AA156" s="1">
        <v>0</v>
      </c>
      <c r="AB156" s="1">
        <v>0</v>
      </c>
      <c r="AC156" s="1">
        <v>0</v>
      </c>
      <c r="AD156" s="1">
        <v>0</v>
      </c>
      <c r="AE156" s="1">
        <v>0</v>
      </c>
      <c r="AF156" s="1">
        <v>0</v>
      </c>
      <c r="AG156" s="12">
        <v>0</v>
      </c>
      <c r="AH156" s="23"/>
      <c r="AI156" s="23">
        <v>2</v>
      </c>
      <c r="AJ156" s="11">
        <v>-4.233484189268194E-3</v>
      </c>
      <c r="AK156" s="1">
        <v>0.22809851572514953</v>
      </c>
      <c r="AL156" s="1">
        <v>9.6521117252524449E-2</v>
      </c>
      <c r="AM156" s="1">
        <v>-6.1979848758647385E-3</v>
      </c>
      <c r="AN156" s="1">
        <v>3.4115030990536761E-2</v>
      </c>
      <c r="AO156" s="1">
        <v>1.246938966554767E-2</v>
      </c>
      <c r="AP156" s="1">
        <v>4.880567663816518E-2</v>
      </c>
      <c r="AQ156" s="1">
        <v>-6.1979724590693411E-3</v>
      </c>
      <c r="AR156" s="1">
        <v>0.10131377284724785</v>
      </c>
      <c r="AS156" s="1">
        <v>-8.8667551359342366E-3</v>
      </c>
      <c r="AT156" s="1">
        <v>5.4874709940366771E-3</v>
      </c>
      <c r="AU156" s="1">
        <v>-4.2334881840608227E-3</v>
      </c>
      <c r="AV156" s="1">
        <v>1.4095981405088349E-2</v>
      </c>
      <c r="AW156" s="1">
        <v>-1.9826175507856741E-2</v>
      </c>
      <c r="AX156" s="1">
        <v>1.8584411486547311E-2</v>
      </c>
      <c r="AY156" s="1">
        <v>-3.8370562418994086E-3</v>
      </c>
      <c r="AZ156" s="1">
        <v>0.108952673352034</v>
      </c>
      <c r="BA156" s="1">
        <v>4.5350661828258518E-2</v>
      </c>
      <c r="BB156" s="1">
        <v>5.9173129536279609E-2</v>
      </c>
      <c r="BC156" s="1">
        <v>4.1851544042913011E-2</v>
      </c>
      <c r="BD156" s="1">
        <v>-9.5842225100824345E-3</v>
      </c>
      <c r="BE156" s="1">
        <v>-1.6040037097371944E-2</v>
      </c>
      <c r="BF156" s="1">
        <v>-9.2305665238061427E-2</v>
      </c>
      <c r="BG156" s="1">
        <v>0.20392602163359713</v>
      </c>
      <c r="BH156" s="1">
        <v>-6.7050578166302291E-2</v>
      </c>
      <c r="BI156" s="1">
        <v>-1.8945518621779067E-2</v>
      </c>
      <c r="BJ156" s="1">
        <v>-0.10023304719135806</v>
      </c>
      <c r="BK156" s="1">
        <v>0.1051648951685151</v>
      </c>
      <c r="BL156" s="1">
        <v>0.15330306211539235</v>
      </c>
      <c r="BM156" s="1">
        <v>-8.1580593368905635E-2</v>
      </c>
      <c r="BN156" s="1">
        <v>-0.13735840449849851</v>
      </c>
      <c r="BO156" s="12">
        <v>-8.3623654979387729E-2</v>
      </c>
      <c r="BP156" s="23"/>
      <c r="BQ156" s="23"/>
      <c r="BR156" s="23"/>
      <c r="BS156" s="23"/>
      <c r="BT156" s="23"/>
    </row>
    <row r="157" spans="1:72">
      <c r="A157">
        <v>3</v>
      </c>
      <c r="B157" s="11">
        <v>0</v>
      </c>
      <c r="C157" s="1">
        <v>0</v>
      </c>
      <c r="D157" s="1">
        <v>1</v>
      </c>
      <c r="E157" s="1">
        <v>0</v>
      </c>
      <c r="F157" s="1">
        <v>0</v>
      </c>
      <c r="G157" s="1">
        <v>0</v>
      </c>
      <c r="H157" s="1">
        <v>0</v>
      </c>
      <c r="I157" s="1">
        <v>0</v>
      </c>
      <c r="J157" s="1">
        <v>0</v>
      </c>
      <c r="K157" s="1">
        <v>0</v>
      </c>
      <c r="L157" s="1">
        <v>0</v>
      </c>
      <c r="M157" s="1">
        <v>0</v>
      </c>
      <c r="N157" s="1">
        <v>0</v>
      </c>
      <c r="O157" s="1">
        <v>0</v>
      </c>
      <c r="P157" s="1">
        <v>0</v>
      </c>
      <c r="Q157" s="1">
        <v>0</v>
      </c>
      <c r="R157" s="1">
        <v>0</v>
      </c>
      <c r="S157" s="1">
        <v>0</v>
      </c>
      <c r="T157" s="1">
        <v>0</v>
      </c>
      <c r="U157" s="1">
        <v>0</v>
      </c>
      <c r="V157" s="1">
        <v>0</v>
      </c>
      <c r="W157" s="1">
        <v>0</v>
      </c>
      <c r="X157" s="1">
        <v>0</v>
      </c>
      <c r="Y157" s="1">
        <v>0</v>
      </c>
      <c r="Z157" s="1">
        <v>0</v>
      </c>
      <c r="AA157" s="1">
        <v>0</v>
      </c>
      <c r="AB157" s="1">
        <v>0</v>
      </c>
      <c r="AC157" s="1">
        <v>0</v>
      </c>
      <c r="AD157" s="1">
        <v>0</v>
      </c>
      <c r="AE157" s="1">
        <v>0</v>
      </c>
      <c r="AF157" s="1">
        <v>0</v>
      </c>
      <c r="AG157" s="12">
        <v>0</v>
      </c>
      <c r="AH157" s="23"/>
      <c r="AI157" s="23">
        <v>3</v>
      </c>
      <c r="AJ157" s="11">
        <v>-2.457566580324555E-2</v>
      </c>
      <c r="AK157" s="1">
        <v>9.6521117252524519E-2</v>
      </c>
      <c r="AL157" s="1">
        <v>0.24860604518237803</v>
      </c>
      <c r="AM157" s="1">
        <v>-4.099596973095903E-2</v>
      </c>
      <c r="AN157" s="1">
        <v>-3.1839816391949445E-2</v>
      </c>
      <c r="AO157" s="1">
        <v>1.4907936482872742E-2</v>
      </c>
      <c r="AP157" s="1">
        <v>1.070362471181394E-2</v>
      </c>
      <c r="AQ157" s="1">
        <v>-4.0995887601270237E-2</v>
      </c>
      <c r="AR157" s="1">
        <v>0.17693811395443376</v>
      </c>
      <c r="AS157" s="1">
        <v>5.0269417841416397E-3</v>
      </c>
      <c r="AT157" s="1">
        <v>2.5432875224263057E-2</v>
      </c>
      <c r="AU157" s="1">
        <v>-2.4575688993290684E-2</v>
      </c>
      <c r="AV157" s="1">
        <v>-4.6452807698787839E-4</v>
      </c>
      <c r="AW157" s="1">
        <v>-3.5106491408028709E-3</v>
      </c>
      <c r="AX157" s="1">
        <v>3.1317769474443844E-3</v>
      </c>
      <c r="AY157" s="1">
        <v>-5.9256832653468879E-3</v>
      </c>
      <c r="AZ157" s="1">
        <v>3.0846905657119998E-2</v>
      </c>
      <c r="BA157" s="1">
        <v>1.2370769563098186E-2</v>
      </c>
      <c r="BB157" s="1">
        <v>0.17580774616358744</v>
      </c>
      <c r="BC157" s="1">
        <v>0.16968591319289156</v>
      </c>
      <c r="BD157" s="1">
        <v>-1.5607770723672806E-2</v>
      </c>
      <c r="BE157" s="1">
        <v>-1.3984241046350898E-2</v>
      </c>
      <c r="BF157" s="1">
        <v>-3.1619485802772691E-2</v>
      </c>
      <c r="BG157" s="1">
        <v>0.11110659242453164</v>
      </c>
      <c r="BH157" s="1">
        <v>-4.7066582932393193E-2</v>
      </c>
      <c r="BI157" s="1">
        <v>-2.8285119193420527E-3</v>
      </c>
      <c r="BJ157" s="1">
        <v>-1.6236819289725396E-2</v>
      </c>
      <c r="BK157" s="1">
        <v>-5.5062104955636584E-2</v>
      </c>
      <c r="BL157" s="1">
        <v>-0.10555957629791116</v>
      </c>
      <c r="BM157" s="1">
        <v>0.18810940119072775</v>
      </c>
      <c r="BN157" s="1">
        <v>-0.11148879849068252</v>
      </c>
      <c r="BO157" s="12">
        <v>-2.1492333890227609E-2</v>
      </c>
      <c r="BP157" s="23"/>
      <c r="BQ157" s="23"/>
      <c r="BR157" s="23"/>
      <c r="BS157" s="23"/>
      <c r="BT157" s="23"/>
    </row>
    <row r="158" spans="1:72">
      <c r="A158">
        <v>4</v>
      </c>
      <c r="B158" s="11">
        <v>0</v>
      </c>
      <c r="C158" s="1">
        <v>0</v>
      </c>
      <c r="D158" s="1">
        <v>0</v>
      </c>
      <c r="E158" s="1">
        <v>1</v>
      </c>
      <c r="F158" s="1">
        <v>0</v>
      </c>
      <c r="G158" s="1">
        <v>0</v>
      </c>
      <c r="H158" s="1">
        <v>0</v>
      </c>
      <c r="I158" s="1">
        <v>0</v>
      </c>
      <c r="J158" s="1">
        <v>0</v>
      </c>
      <c r="K158" s="1">
        <v>0</v>
      </c>
      <c r="L158" s="1">
        <v>0</v>
      </c>
      <c r="M158" s="1">
        <v>0</v>
      </c>
      <c r="N158" s="1">
        <v>0</v>
      </c>
      <c r="O158" s="1">
        <v>0</v>
      </c>
      <c r="P158" s="1">
        <v>0</v>
      </c>
      <c r="Q158" s="1">
        <v>0</v>
      </c>
      <c r="R158" s="1">
        <v>0</v>
      </c>
      <c r="S158" s="1">
        <v>0</v>
      </c>
      <c r="T158" s="1">
        <v>0</v>
      </c>
      <c r="U158" s="1">
        <v>0</v>
      </c>
      <c r="V158" s="1">
        <v>0</v>
      </c>
      <c r="W158" s="1">
        <v>0</v>
      </c>
      <c r="X158" s="1">
        <v>0</v>
      </c>
      <c r="Y158" s="1">
        <v>0</v>
      </c>
      <c r="Z158" s="1">
        <v>0</v>
      </c>
      <c r="AA158" s="1">
        <v>0</v>
      </c>
      <c r="AB158" s="1">
        <v>0</v>
      </c>
      <c r="AC158" s="1">
        <v>0</v>
      </c>
      <c r="AD158" s="1">
        <v>0</v>
      </c>
      <c r="AE158" s="1">
        <v>0</v>
      </c>
      <c r="AF158" s="1">
        <v>0</v>
      </c>
      <c r="AG158" s="12">
        <v>0</v>
      </c>
      <c r="AH158" s="23"/>
      <c r="AI158" s="23">
        <v>4</v>
      </c>
      <c r="AJ158" s="11">
        <v>5.7774100521840968E-2</v>
      </c>
      <c r="AK158" s="1">
        <v>-6.1979848758647316E-3</v>
      </c>
      <c r="AL158" s="1">
        <v>-4.0995969730959085E-2</v>
      </c>
      <c r="AM158" s="1">
        <v>0.21247381658021047</v>
      </c>
      <c r="AN158" s="1">
        <v>5.6979847115523813E-2</v>
      </c>
      <c r="AO158" s="1">
        <v>-1.4819900151707824E-2</v>
      </c>
      <c r="AP158" s="1">
        <v>0.13056878270181366</v>
      </c>
      <c r="AQ158" s="1">
        <v>0.21247339091865036</v>
      </c>
      <c r="AR158" s="1">
        <v>0.14197282042943701</v>
      </c>
      <c r="AS158" s="1">
        <v>-4.6240529890133115E-2</v>
      </c>
      <c r="AT158" s="1">
        <v>-4.8940880273846118E-2</v>
      </c>
      <c r="AU158" s="1">
        <v>5.7774155038532844E-2</v>
      </c>
      <c r="AV158" s="1">
        <v>5.3520384622604951E-2</v>
      </c>
      <c r="AW158" s="1">
        <v>-1.9984969473870476E-2</v>
      </c>
      <c r="AX158" s="1">
        <v>-3.9687431730585712E-3</v>
      </c>
      <c r="AY158" s="1">
        <v>-1.4656321117193123E-3</v>
      </c>
      <c r="AZ158" s="1">
        <v>4.1976443251630306E-3</v>
      </c>
      <c r="BA158" s="1">
        <v>2.2000336622967732E-2</v>
      </c>
      <c r="BB158" s="1">
        <v>1.2204930193448127E-2</v>
      </c>
      <c r="BC158" s="1">
        <v>-3.4220862723559828E-2</v>
      </c>
      <c r="BD158" s="1">
        <v>-1.8748358334355585E-2</v>
      </c>
      <c r="BE158" s="1">
        <v>-2.5247461278996249E-2</v>
      </c>
      <c r="BF158" s="1">
        <v>-3.2210827159626823E-2</v>
      </c>
      <c r="BG158" s="1">
        <v>-5.4973025375399248E-2</v>
      </c>
      <c r="BH158" s="1">
        <v>0.2117974566131435</v>
      </c>
      <c r="BI158" s="1">
        <v>-8.0617784464765668E-2</v>
      </c>
      <c r="BJ158" s="1">
        <v>5.0379549575135227E-2</v>
      </c>
      <c r="BK158" s="1">
        <v>2.6220381151437974E-2</v>
      </c>
      <c r="BL158" s="1">
        <v>1.9740015424940357E-2</v>
      </c>
      <c r="BM158" s="1">
        <v>-3.3393854502878406E-2</v>
      </c>
      <c r="BN158" s="1">
        <v>4.6648541301866069E-2</v>
      </c>
      <c r="BO158" s="12">
        <v>-1.2998091117707236E-2</v>
      </c>
      <c r="BP158" s="23"/>
      <c r="BQ158" s="23"/>
      <c r="BR158" s="23"/>
      <c r="BS158" s="23"/>
      <c r="BT158" s="23"/>
    </row>
    <row r="159" spans="1:72">
      <c r="A159">
        <v>5</v>
      </c>
      <c r="B159" s="11">
        <v>0</v>
      </c>
      <c r="C159" s="1">
        <v>0</v>
      </c>
      <c r="D159" s="1">
        <v>0</v>
      </c>
      <c r="E159" s="1">
        <v>0</v>
      </c>
      <c r="F159" s="1">
        <v>1</v>
      </c>
      <c r="G159" s="1">
        <v>0</v>
      </c>
      <c r="H159" s="1">
        <v>0</v>
      </c>
      <c r="I159" s="1">
        <v>0</v>
      </c>
      <c r="J159" s="1">
        <v>0</v>
      </c>
      <c r="K159" s="1">
        <v>0</v>
      </c>
      <c r="L159" s="1">
        <v>0</v>
      </c>
      <c r="M159" s="1">
        <v>0</v>
      </c>
      <c r="N159" s="1">
        <v>0</v>
      </c>
      <c r="O159" s="1">
        <v>0</v>
      </c>
      <c r="P159" s="1">
        <v>0</v>
      </c>
      <c r="Q159" s="1">
        <v>0</v>
      </c>
      <c r="R159" s="1">
        <v>0</v>
      </c>
      <c r="S159" s="1">
        <v>0</v>
      </c>
      <c r="T159" s="1">
        <v>0</v>
      </c>
      <c r="U159" s="1">
        <v>0</v>
      </c>
      <c r="V159" s="1">
        <v>0</v>
      </c>
      <c r="W159" s="1">
        <v>0</v>
      </c>
      <c r="X159" s="1">
        <v>0</v>
      </c>
      <c r="Y159" s="1">
        <v>0</v>
      </c>
      <c r="Z159" s="1">
        <v>0</v>
      </c>
      <c r="AA159" s="1">
        <v>0</v>
      </c>
      <c r="AB159" s="1">
        <v>0</v>
      </c>
      <c r="AC159" s="1">
        <v>0</v>
      </c>
      <c r="AD159" s="1">
        <v>0</v>
      </c>
      <c r="AE159" s="1">
        <v>0</v>
      </c>
      <c r="AF159" s="1">
        <v>0</v>
      </c>
      <c r="AG159" s="12">
        <v>0</v>
      </c>
      <c r="AH159" s="23"/>
      <c r="AI159" s="23">
        <v>5</v>
      </c>
      <c r="AJ159" s="11">
        <v>6.9523280632850085E-2</v>
      </c>
      <c r="AK159" s="1">
        <v>3.411503099053674E-2</v>
      </c>
      <c r="AL159" s="1">
        <v>-3.1839816391949438E-2</v>
      </c>
      <c r="AM159" s="1">
        <v>5.6979847115523868E-2</v>
      </c>
      <c r="AN159" s="1">
        <v>0.19764050347043599</v>
      </c>
      <c r="AO159" s="1">
        <v>-1.1290842290966011E-2</v>
      </c>
      <c r="AP159" s="1">
        <v>1.5170697974849778E-2</v>
      </c>
      <c r="AQ159" s="1">
        <v>5.6979732964373281E-2</v>
      </c>
      <c r="AR159" s="1">
        <v>5.1753213685698837E-2</v>
      </c>
      <c r="AS159" s="1">
        <v>-1.3748925918346727E-2</v>
      </c>
      <c r="AT159" s="1">
        <v>-8.6706755338438996E-2</v>
      </c>
      <c r="AU159" s="1">
        <v>6.9523346236281952E-2</v>
      </c>
      <c r="AV159" s="1">
        <v>2.5351211485572012E-2</v>
      </c>
      <c r="AW159" s="1">
        <v>-4.2473493888274198E-2</v>
      </c>
      <c r="AX159" s="1">
        <v>4.2292700361958535E-2</v>
      </c>
      <c r="AY159" s="1">
        <v>5.2346953050059687E-2</v>
      </c>
      <c r="AZ159" s="1">
        <v>8.4846145089814737E-2</v>
      </c>
      <c r="BA159" s="1">
        <v>5.426570177481109E-2</v>
      </c>
      <c r="BB159" s="1">
        <v>0.13034741735596517</v>
      </c>
      <c r="BC159" s="1">
        <v>4.4484079657011039E-3</v>
      </c>
      <c r="BD159" s="1">
        <v>9.1807761404120919E-2</v>
      </c>
      <c r="BE159" s="1">
        <v>7.8449454461985979E-2</v>
      </c>
      <c r="BF159" s="1">
        <v>-2.862811631971891E-2</v>
      </c>
      <c r="BG159" s="1">
        <v>-0.105479312477367</v>
      </c>
      <c r="BH159" s="1">
        <v>-7.3140239745297916E-2</v>
      </c>
      <c r="BI159" s="1">
        <v>3.6990452676276958E-2</v>
      </c>
      <c r="BJ159" s="1">
        <v>-0.10894267324315572</v>
      </c>
      <c r="BK159" s="1">
        <v>7.4288623730298764E-2</v>
      </c>
      <c r="BL159" s="1">
        <v>4.5918175697367558E-3</v>
      </c>
      <c r="BM159" s="1">
        <v>-9.6989430126486365E-2</v>
      </c>
      <c r="BN159" s="1">
        <v>0.15899349401578969</v>
      </c>
      <c r="BO159" s="12">
        <v>-0.10013841462161191</v>
      </c>
      <c r="BP159" s="23"/>
      <c r="BQ159" s="23"/>
      <c r="BR159" s="23"/>
      <c r="BS159" s="23"/>
      <c r="BT159" s="23"/>
    </row>
    <row r="160" spans="1:72">
      <c r="A160">
        <v>6</v>
      </c>
      <c r="B160" s="11">
        <v>0</v>
      </c>
      <c r="C160" s="1">
        <v>0</v>
      </c>
      <c r="D160" s="1">
        <v>0</v>
      </c>
      <c r="E160" s="1">
        <v>0</v>
      </c>
      <c r="F160" s="1">
        <v>0</v>
      </c>
      <c r="G160" s="1">
        <v>1</v>
      </c>
      <c r="H160" s="1">
        <v>0</v>
      </c>
      <c r="I160" s="1">
        <v>0</v>
      </c>
      <c r="J160" s="1">
        <v>0</v>
      </c>
      <c r="K160" s="1">
        <v>0</v>
      </c>
      <c r="L160" s="1">
        <v>0</v>
      </c>
      <c r="M160" s="1">
        <v>0</v>
      </c>
      <c r="N160" s="1">
        <v>0</v>
      </c>
      <c r="O160" s="1">
        <v>0</v>
      </c>
      <c r="P160" s="1">
        <v>0</v>
      </c>
      <c r="Q160" s="1">
        <v>0</v>
      </c>
      <c r="R160" s="1">
        <v>0</v>
      </c>
      <c r="S160" s="1">
        <v>0</v>
      </c>
      <c r="T160" s="1">
        <v>0</v>
      </c>
      <c r="U160" s="1">
        <v>0</v>
      </c>
      <c r="V160" s="1">
        <v>0</v>
      </c>
      <c r="W160" s="1">
        <v>0</v>
      </c>
      <c r="X160" s="1">
        <v>0</v>
      </c>
      <c r="Y160" s="1">
        <v>0</v>
      </c>
      <c r="Z160" s="1">
        <v>0</v>
      </c>
      <c r="AA160" s="1">
        <v>0</v>
      </c>
      <c r="AB160" s="1">
        <v>0</v>
      </c>
      <c r="AC160" s="1">
        <v>0</v>
      </c>
      <c r="AD160" s="1">
        <v>0</v>
      </c>
      <c r="AE160" s="1">
        <v>0</v>
      </c>
      <c r="AF160" s="1">
        <v>0</v>
      </c>
      <c r="AG160" s="12">
        <v>0</v>
      </c>
      <c r="AH160" s="23"/>
      <c r="AI160" s="23">
        <v>6</v>
      </c>
      <c r="AJ160" s="11">
        <v>0.13918542102890855</v>
      </c>
      <c r="AK160" s="1">
        <v>1.2469389665547684E-2</v>
      </c>
      <c r="AL160" s="1">
        <v>1.4907936482872754E-2</v>
      </c>
      <c r="AM160" s="1">
        <v>-1.4819900151707786E-2</v>
      </c>
      <c r="AN160" s="1">
        <v>-1.1290842290965976E-2</v>
      </c>
      <c r="AO160" s="1">
        <v>0.27956246061892875</v>
      </c>
      <c r="AP160" s="1">
        <v>0.15424891825534709</v>
      </c>
      <c r="AQ160" s="1">
        <v>-1.4819870462111487E-2</v>
      </c>
      <c r="AR160" s="1">
        <v>-2.7587914084131589E-2</v>
      </c>
      <c r="AS160" s="1">
        <v>5.4130907294334309E-3</v>
      </c>
      <c r="AT160" s="1">
        <v>0.13414207914192228</v>
      </c>
      <c r="AU160" s="1">
        <v>0.13918555236680286</v>
      </c>
      <c r="AV160" s="1">
        <v>0.12693235216441986</v>
      </c>
      <c r="AW160" s="1">
        <v>-6.1316749471912853E-2</v>
      </c>
      <c r="AX160" s="1">
        <v>-4.5862694625681488E-2</v>
      </c>
      <c r="AY160" s="1">
        <v>-1.7163761453066393E-2</v>
      </c>
      <c r="AZ160" s="1">
        <v>-3.0446168270585891E-3</v>
      </c>
      <c r="BA160" s="1">
        <v>8.4534676791878094E-3</v>
      </c>
      <c r="BB160" s="1">
        <v>-8.9495906475200362E-3</v>
      </c>
      <c r="BC160" s="1">
        <v>-2.1307285879106699E-2</v>
      </c>
      <c r="BD160" s="1">
        <v>-9.4085489441181294E-2</v>
      </c>
      <c r="BE160" s="1">
        <v>-3.2269548267763654E-2</v>
      </c>
      <c r="BF160" s="1">
        <v>-2.4378282523163076E-2</v>
      </c>
      <c r="BG160" s="1">
        <v>1.9525874915869521E-2</v>
      </c>
      <c r="BH160" s="1">
        <v>-0.1113386899200649</v>
      </c>
      <c r="BI160" s="1">
        <v>0.24254613523630342</v>
      </c>
      <c r="BJ160" s="1">
        <v>0.10560134103705783</v>
      </c>
      <c r="BK160" s="1">
        <v>2.2572354438817839E-2</v>
      </c>
      <c r="BL160" s="1">
        <v>-1.9150053112293123E-3</v>
      </c>
      <c r="BM160" s="1">
        <v>3.9524805602776908E-2</v>
      </c>
      <c r="BN160" s="1">
        <v>-2.0962009941611511E-2</v>
      </c>
      <c r="BO160" s="12">
        <v>2.2264122628809627E-2</v>
      </c>
      <c r="BP160" s="23"/>
      <c r="BQ160" s="23"/>
      <c r="BR160" s="23"/>
      <c r="BS160" s="23"/>
      <c r="BT160" s="23"/>
    </row>
    <row r="161" spans="1:72">
      <c r="A161">
        <v>7</v>
      </c>
      <c r="B161" s="11">
        <v>0</v>
      </c>
      <c r="C161" s="1">
        <v>0</v>
      </c>
      <c r="D161" s="1">
        <v>0</v>
      </c>
      <c r="E161" s="1">
        <v>0</v>
      </c>
      <c r="F161" s="1">
        <v>0</v>
      </c>
      <c r="G161" s="1">
        <v>0</v>
      </c>
      <c r="H161" s="1">
        <v>1</v>
      </c>
      <c r="I161" s="1">
        <v>0</v>
      </c>
      <c r="J161" s="1">
        <v>0</v>
      </c>
      <c r="K161" s="1">
        <v>0</v>
      </c>
      <c r="L161" s="1">
        <v>0</v>
      </c>
      <c r="M161" s="1">
        <v>0</v>
      </c>
      <c r="N161" s="1">
        <v>0</v>
      </c>
      <c r="O161" s="1">
        <v>0</v>
      </c>
      <c r="P161" s="1">
        <v>0</v>
      </c>
      <c r="Q161" s="1">
        <v>0</v>
      </c>
      <c r="R161" s="1">
        <v>0</v>
      </c>
      <c r="S161" s="1">
        <v>0</v>
      </c>
      <c r="T161" s="1">
        <v>0</v>
      </c>
      <c r="U161" s="1">
        <v>0</v>
      </c>
      <c r="V161" s="1">
        <v>0</v>
      </c>
      <c r="W161" s="1">
        <v>0</v>
      </c>
      <c r="X161" s="1">
        <v>0</v>
      </c>
      <c r="Y161" s="1">
        <v>0</v>
      </c>
      <c r="Z161" s="1">
        <v>0</v>
      </c>
      <c r="AA161" s="1">
        <v>0</v>
      </c>
      <c r="AB161" s="1">
        <v>0</v>
      </c>
      <c r="AC161" s="1">
        <v>0</v>
      </c>
      <c r="AD161" s="1">
        <v>0</v>
      </c>
      <c r="AE161" s="1">
        <v>0</v>
      </c>
      <c r="AF161" s="1">
        <v>0</v>
      </c>
      <c r="AG161" s="12">
        <v>0</v>
      </c>
      <c r="AH161" s="23"/>
      <c r="AI161" s="23">
        <v>7</v>
      </c>
      <c r="AJ161" s="11">
        <v>-4.5134827226539553E-2</v>
      </c>
      <c r="AK161" s="1">
        <v>4.8805676638165173E-2</v>
      </c>
      <c r="AL161" s="1">
        <v>1.0703624711813915E-2</v>
      </c>
      <c r="AM161" s="1">
        <v>0.13056878270181366</v>
      </c>
      <c r="AN161" s="1">
        <v>1.5170697974849781E-2</v>
      </c>
      <c r="AO161" s="1">
        <v>0.15424891825534714</v>
      </c>
      <c r="AP161" s="1">
        <v>0.4511954881529705</v>
      </c>
      <c r="AQ161" s="1">
        <v>0.13056852112552819</v>
      </c>
      <c r="AR161" s="1">
        <v>6.3893367615528635E-2</v>
      </c>
      <c r="AS161" s="1">
        <v>-3.4536451344891098E-2</v>
      </c>
      <c r="AT161" s="1">
        <v>1.3077484368901743E-2</v>
      </c>
      <c r="AU161" s="1">
        <v>-4.513486981658326E-2</v>
      </c>
      <c r="AV161" s="1">
        <v>0.23696837370363255</v>
      </c>
      <c r="AW161" s="1">
        <v>-0.11878557864542769</v>
      </c>
      <c r="AX161" s="1">
        <v>-5.7297263884951176E-2</v>
      </c>
      <c r="AY161" s="1">
        <v>1.1611373091786326E-2</v>
      </c>
      <c r="AZ161" s="1">
        <v>5.6366063908609494E-2</v>
      </c>
      <c r="BA161" s="1">
        <v>-2.2368305200978506E-3</v>
      </c>
      <c r="BB161" s="1">
        <v>-2.3753120733800089E-2</v>
      </c>
      <c r="BC161" s="1">
        <v>-4.450607831694909E-2</v>
      </c>
      <c r="BD161" s="1">
        <v>-3.7673013792403204E-3</v>
      </c>
      <c r="BE161" s="1">
        <v>7.6898601505199171E-2</v>
      </c>
      <c r="BF161" s="1">
        <v>2.0911871505661768E-2</v>
      </c>
      <c r="BG161" s="1">
        <v>7.5343670172821398E-2</v>
      </c>
      <c r="BH161" s="1">
        <v>-8.6613503740639558E-2</v>
      </c>
      <c r="BI161" s="1">
        <v>-8.2773338063802465E-2</v>
      </c>
      <c r="BJ161" s="1">
        <v>0.24101785484762453</v>
      </c>
      <c r="BK161" s="1">
        <v>0.11039174032867632</v>
      </c>
      <c r="BL161" s="1">
        <v>-1.3454604370676804E-2</v>
      </c>
      <c r="BM161" s="1">
        <v>2.2624259049995911E-2</v>
      </c>
      <c r="BN161" s="1">
        <v>2.6331271465923643E-2</v>
      </c>
      <c r="BO161" s="12">
        <v>3.9828604138652211E-3</v>
      </c>
      <c r="BP161" s="23"/>
      <c r="BQ161" s="23"/>
      <c r="BR161" s="23"/>
      <c r="BS161" s="23"/>
      <c r="BT161" s="23"/>
    </row>
    <row r="162" spans="1:72">
      <c r="A162">
        <v>8</v>
      </c>
      <c r="B162" s="11">
        <v>0</v>
      </c>
      <c r="C162" s="1">
        <v>0</v>
      </c>
      <c r="D162" s="1">
        <v>0</v>
      </c>
      <c r="E162" s="1">
        <v>0</v>
      </c>
      <c r="F162" s="1">
        <v>0</v>
      </c>
      <c r="G162" s="1">
        <v>0</v>
      </c>
      <c r="H162" s="1">
        <v>0</v>
      </c>
      <c r="I162" s="1">
        <v>1</v>
      </c>
      <c r="J162" s="1">
        <v>0</v>
      </c>
      <c r="K162" s="1">
        <v>0</v>
      </c>
      <c r="L162" s="1">
        <v>0</v>
      </c>
      <c r="M162" s="1">
        <v>0</v>
      </c>
      <c r="N162" s="1">
        <v>0</v>
      </c>
      <c r="O162" s="1">
        <v>0</v>
      </c>
      <c r="P162" s="1">
        <v>0</v>
      </c>
      <c r="Q162" s="1">
        <v>0</v>
      </c>
      <c r="R162" s="1">
        <v>0</v>
      </c>
      <c r="S162" s="1">
        <v>0</v>
      </c>
      <c r="T162" s="1">
        <v>0</v>
      </c>
      <c r="U162" s="1">
        <v>0</v>
      </c>
      <c r="V162" s="1">
        <v>0</v>
      </c>
      <c r="W162" s="1">
        <v>0</v>
      </c>
      <c r="X162" s="1">
        <v>0</v>
      </c>
      <c r="Y162" s="1">
        <v>0</v>
      </c>
      <c r="Z162" s="1">
        <v>0</v>
      </c>
      <c r="AA162" s="1">
        <v>0</v>
      </c>
      <c r="AB162" s="1">
        <v>0</v>
      </c>
      <c r="AC162" s="1">
        <v>0</v>
      </c>
      <c r="AD162" s="1">
        <v>0</v>
      </c>
      <c r="AE162" s="1">
        <v>0</v>
      </c>
      <c r="AF162" s="1">
        <v>0</v>
      </c>
      <c r="AG162" s="12">
        <v>0</v>
      </c>
      <c r="AH162" s="23"/>
      <c r="AI162" s="23">
        <v>8</v>
      </c>
      <c r="AJ162" s="11">
        <v>5.7773984779514835E-2</v>
      </c>
      <c r="AK162" s="1">
        <v>-6.1979724590693376E-3</v>
      </c>
      <c r="AL162" s="1">
        <v>-4.0995887601270264E-2</v>
      </c>
      <c r="AM162" s="1">
        <v>0.21247339091865036</v>
      </c>
      <c r="AN162" s="1">
        <v>5.6979732964373246E-2</v>
      </c>
      <c r="AO162" s="1">
        <v>-1.4819870462111515E-2</v>
      </c>
      <c r="AP162" s="1">
        <v>0.13056852112552819</v>
      </c>
      <c r="AQ162" s="1">
        <v>0.21247296525794301</v>
      </c>
      <c r="AR162" s="1">
        <v>0.14197253600675749</v>
      </c>
      <c r="AS162" s="1">
        <v>-4.6240437253701923E-2</v>
      </c>
      <c r="AT162" s="1">
        <v>-4.8940782227640763E-2</v>
      </c>
      <c r="AU162" s="1">
        <v>5.7774039296097486E-2</v>
      </c>
      <c r="AV162" s="1">
        <v>5.3520277402003574E-2</v>
      </c>
      <c r="AW162" s="1">
        <v>-1.9984929436780666E-2</v>
      </c>
      <c r="AX162" s="1">
        <v>-3.9687352222370006E-3</v>
      </c>
      <c r="AY162" s="1">
        <v>-1.4656291755304491E-3</v>
      </c>
      <c r="AZ162" s="1">
        <v>4.1976359157699736E-3</v>
      </c>
      <c r="BA162" s="1">
        <v>2.2000292548371801E-2</v>
      </c>
      <c r="BB162" s="1">
        <v>1.2204905742578319E-2</v>
      </c>
      <c r="BC162" s="1">
        <v>-3.4220794166849845E-2</v>
      </c>
      <c r="BD162" s="1">
        <v>-1.8748320774643085E-2</v>
      </c>
      <c r="BE162" s="1">
        <v>-2.5247410699240434E-2</v>
      </c>
      <c r="BF162" s="1">
        <v>-3.2210762629741825E-2</v>
      </c>
      <c r="BG162" s="1">
        <v>-5.4972915244635268E-2</v>
      </c>
      <c r="BH162" s="1">
        <v>0.21179703230657587</v>
      </c>
      <c r="BI162" s="1">
        <v>-8.0617622958315316E-2</v>
      </c>
      <c r="BJ162" s="1">
        <v>5.0379448646757488E-2</v>
      </c>
      <c r="BK162" s="1">
        <v>2.6220328622573279E-2</v>
      </c>
      <c r="BL162" s="1">
        <v>1.9739975878581648E-2</v>
      </c>
      <c r="BM162" s="1">
        <v>-3.3393787602963666E-2</v>
      </c>
      <c r="BN162" s="1">
        <v>4.6648447848041043E-2</v>
      </c>
      <c r="BO162" s="12">
        <v>-1.2998065077850493E-2</v>
      </c>
      <c r="BP162" s="23"/>
      <c r="BQ162" s="23"/>
      <c r="BR162" s="23"/>
      <c r="BS162" s="23"/>
      <c r="BT162" s="23"/>
    </row>
    <row r="163" spans="1:72">
      <c r="A163">
        <v>9</v>
      </c>
      <c r="B163" s="11">
        <v>0</v>
      </c>
      <c r="C163" s="1">
        <v>0</v>
      </c>
      <c r="D163" s="1">
        <v>0</v>
      </c>
      <c r="E163" s="1">
        <v>0</v>
      </c>
      <c r="F163" s="1">
        <v>0</v>
      </c>
      <c r="G163" s="1">
        <v>0</v>
      </c>
      <c r="H163" s="1">
        <v>0</v>
      </c>
      <c r="I163" s="1">
        <v>0</v>
      </c>
      <c r="J163" s="1">
        <v>1</v>
      </c>
      <c r="K163" s="1">
        <v>0</v>
      </c>
      <c r="L163" s="1">
        <v>0</v>
      </c>
      <c r="M163" s="1">
        <v>0</v>
      </c>
      <c r="N163" s="1">
        <v>0</v>
      </c>
      <c r="O163" s="1">
        <v>0</v>
      </c>
      <c r="P163" s="1">
        <v>0</v>
      </c>
      <c r="Q163" s="1">
        <v>0</v>
      </c>
      <c r="R163" s="1">
        <v>0</v>
      </c>
      <c r="S163" s="1">
        <v>0</v>
      </c>
      <c r="T163" s="1">
        <v>0</v>
      </c>
      <c r="U163" s="1">
        <v>0</v>
      </c>
      <c r="V163" s="1">
        <v>0</v>
      </c>
      <c r="W163" s="1">
        <v>0</v>
      </c>
      <c r="X163" s="1">
        <v>0</v>
      </c>
      <c r="Y163" s="1">
        <v>0</v>
      </c>
      <c r="Z163" s="1">
        <v>0</v>
      </c>
      <c r="AA163" s="1">
        <v>0</v>
      </c>
      <c r="AB163" s="1">
        <v>0</v>
      </c>
      <c r="AC163" s="1">
        <v>0</v>
      </c>
      <c r="AD163" s="1">
        <v>0</v>
      </c>
      <c r="AE163" s="1">
        <v>0</v>
      </c>
      <c r="AF163" s="1">
        <v>0</v>
      </c>
      <c r="AG163" s="12">
        <v>0</v>
      </c>
      <c r="AH163" s="23"/>
      <c r="AI163" s="23">
        <v>9</v>
      </c>
      <c r="AJ163" s="11">
        <v>4.5857572238886701E-2</v>
      </c>
      <c r="AK163" s="1">
        <v>0.10131377284724789</v>
      </c>
      <c r="AL163" s="1">
        <v>0.17693811395443368</v>
      </c>
      <c r="AM163" s="1">
        <v>0.14197282042943701</v>
      </c>
      <c r="AN163" s="1">
        <v>5.1753213685698837E-2</v>
      </c>
      <c r="AO163" s="1">
        <v>-2.758791408413161E-2</v>
      </c>
      <c r="AP163" s="1">
        <v>6.3893367615528648E-2</v>
      </c>
      <c r="AQ163" s="1">
        <v>0.14197253600675747</v>
      </c>
      <c r="AR163" s="1">
        <v>0.29732254356253718</v>
      </c>
      <c r="AS163" s="1">
        <v>-3.5748160530247763E-2</v>
      </c>
      <c r="AT163" s="1">
        <v>-3.199067605764664E-2</v>
      </c>
      <c r="AU163" s="1">
        <v>4.5857615510925806E-2</v>
      </c>
      <c r="AV163" s="1">
        <v>1.4985683961654915E-2</v>
      </c>
      <c r="AW163" s="1">
        <v>-3.7690144101483747E-3</v>
      </c>
      <c r="AX163" s="1">
        <v>7.4700734913412947E-3</v>
      </c>
      <c r="AY163" s="1">
        <v>-1.3556311962581825E-2</v>
      </c>
      <c r="AZ163" s="1">
        <v>4.8534558770540213E-2</v>
      </c>
      <c r="BA163" s="1">
        <v>3.0510750864463459E-2</v>
      </c>
      <c r="BB163" s="1">
        <v>0.16120153251176172</v>
      </c>
      <c r="BC163" s="1">
        <v>8.2732396587148718E-2</v>
      </c>
      <c r="BD163" s="1">
        <v>-2.7604325292365388E-2</v>
      </c>
      <c r="BE163" s="1">
        <v>-4.5183588201321755E-2</v>
      </c>
      <c r="BF163" s="1">
        <v>-7.1294522844028818E-2</v>
      </c>
      <c r="BG163" s="1">
        <v>6.5093433086074237E-2</v>
      </c>
      <c r="BH163" s="1">
        <v>0.14546176172767755</v>
      </c>
      <c r="BI163" s="1">
        <v>-6.6472758476035898E-2</v>
      </c>
      <c r="BJ163" s="1">
        <v>-8.5559187990643867E-2</v>
      </c>
      <c r="BK163" s="1">
        <v>4.1372030838680754E-2</v>
      </c>
      <c r="BL163" s="1">
        <v>-7.9707230058804243E-2</v>
      </c>
      <c r="BM163" s="1">
        <v>0.14469793135288736</v>
      </c>
      <c r="BN163" s="1">
        <v>-2.6406969515921332E-2</v>
      </c>
      <c r="BO163" s="12">
        <v>-4.1132337341756156E-2</v>
      </c>
      <c r="BP163" s="23"/>
      <c r="BQ163" s="23"/>
      <c r="BR163" s="23"/>
      <c r="BS163" s="23"/>
      <c r="BT163" s="23"/>
    </row>
    <row r="164" spans="1:72">
      <c r="A164">
        <v>10</v>
      </c>
      <c r="B164" s="11">
        <v>0</v>
      </c>
      <c r="C164" s="1">
        <v>0</v>
      </c>
      <c r="D164" s="1">
        <v>0</v>
      </c>
      <c r="E164" s="1">
        <v>0</v>
      </c>
      <c r="F164" s="1">
        <v>0</v>
      </c>
      <c r="G164" s="1">
        <v>0</v>
      </c>
      <c r="H164" s="1">
        <v>0</v>
      </c>
      <c r="I164" s="1">
        <v>0</v>
      </c>
      <c r="J164" s="1">
        <v>0</v>
      </c>
      <c r="K164" s="1">
        <v>1</v>
      </c>
      <c r="L164" s="1">
        <v>0</v>
      </c>
      <c r="M164" s="1">
        <v>0</v>
      </c>
      <c r="N164" s="1">
        <v>0</v>
      </c>
      <c r="O164" s="1">
        <v>0</v>
      </c>
      <c r="P164" s="1">
        <v>0</v>
      </c>
      <c r="Q164" s="1">
        <v>0</v>
      </c>
      <c r="R164" s="1">
        <v>0</v>
      </c>
      <c r="S164" s="1">
        <v>0</v>
      </c>
      <c r="T164" s="1">
        <v>0</v>
      </c>
      <c r="U164" s="1">
        <v>0</v>
      </c>
      <c r="V164" s="1">
        <v>0</v>
      </c>
      <c r="W164" s="1">
        <v>0</v>
      </c>
      <c r="X164" s="1">
        <v>0</v>
      </c>
      <c r="Y164" s="1">
        <v>0</v>
      </c>
      <c r="Z164" s="1">
        <v>0</v>
      </c>
      <c r="AA164" s="1">
        <v>0</v>
      </c>
      <c r="AB164" s="1">
        <v>0</v>
      </c>
      <c r="AC164" s="1">
        <v>0</v>
      </c>
      <c r="AD164" s="1">
        <v>0</v>
      </c>
      <c r="AE164" s="1">
        <v>0</v>
      </c>
      <c r="AF164" s="1">
        <v>0</v>
      </c>
      <c r="AG164" s="12">
        <v>0</v>
      </c>
      <c r="AH164" s="23"/>
      <c r="AI164" s="23">
        <v>10</v>
      </c>
      <c r="AJ164" s="11">
        <v>9.2477920432634794E-2</v>
      </c>
      <c r="AK164" s="1">
        <v>-8.8667551359342279E-3</v>
      </c>
      <c r="AL164" s="1">
        <v>5.0269417841416492E-3</v>
      </c>
      <c r="AM164" s="1">
        <v>-4.6240529890133109E-2</v>
      </c>
      <c r="AN164" s="1">
        <v>-1.3748925918346713E-2</v>
      </c>
      <c r="AO164" s="1">
        <v>5.4130907294335437E-3</v>
      </c>
      <c r="AP164" s="1">
        <v>-3.453645134489107E-2</v>
      </c>
      <c r="AQ164" s="1">
        <v>-4.6240437253701902E-2</v>
      </c>
      <c r="AR164" s="1">
        <v>-3.5748160530247701E-2</v>
      </c>
      <c r="AS164" s="1">
        <v>0.34784694273118261</v>
      </c>
      <c r="AT164" s="1">
        <v>0.24947664558458477</v>
      </c>
      <c r="AU164" s="1">
        <v>9.2478007696482081E-2</v>
      </c>
      <c r="AV164" s="1">
        <v>9.9850415149274757E-2</v>
      </c>
      <c r="AW164" s="1">
        <v>0.11559994123176211</v>
      </c>
      <c r="AX164" s="1">
        <v>4.853705201903781E-2</v>
      </c>
      <c r="AY164" s="1">
        <v>-2.0387466938082258E-2</v>
      </c>
      <c r="AZ164" s="1">
        <v>-2.7594196306323066E-2</v>
      </c>
      <c r="BA164" s="1">
        <v>-1.0824708876946306E-2</v>
      </c>
      <c r="BB164" s="1">
        <v>-2.5302793977023163E-3</v>
      </c>
      <c r="BC164" s="1">
        <v>2.0235148514821432E-3</v>
      </c>
      <c r="BD164" s="1">
        <v>0.28603848410381327</v>
      </c>
      <c r="BE164" s="1">
        <v>-6.4310019439774019E-2</v>
      </c>
      <c r="BF164" s="1">
        <v>-1.8389020352790768E-2</v>
      </c>
      <c r="BG164" s="1">
        <v>-4.9842580198395971E-3</v>
      </c>
      <c r="BH164" s="1">
        <v>-4.1208353054777783E-2</v>
      </c>
      <c r="BI164" s="1">
        <v>-0.15714683323663112</v>
      </c>
      <c r="BJ164" s="1">
        <v>-4.8042674631492005E-3</v>
      </c>
      <c r="BK164" s="1">
        <v>-1.5947269586146874E-2</v>
      </c>
      <c r="BL164" s="1">
        <v>-3.7860641879791275E-3</v>
      </c>
      <c r="BM164" s="1">
        <v>1.5623225103463888E-2</v>
      </c>
      <c r="BN164" s="1">
        <v>-1.3813726463616859E-2</v>
      </c>
      <c r="BO164" s="12">
        <v>-2.5450760882092544E-3</v>
      </c>
      <c r="BP164" s="23"/>
      <c r="BQ164" s="23"/>
      <c r="BR164" s="23"/>
      <c r="BS164" s="23"/>
      <c r="BT164" s="23"/>
    </row>
    <row r="165" spans="1:72">
      <c r="A165">
        <v>11</v>
      </c>
      <c r="B165" s="11">
        <v>0</v>
      </c>
      <c r="C165" s="1">
        <v>0</v>
      </c>
      <c r="D165" s="1">
        <v>0</v>
      </c>
      <c r="E165" s="1">
        <v>0</v>
      </c>
      <c r="F165" s="1">
        <v>0</v>
      </c>
      <c r="G165" s="1">
        <v>0</v>
      </c>
      <c r="H165" s="1">
        <v>0</v>
      </c>
      <c r="I165" s="1">
        <v>0</v>
      </c>
      <c r="J165" s="1">
        <v>0</v>
      </c>
      <c r="K165" s="1">
        <v>0</v>
      </c>
      <c r="L165" s="1">
        <v>1</v>
      </c>
      <c r="M165" s="1">
        <v>0</v>
      </c>
      <c r="N165" s="1">
        <v>0</v>
      </c>
      <c r="O165" s="1">
        <v>0</v>
      </c>
      <c r="P165" s="1">
        <v>0</v>
      </c>
      <c r="Q165" s="1">
        <v>0</v>
      </c>
      <c r="R165" s="1">
        <v>0</v>
      </c>
      <c r="S165" s="1">
        <v>0</v>
      </c>
      <c r="T165" s="1">
        <v>0</v>
      </c>
      <c r="U165" s="1">
        <v>0</v>
      </c>
      <c r="V165" s="1">
        <v>0</v>
      </c>
      <c r="W165" s="1">
        <v>0</v>
      </c>
      <c r="X165" s="1">
        <v>0</v>
      </c>
      <c r="Y165" s="1">
        <v>0</v>
      </c>
      <c r="Z165" s="1">
        <v>0</v>
      </c>
      <c r="AA165" s="1">
        <v>0</v>
      </c>
      <c r="AB165" s="1">
        <v>0</v>
      </c>
      <c r="AC165" s="1">
        <v>0</v>
      </c>
      <c r="AD165" s="1">
        <v>0</v>
      </c>
      <c r="AE165" s="1">
        <v>0</v>
      </c>
      <c r="AF165" s="1">
        <v>0</v>
      </c>
      <c r="AG165" s="12">
        <v>0</v>
      </c>
      <c r="AH165" s="23"/>
      <c r="AI165" s="23">
        <v>11</v>
      </c>
      <c r="AJ165" s="11">
        <v>0.21393519860375831</v>
      </c>
      <c r="AK165" s="1">
        <v>5.4874709940366667E-3</v>
      </c>
      <c r="AL165" s="1">
        <v>2.5432875224263046E-2</v>
      </c>
      <c r="AM165" s="1">
        <v>-4.8940880273846098E-2</v>
      </c>
      <c r="AN165" s="1">
        <v>-8.6706755338438968E-2</v>
      </c>
      <c r="AO165" s="1">
        <v>0.13414207914192239</v>
      </c>
      <c r="AP165" s="1">
        <v>1.307748436890176E-2</v>
      </c>
      <c r="AQ165" s="1">
        <v>-4.8940782227640728E-2</v>
      </c>
      <c r="AR165" s="1">
        <v>-3.1990676057646619E-2</v>
      </c>
      <c r="AS165" s="1">
        <v>0.24947664558458488</v>
      </c>
      <c r="AT165" s="1">
        <v>0.48166291459642513</v>
      </c>
      <c r="AU165" s="1">
        <v>0.2139354004769019</v>
      </c>
      <c r="AV165" s="1">
        <v>-7.4290236018804884E-2</v>
      </c>
      <c r="AW165" s="1">
        <v>-1.7718011707477055E-2</v>
      </c>
      <c r="AX165" s="1">
        <v>-1.9527288970073511E-2</v>
      </c>
      <c r="AY165" s="1">
        <v>8.0398479351527843E-3</v>
      </c>
      <c r="AZ165" s="1">
        <v>3.684414313008047E-3</v>
      </c>
      <c r="BA165" s="1">
        <v>-3.7636396492639571E-2</v>
      </c>
      <c r="BB165" s="1">
        <v>-6.0044641020561604E-2</v>
      </c>
      <c r="BC165" s="1">
        <v>1.3921961848076623E-2</v>
      </c>
      <c r="BD165" s="1">
        <v>-5.1437165027522838E-2</v>
      </c>
      <c r="BE165" s="1">
        <v>7.059451571424262E-2</v>
      </c>
      <c r="BF165" s="1">
        <v>6.6396981629770493E-2</v>
      </c>
      <c r="BG165" s="1">
        <v>9.1776405242161796E-2</v>
      </c>
      <c r="BH165" s="1">
        <v>-1.8359531218653198E-2</v>
      </c>
      <c r="BI165" s="1">
        <v>-0.15897120633999895</v>
      </c>
      <c r="BJ165" s="1">
        <v>3.8395104924702383E-2</v>
      </c>
      <c r="BK165" s="1">
        <v>-5.3817164297007593E-3</v>
      </c>
      <c r="BL165" s="1">
        <v>-1.5953359766997063E-2</v>
      </c>
      <c r="BM165" s="1">
        <v>2.7186005007658387E-2</v>
      </c>
      <c r="BN165" s="1">
        <v>-5.2396427278753301E-2</v>
      </c>
      <c r="BO165" s="12">
        <v>2.9908960716225175E-2</v>
      </c>
      <c r="BP165" s="23"/>
      <c r="BQ165" s="23"/>
      <c r="BR165" s="23"/>
      <c r="BS165" s="23"/>
      <c r="BT165" s="23"/>
    </row>
    <row r="166" spans="1:72">
      <c r="A166">
        <v>12</v>
      </c>
      <c r="B166" s="11">
        <v>0</v>
      </c>
      <c r="C166" s="1">
        <v>0</v>
      </c>
      <c r="D166" s="1">
        <v>0</v>
      </c>
      <c r="E166" s="1">
        <v>0</v>
      </c>
      <c r="F166" s="1">
        <v>0</v>
      </c>
      <c r="G166" s="1">
        <v>0</v>
      </c>
      <c r="H166" s="1">
        <v>0</v>
      </c>
      <c r="I166" s="1">
        <v>0</v>
      </c>
      <c r="J166" s="1">
        <v>0</v>
      </c>
      <c r="K166" s="1">
        <v>0</v>
      </c>
      <c r="L166" s="1">
        <v>0</v>
      </c>
      <c r="M166" s="1">
        <v>1</v>
      </c>
      <c r="N166" s="1">
        <v>0</v>
      </c>
      <c r="O166" s="1">
        <v>0</v>
      </c>
      <c r="P166" s="1">
        <v>0</v>
      </c>
      <c r="Q166" s="1">
        <v>0</v>
      </c>
      <c r="R166" s="1">
        <v>0</v>
      </c>
      <c r="S166" s="1">
        <v>0</v>
      </c>
      <c r="T166" s="1">
        <v>0</v>
      </c>
      <c r="U166" s="1">
        <v>0</v>
      </c>
      <c r="V166" s="1">
        <v>0</v>
      </c>
      <c r="W166" s="1">
        <v>0</v>
      </c>
      <c r="X166" s="1">
        <v>0</v>
      </c>
      <c r="Y166" s="1">
        <v>0</v>
      </c>
      <c r="Z166" s="1">
        <v>0</v>
      </c>
      <c r="AA166" s="1">
        <v>0</v>
      </c>
      <c r="AB166" s="1">
        <v>0</v>
      </c>
      <c r="AC166" s="1">
        <v>0</v>
      </c>
      <c r="AD166" s="1">
        <v>0</v>
      </c>
      <c r="AE166" s="1">
        <v>0</v>
      </c>
      <c r="AF166" s="1">
        <v>0</v>
      </c>
      <c r="AG166" s="12">
        <v>0</v>
      </c>
      <c r="AH166" s="23"/>
      <c r="AI166" s="23">
        <v>12</v>
      </c>
      <c r="AJ166" s="11">
        <v>0.26820176396043482</v>
      </c>
      <c r="AK166" s="1">
        <v>-4.2334881840608504E-3</v>
      </c>
      <c r="AL166" s="1">
        <v>-2.457568899329074E-2</v>
      </c>
      <c r="AM166" s="1">
        <v>5.7774155038532865E-2</v>
      </c>
      <c r="AN166" s="1">
        <v>6.952334623628198E-2</v>
      </c>
      <c r="AO166" s="1">
        <v>0.13918555236680291</v>
      </c>
      <c r="AP166" s="1">
        <v>-4.513486981658326E-2</v>
      </c>
      <c r="AQ166" s="1">
        <v>5.7774039296097514E-2</v>
      </c>
      <c r="AR166" s="1">
        <v>4.5857615510925792E-2</v>
      </c>
      <c r="AS166" s="1">
        <v>9.2478007696482054E-2</v>
      </c>
      <c r="AT166" s="1">
        <v>0.21393540047690185</v>
      </c>
      <c r="AU166" s="1">
        <v>0.26820201704049634</v>
      </c>
      <c r="AV166" s="1">
        <v>-3.0691620014204519E-2</v>
      </c>
      <c r="AW166" s="1">
        <v>-1.5146159237608562E-2</v>
      </c>
      <c r="AX166" s="1">
        <v>8.5840505816932519E-3</v>
      </c>
      <c r="AY166" s="1">
        <v>8.366940408020121E-3</v>
      </c>
      <c r="AZ166" s="1">
        <v>9.7503215937190316E-3</v>
      </c>
      <c r="BA166" s="1">
        <v>2.7821837506433751E-2</v>
      </c>
      <c r="BB166" s="1">
        <v>4.5645946505746868E-2</v>
      </c>
      <c r="BC166" s="1">
        <v>-3.5602016937543064E-3</v>
      </c>
      <c r="BD166" s="1">
        <v>-5.0967197678769921E-2</v>
      </c>
      <c r="BE166" s="1">
        <v>-1.2138031329654277E-2</v>
      </c>
      <c r="BF166" s="1">
        <v>-3.0626542483061694E-2</v>
      </c>
      <c r="BG166" s="1">
        <v>-6.8041497626470673E-2</v>
      </c>
      <c r="BH166" s="1">
        <v>6.5898446622730408E-2</v>
      </c>
      <c r="BI166" s="1">
        <v>9.5874822495226136E-2</v>
      </c>
      <c r="BJ166" s="1">
        <v>-5.9071400345743486E-2</v>
      </c>
      <c r="BK166" s="1">
        <v>2.9287661620036633E-3</v>
      </c>
      <c r="BL166" s="1">
        <v>1.3254157477119229E-2</v>
      </c>
      <c r="BM166" s="1">
        <v>-3.8153526589928703E-2</v>
      </c>
      <c r="BN166" s="1">
        <v>4.8873781021066327E-2</v>
      </c>
      <c r="BO166" s="12">
        <v>-2.6973200117812006E-2</v>
      </c>
      <c r="BP166" s="23"/>
      <c r="BQ166" s="23"/>
      <c r="BR166" s="23"/>
      <c r="BS166" s="23"/>
      <c r="BT166" s="23"/>
    </row>
    <row r="167" spans="1:72">
      <c r="A167">
        <v>13</v>
      </c>
      <c r="B167" s="11">
        <v>0</v>
      </c>
      <c r="C167" s="1">
        <v>0</v>
      </c>
      <c r="D167" s="1">
        <v>0</v>
      </c>
      <c r="E167" s="1">
        <v>0</v>
      </c>
      <c r="F167" s="1">
        <v>0</v>
      </c>
      <c r="G167" s="1">
        <v>0</v>
      </c>
      <c r="H167" s="1">
        <v>0</v>
      </c>
      <c r="I167" s="1">
        <v>0</v>
      </c>
      <c r="J167" s="1">
        <v>0</v>
      </c>
      <c r="K167" s="1">
        <v>0</v>
      </c>
      <c r="L167" s="1">
        <v>0</v>
      </c>
      <c r="M167" s="1">
        <v>0</v>
      </c>
      <c r="N167" s="1">
        <v>1</v>
      </c>
      <c r="O167" s="1">
        <v>0</v>
      </c>
      <c r="P167" s="1">
        <v>0</v>
      </c>
      <c r="Q167" s="1">
        <v>0</v>
      </c>
      <c r="R167" s="1">
        <v>0</v>
      </c>
      <c r="S167" s="1">
        <v>0</v>
      </c>
      <c r="T167" s="1">
        <v>0</v>
      </c>
      <c r="U167" s="1">
        <v>0</v>
      </c>
      <c r="V167" s="1">
        <v>0</v>
      </c>
      <c r="W167" s="1">
        <v>0</v>
      </c>
      <c r="X167" s="1">
        <v>0</v>
      </c>
      <c r="Y167" s="1">
        <v>0</v>
      </c>
      <c r="Z167" s="1">
        <v>0</v>
      </c>
      <c r="AA167" s="1">
        <v>0</v>
      </c>
      <c r="AB167" s="1">
        <v>0</v>
      </c>
      <c r="AC167" s="1">
        <v>0</v>
      </c>
      <c r="AD167" s="1">
        <v>0</v>
      </c>
      <c r="AE167" s="1">
        <v>0</v>
      </c>
      <c r="AF167" s="1">
        <v>0</v>
      </c>
      <c r="AG167" s="12">
        <v>0</v>
      </c>
      <c r="AH167" s="23"/>
      <c r="AI167" s="23">
        <v>13</v>
      </c>
      <c r="AJ167" s="11">
        <v>-3.0691591053061119E-2</v>
      </c>
      <c r="AK167" s="1">
        <v>1.4095981405088366E-2</v>
      </c>
      <c r="AL167" s="1">
        <v>-4.6452807698789313E-4</v>
      </c>
      <c r="AM167" s="1">
        <v>5.3520384622604944E-2</v>
      </c>
      <c r="AN167" s="1">
        <v>2.5351211485572039E-2</v>
      </c>
      <c r="AO167" s="1">
        <v>0.12693235216441995</v>
      </c>
      <c r="AP167" s="1">
        <v>0.2369683737036325</v>
      </c>
      <c r="AQ167" s="1">
        <v>5.3520277402003553E-2</v>
      </c>
      <c r="AR167" s="1">
        <v>1.4985683961654873E-2</v>
      </c>
      <c r="AS167" s="1">
        <v>9.9850415149274646E-2</v>
      </c>
      <c r="AT167" s="1">
        <v>-7.4290236018804912E-2</v>
      </c>
      <c r="AU167" s="1">
        <v>-3.0691620014204508E-2</v>
      </c>
      <c r="AV167" s="1">
        <v>0.44325341891885928</v>
      </c>
      <c r="AW167" s="1">
        <v>0.27315975899233624</v>
      </c>
      <c r="AX167" s="1">
        <v>0.13403405188699208</v>
      </c>
      <c r="AY167" s="1">
        <v>-2.8790102207670729E-2</v>
      </c>
      <c r="AZ167" s="1">
        <v>-1.2549551055206698E-2</v>
      </c>
      <c r="BA167" s="1">
        <v>-2.8394076792196164E-2</v>
      </c>
      <c r="BB167" s="1">
        <v>-4.0329757620450192E-4</v>
      </c>
      <c r="BC167" s="1">
        <v>-2.6421311531816767E-2</v>
      </c>
      <c r="BD167" s="1">
        <v>9.1137284359708109E-2</v>
      </c>
      <c r="BE167" s="1">
        <v>-8.7628287948736519E-2</v>
      </c>
      <c r="BF167" s="1">
        <v>-2.7317562999828893E-2</v>
      </c>
      <c r="BG167" s="1">
        <v>1.331065505034182E-2</v>
      </c>
      <c r="BH167" s="1">
        <v>-8.3010890449776692E-2</v>
      </c>
      <c r="BI167" s="1">
        <v>9.3508801988292187E-2</v>
      </c>
      <c r="BJ167" s="1">
        <v>0.12670493057938426</v>
      </c>
      <c r="BK167" s="1">
        <v>5.7226427028376242E-2</v>
      </c>
      <c r="BL167" s="1">
        <v>-1.7792395535039033E-2</v>
      </c>
      <c r="BM167" s="1">
        <v>1.4771947749281146E-2</v>
      </c>
      <c r="BN167" s="1">
        <v>3.5414638187854633E-2</v>
      </c>
      <c r="BO167" s="12">
        <v>-4.0160161463694985E-2</v>
      </c>
      <c r="BP167" s="23"/>
      <c r="BQ167" s="23"/>
      <c r="BR167" s="23"/>
      <c r="BS167" s="23"/>
      <c r="BT167" s="23"/>
    </row>
    <row r="168" spans="1:72">
      <c r="A168">
        <v>14</v>
      </c>
      <c r="B168" s="11">
        <v>0</v>
      </c>
      <c r="C168" s="1">
        <v>0</v>
      </c>
      <c r="D168" s="1">
        <v>0</v>
      </c>
      <c r="E168" s="1">
        <v>0</v>
      </c>
      <c r="F168" s="1">
        <v>0</v>
      </c>
      <c r="G168" s="1">
        <v>0</v>
      </c>
      <c r="H168" s="1">
        <v>0</v>
      </c>
      <c r="I168" s="1">
        <v>0</v>
      </c>
      <c r="J168" s="1">
        <v>0</v>
      </c>
      <c r="K168" s="1">
        <v>0</v>
      </c>
      <c r="L168" s="1">
        <v>0</v>
      </c>
      <c r="M168" s="1">
        <v>0</v>
      </c>
      <c r="N168" s="1">
        <v>0</v>
      </c>
      <c r="O168" s="1">
        <v>1</v>
      </c>
      <c r="P168" s="1">
        <v>0</v>
      </c>
      <c r="Q168" s="1">
        <v>0</v>
      </c>
      <c r="R168" s="1">
        <v>0</v>
      </c>
      <c r="S168" s="1">
        <v>0</v>
      </c>
      <c r="T168" s="1">
        <v>0</v>
      </c>
      <c r="U168" s="1">
        <v>0</v>
      </c>
      <c r="V168" s="1">
        <v>0</v>
      </c>
      <c r="W168" s="1">
        <v>0</v>
      </c>
      <c r="X168" s="1">
        <v>0</v>
      </c>
      <c r="Y168" s="1">
        <v>0</v>
      </c>
      <c r="Z168" s="1">
        <v>0</v>
      </c>
      <c r="AA168" s="1">
        <v>0</v>
      </c>
      <c r="AB168" s="1">
        <v>0</v>
      </c>
      <c r="AC168" s="1">
        <v>0</v>
      </c>
      <c r="AD168" s="1">
        <v>0</v>
      </c>
      <c r="AE168" s="1">
        <v>0</v>
      </c>
      <c r="AF168" s="1">
        <v>0</v>
      </c>
      <c r="AG168" s="12">
        <v>0</v>
      </c>
      <c r="AH168" s="23"/>
      <c r="AI168" s="23">
        <v>14</v>
      </c>
      <c r="AJ168" s="11">
        <v>-1.5146144945430748E-2</v>
      </c>
      <c r="AK168" s="1">
        <v>-1.9826175507856727E-2</v>
      </c>
      <c r="AL168" s="1">
        <v>-3.5106491408029121E-3</v>
      </c>
      <c r="AM168" s="1">
        <v>-1.9984969473870448E-2</v>
      </c>
      <c r="AN168" s="1">
        <v>-4.247349388827415E-2</v>
      </c>
      <c r="AO168" s="1">
        <v>-6.1316749471912763E-2</v>
      </c>
      <c r="AP168" s="1">
        <v>-0.1187855786454276</v>
      </c>
      <c r="AQ168" s="1">
        <v>-1.9984929436780645E-2</v>
      </c>
      <c r="AR168" s="1">
        <v>-3.769014410148399E-3</v>
      </c>
      <c r="AS168" s="1">
        <v>0.11559994123176193</v>
      </c>
      <c r="AT168" s="1">
        <v>-1.7718011707477062E-2</v>
      </c>
      <c r="AU168" s="1">
        <v>-1.5146159237608529E-2</v>
      </c>
      <c r="AV168" s="1">
        <v>0.27315975899233619</v>
      </c>
      <c r="AW168" s="1">
        <v>0.56631528468932546</v>
      </c>
      <c r="AX168" s="1">
        <v>0.29059067194423671</v>
      </c>
      <c r="AY168" s="1">
        <v>-1.5905997323799673E-2</v>
      </c>
      <c r="AZ168" s="1">
        <v>-4.2956832314152302E-2</v>
      </c>
      <c r="BA168" s="1">
        <v>-9.4993016306320302E-2</v>
      </c>
      <c r="BB168" s="1">
        <v>-3.5795061281782239E-2</v>
      </c>
      <c r="BC168" s="1">
        <v>3.2391196168688165E-2</v>
      </c>
      <c r="BD168" s="1">
        <v>-0.11566142155005121</v>
      </c>
      <c r="BE168" s="1">
        <v>-5.5116472026089706E-2</v>
      </c>
      <c r="BF168" s="1">
        <v>5.3220076390876662E-2</v>
      </c>
      <c r="BG168" s="1">
        <v>4.2892836197602757E-2</v>
      </c>
      <c r="BH168" s="1">
        <v>7.5735384748410212E-2</v>
      </c>
      <c r="BI168" s="1">
        <v>-1.0704037607486838E-3</v>
      </c>
      <c r="BJ168" s="1">
        <v>-6.6637299852520343E-2</v>
      </c>
      <c r="BK168" s="1">
        <v>-1.5544224738294162E-2</v>
      </c>
      <c r="BL168" s="1">
        <v>-3.3436966267759494E-2</v>
      </c>
      <c r="BM168" s="1">
        <v>-2.3343965902590406E-2</v>
      </c>
      <c r="BN168" s="1">
        <v>1.7569033181584613E-2</v>
      </c>
      <c r="BO168" s="12">
        <v>-6.7705648589313439E-2</v>
      </c>
      <c r="BP168" s="23"/>
      <c r="BQ168" s="23"/>
      <c r="BR168" s="23"/>
      <c r="BS168" s="23"/>
      <c r="BT168" s="23"/>
    </row>
    <row r="169" spans="1:72">
      <c r="A169">
        <v>15</v>
      </c>
      <c r="B169" s="11">
        <v>0</v>
      </c>
      <c r="C169" s="1">
        <v>0</v>
      </c>
      <c r="D169" s="1">
        <v>0</v>
      </c>
      <c r="E169" s="1">
        <v>0</v>
      </c>
      <c r="F169" s="1">
        <v>0</v>
      </c>
      <c r="G169" s="1">
        <v>0</v>
      </c>
      <c r="H169" s="1">
        <v>0</v>
      </c>
      <c r="I169" s="1">
        <v>0</v>
      </c>
      <c r="J169" s="1">
        <v>0</v>
      </c>
      <c r="K169" s="1">
        <v>0</v>
      </c>
      <c r="L169" s="1">
        <v>0</v>
      </c>
      <c r="M169" s="1">
        <v>0</v>
      </c>
      <c r="N169" s="1">
        <v>0</v>
      </c>
      <c r="O169" s="1">
        <v>0</v>
      </c>
      <c r="P169" s="1">
        <v>1</v>
      </c>
      <c r="Q169" s="1">
        <v>0</v>
      </c>
      <c r="R169" s="1">
        <v>0</v>
      </c>
      <c r="S169" s="1">
        <v>0</v>
      </c>
      <c r="T169" s="1">
        <v>0</v>
      </c>
      <c r="U169" s="1">
        <v>0</v>
      </c>
      <c r="V169" s="1">
        <v>0</v>
      </c>
      <c r="W169" s="1">
        <v>0</v>
      </c>
      <c r="X169" s="1">
        <v>0</v>
      </c>
      <c r="Y169" s="1">
        <v>0</v>
      </c>
      <c r="Z169" s="1">
        <v>0</v>
      </c>
      <c r="AA169" s="1">
        <v>0</v>
      </c>
      <c r="AB169" s="1">
        <v>0</v>
      </c>
      <c r="AC169" s="1">
        <v>0</v>
      </c>
      <c r="AD169" s="1">
        <v>0</v>
      </c>
      <c r="AE169" s="1">
        <v>0</v>
      </c>
      <c r="AF169" s="1">
        <v>0</v>
      </c>
      <c r="AG169" s="12">
        <v>0</v>
      </c>
      <c r="AH169" s="23"/>
      <c r="AI169" s="23">
        <v>15</v>
      </c>
      <c r="AJ169" s="11">
        <v>8.5840424816347044E-3</v>
      </c>
      <c r="AK169" s="1">
        <v>1.8584411486547298E-2</v>
      </c>
      <c r="AL169" s="1">
        <v>3.1317769474443341E-3</v>
      </c>
      <c r="AM169" s="1">
        <v>-3.9687431730585157E-3</v>
      </c>
      <c r="AN169" s="1">
        <v>4.2292700361958591E-2</v>
      </c>
      <c r="AO169" s="1">
        <v>-4.5862694625681495E-2</v>
      </c>
      <c r="AP169" s="1">
        <v>-5.7297263884951113E-2</v>
      </c>
      <c r="AQ169" s="1">
        <v>-3.9687352222369451E-3</v>
      </c>
      <c r="AR169" s="1">
        <v>7.4700734913412878E-3</v>
      </c>
      <c r="AS169" s="1">
        <v>4.8537052019037789E-2</v>
      </c>
      <c r="AT169" s="1">
        <v>-1.9527288970073484E-2</v>
      </c>
      <c r="AU169" s="1">
        <v>8.5840505816932797E-3</v>
      </c>
      <c r="AV169" s="1">
        <v>0.134034051886992</v>
      </c>
      <c r="AW169" s="1">
        <v>0.2905906719442366</v>
      </c>
      <c r="AX169" s="1">
        <v>0.41159939731807366</v>
      </c>
      <c r="AY169" s="1">
        <v>6.3386850863128896E-2</v>
      </c>
      <c r="AZ169" s="1">
        <v>8.9458957513759763E-2</v>
      </c>
      <c r="BA169" s="1">
        <v>0.17373383582724178</v>
      </c>
      <c r="BB169" s="1">
        <v>5.3936114860412429E-2</v>
      </c>
      <c r="BC169" s="1">
        <v>-2.0667449943021516E-2</v>
      </c>
      <c r="BD169" s="1">
        <v>-6.7528227412027575E-2</v>
      </c>
      <c r="BE169" s="1">
        <v>0.20383167370049193</v>
      </c>
      <c r="BF169" s="1">
        <v>-4.0073151935292817E-2</v>
      </c>
      <c r="BG169" s="1">
        <v>-7.4088931270217151E-2</v>
      </c>
      <c r="BH169" s="1">
        <v>-3.456667753064635E-3</v>
      </c>
      <c r="BI169" s="1">
        <v>-1.8684695329889756E-2</v>
      </c>
      <c r="BJ169" s="1">
        <v>-3.2815420443942783E-2</v>
      </c>
      <c r="BK169" s="1">
        <v>-2.9273048934328617E-2</v>
      </c>
      <c r="BL169" s="1">
        <v>6.929497112414762E-2</v>
      </c>
      <c r="BM169" s="1">
        <v>1.0932095591361338E-2</v>
      </c>
      <c r="BN169" s="1">
        <v>-5.5868934609491341E-2</v>
      </c>
      <c r="BO169" s="12">
        <v>0.14210842685275332</v>
      </c>
      <c r="BP169" s="23"/>
      <c r="BQ169" s="23"/>
      <c r="BR169" s="23"/>
      <c r="BS169" s="23"/>
      <c r="BT169" s="23"/>
    </row>
    <row r="170" spans="1:72">
      <c r="A170">
        <v>16</v>
      </c>
      <c r="B170" s="11">
        <v>0</v>
      </c>
      <c r="C170" s="1">
        <v>0</v>
      </c>
      <c r="D170" s="1">
        <v>0</v>
      </c>
      <c r="E170" s="1">
        <v>0</v>
      </c>
      <c r="F170" s="1">
        <v>0</v>
      </c>
      <c r="G170" s="1">
        <v>0</v>
      </c>
      <c r="H170" s="1">
        <v>0</v>
      </c>
      <c r="I170" s="1">
        <v>0</v>
      </c>
      <c r="J170" s="1">
        <v>0</v>
      </c>
      <c r="K170" s="1">
        <v>0</v>
      </c>
      <c r="L170" s="1">
        <v>0</v>
      </c>
      <c r="M170" s="1">
        <v>0</v>
      </c>
      <c r="N170" s="1">
        <v>0</v>
      </c>
      <c r="O170" s="1">
        <v>0</v>
      </c>
      <c r="P170" s="1">
        <v>0</v>
      </c>
      <c r="Q170" s="1">
        <v>1</v>
      </c>
      <c r="R170" s="1">
        <v>0</v>
      </c>
      <c r="S170" s="1">
        <v>0</v>
      </c>
      <c r="T170" s="1">
        <v>0</v>
      </c>
      <c r="U170" s="1">
        <v>0</v>
      </c>
      <c r="V170" s="1">
        <v>0</v>
      </c>
      <c r="W170" s="1">
        <v>0</v>
      </c>
      <c r="X170" s="1">
        <v>0</v>
      </c>
      <c r="Y170" s="1">
        <v>0</v>
      </c>
      <c r="Z170" s="1">
        <v>0</v>
      </c>
      <c r="AA170" s="1">
        <v>0</v>
      </c>
      <c r="AB170" s="1">
        <v>0</v>
      </c>
      <c r="AC170" s="1">
        <v>0</v>
      </c>
      <c r="AD170" s="1">
        <v>0</v>
      </c>
      <c r="AE170" s="1">
        <v>0</v>
      </c>
      <c r="AF170" s="1">
        <v>0</v>
      </c>
      <c r="AG170" s="12">
        <v>0</v>
      </c>
      <c r="AH170" s="23"/>
      <c r="AI170" s="23">
        <v>16</v>
      </c>
      <c r="AJ170" s="11">
        <v>8.3669325128304731E-3</v>
      </c>
      <c r="AK170" s="1">
        <v>-3.8370562418993462E-3</v>
      </c>
      <c r="AL170" s="1">
        <v>-5.9256832653468705E-3</v>
      </c>
      <c r="AM170" s="1">
        <v>-1.4656321117193088E-3</v>
      </c>
      <c r="AN170" s="1">
        <v>5.234695305005975E-2</v>
      </c>
      <c r="AO170" s="1">
        <v>-1.7163761453066417E-2</v>
      </c>
      <c r="AP170" s="1">
        <v>1.1611373091786321E-2</v>
      </c>
      <c r="AQ170" s="1">
        <v>-1.4656291755304612E-3</v>
      </c>
      <c r="AR170" s="1">
        <v>-1.3556311962581814E-2</v>
      </c>
      <c r="AS170" s="1">
        <v>-2.038746693808223E-2</v>
      </c>
      <c r="AT170" s="1">
        <v>8.0398479351527635E-3</v>
      </c>
      <c r="AU170" s="1">
        <v>8.366940408020114E-3</v>
      </c>
      <c r="AV170" s="1">
        <v>-2.8790102207670792E-2</v>
      </c>
      <c r="AW170" s="1">
        <v>-1.5905997323799777E-2</v>
      </c>
      <c r="AX170" s="1">
        <v>6.338685086312891E-2</v>
      </c>
      <c r="AY170" s="1">
        <v>0.34640344737799073</v>
      </c>
      <c r="AZ170" s="1">
        <v>0.22138446877440701</v>
      </c>
      <c r="BA170" s="1">
        <v>0.12127327731613048</v>
      </c>
      <c r="BB170" s="1">
        <v>5.8858225575451464E-2</v>
      </c>
      <c r="BC170" s="1">
        <v>-4.3908508875489347E-2</v>
      </c>
      <c r="BD170" s="1">
        <v>-3.5015071306382574E-2</v>
      </c>
      <c r="BE170" s="1">
        <v>-7.7699887181730362E-2</v>
      </c>
      <c r="BF170" s="1">
        <v>0.3234943389455387</v>
      </c>
      <c r="BG170" s="1">
        <v>-0.11781599007773924</v>
      </c>
      <c r="BH170" s="1">
        <v>-5.0467428619324323E-2</v>
      </c>
      <c r="BI170" s="1">
        <v>-4.2495961760362189E-2</v>
      </c>
      <c r="BJ170" s="1">
        <v>2.8467359734333522E-2</v>
      </c>
      <c r="BK170" s="1">
        <v>-3.4552653267171163E-2</v>
      </c>
      <c r="BL170" s="1">
        <v>6.0692513317541157E-2</v>
      </c>
      <c r="BM170" s="1">
        <v>4.0772658149751465E-2</v>
      </c>
      <c r="BN170" s="1">
        <v>-4.831507326156799E-2</v>
      </c>
      <c r="BO170" s="12">
        <v>-9.1323407109838481E-2</v>
      </c>
      <c r="BP170" s="23"/>
      <c r="BQ170" s="23"/>
      <c r="BR170" s="23"/>
      <c r="BS170" s="23"/>
      <c r="BT170" s="23"/>
    </row>
    <row r="171" spans="1:72">
      <c r="A171">
        <v>17</v>
      </c>
      <c r="B171" s="11">
        <v>0</v>
      </c>
      <c r="C171" s="1">
        <v>0</v>
      </c>
      <c r="D171" s="1">
        <v>0</v>
      </c>
      <c r="E171" s="1">
        <v>0</v>
      </c>
      <c r="F171" s="1">
        <v>0</v>
      </c>
      <c r="G171" s="1">
        <v>0</v>
      </c>
      <c r="H171" s="1">
        <v>0</v>
      </c>
      <c r="I171" s="1">
        <v>0</v>
      </c>
      <c r="J171" s="1">
        <v>0</v>
      </c>
      <c r="K171" s="1">
        <v>0</v>
      </c>
      <c r="L171" s="1">
        <v>0</v>
      </c>
      <c r="M171" s="1">
        <v>0</v>
      </c>
      <c r="N171" s="1">
        <v>0</v>
      </c>
      <c r="O171" s="1">
        <v>0</v>
      </c>
      <c r="P171" s="1">
        <v>0</v>
      </c>
      <c r="Q171" s="1">
        <v>0</v>
      </c>
      <c r="R171" s="1">
        <v>1</v>
      </c>
      <c r="S171" s="1">
        <v>0</v>
      </c>
      <c r="T171" s="1">
        <v>0</v>
      </c>
      <c r="U171" s="1">
        <v>0</v>
      </c>
      <c r="V171" s="1">
        <v>0</v>
      </c>
      <c r="W171" s="1">
        <v>0</v>
      </c>
      <c r="X171" s="1">
        <v>0</v>
      </c>
      <c r="Y171" s="1">
        <v>0</v>
      </c>
      <c r="Z171" s="1">
        <v>0</v>
      </c>
      <c r="AA171" s="1">
        <v>0</v>
      </c>
      <c r="AB171" s="1">
        <v>0</v>
      </c>
      <c r="AC171" s="1">
        <v>0</v>
      </c>
      <c r="AD171" s="1">
        <v>0</v>
      </c>
      <c r="AE171" s="1">
        <v>0</v>
      </c>
      <c r="AF171" s="1">
        <v>0</v>
      </c>
      <c r="AG171" s="12">
        <v>0</v>
      </c>
      <c r="AH171" s="23"/>
      <c r="AI171" s="23">
        <v>17</v>
      </c>
      <c r="AJ171" s="11">
        <v>9.7503123931469357E-3</v>
      </c>
      <c r="AK171" s="1">
        <v>0.10895267335203397</v>
      </c>
      <c r="AL171" s="1">
        <v>3.084690565711995E-2</v>
      </c>
      <c r="AM171" s="1">
        <v>4.1976443251630358E-3</v>
      </c>
      <c r="AN171" s="1">
        <v>8.4846145089814751E-2</v>
      </c>
      <c r="AO171" s="1">
        <v>-3.0446168270586221E-3</v>
      </c>
      <c r="AP171" s="1">
        <v>5.6366063908609522E-2</v>
      </c>
      <c r="AQ171" s="1">
        <v>4.1976359157699893E-3</v>
      </c>
      <c r="AR171" s="1">
        <v>4.8534558770540193E-2</v>
      </c>
      <c r="AS171" s="1">
        <v>-2.759419630632301E-2</v>
      </c>
      <c r="AT171" s="1">
        <v>3.6844143130080678E-3</v>
      </c>
      <c r="AU171" s="1">
        <v>9.7503215937190246E-3</v>
      </c>
      <c r="AV171" s="1">
        <v>-1.2549551055206725E-2</v>
      </c>
      <c r="AW171" s="1">
        <v>-4.2956832314152378E-2</v>
      </c>
      <c r="AX171" s="1">
        <v>8.9458957513759763E-2</v>
      </c>
      <c r="AY171" s="1">
        <v>0.22138446877440693</v>
      </c>
      <c r="AZ171" s="1">
        <v>0.29944677323999103</v>
      </c>
      <c r="BA171" s="1">
        <v>0.17483878776654205</v>
      </c>
      <c r="BB171" s="1">
        <v>6.3913665530250713E-2</v>
      </c>
      <c r="BC171" s="1">
        <v>2.8594520780334774E-2</v>
      </c>
      <c r="BD171" s="1">
        <v>-2.7031963026358685E-2</v>
      </c>
      <c r="BE171" s="1">
        <v>-7.702658986002528E-2</v>
      </c>
      <c r="BF171" s="1">
        <v>0.17351736846819621</v>
      </c>
      <c r="BG171" s="1">
        <v>7.3700677092044156E-2</v>
      </c>
      <c r="BH171" s="1">
        <v>-9.4849869185988908E-2</v>
      </c>
      <c r="BI171" s="1">
        <v>-4.8309623487867465E-2</v>
      </c>
      <c r="BJ171" s="1">
        <v>-7.3789658252327056E-2</v>
      </c>
      <c r="BK171" s="1">
        <v>9.1586214638499031E-2</v>
      </c>
      <c r="BL171" s="1">
        <v>3.9415406463303597E-2</v>
      </c>
      <c r="BM171" s="1">
        <v>-7.7030712536221416E-2</v>
      </c>
      <c r="BN171" s="1">
        <v>3.0387048148791423E-2</v>
      </c>
      <c r="BO171" s="12">
        <v>0.11379416961042106</v>
      </c>
      <c r="BP171" s="23"/>
      <c r="BQ171" s="23"/>
      <c r="BR171" s="23"/>
      <c r="BS171" s="23"/>
      <c r="BT171" s="23"/>
    </row>
    <row r="172" spans="1:72">
      <c r="A172">
        <v>18</v>
      </c>
      <c r="B172" s="11">
        <v>0</v>
      </c>
      <c r="C172" s="1">
        <v>0</v>
      </c>
      <c r="D172" s="1">
        <v>0</v>
      </c>
      <c r="E172" s="1">
        <v>0</v>
      </c>
      <c r="F172" s="1">
        <v>0</v>
      </c>
      <c r="G172" s="1">
        <v>0</v>
      </c>
      <c r="H172" s="1">
        <v>0</v>
      </c>
      <c r="I172" s="1">
        <v>0</v>
      </c>
      <c r="J172" s="1">
        <v>0</v>
      </c>
      <c r="K172" s="1">
        <v>0</v>
      </c>
      <c r="L172" s="1">
        <v>0</v>
      </c>
      <c r="M172" s="1">
        <v>0</v>
      </c>
      <c r="N172" s="1">
        <v>0</v>
      </c>
      <c r="O172" s="1">
        <v>0</v>
      </c>
      <c r="P172" s="1">
        <v>0</v>
      </c>
      <c r="Q172" s="1">
        <v>0</v>
      </c>
      <c r="R172" s="1">
        <v>0</v>
      </c>
      <c r="S172" s="1">
        <v>1</v>
      </c>
      <c r="T172" s="1">
        <v>0</v>
      </c>
      <c r="U172" s="1">
        <v>0</v>
      </c>
      <c r="V172" s="1">
        <v>0</v>
      </c>
      <c r="W172" s="1">
        <v>0</v>
      </c>
      <c r="X172" s="1">
        <v>0</v>
      </c>
      <c r="Y172" s="1">
        <v>0</v>
      </c>
      <c r="Z172" s="1">
        <v>0</v>
      </c>
      <c r="AA172" s="1">
        <v>0</v>
      </c>
      <c r="AB172" s="1">
        <v>0</v>
      </c>
      <c r="AC172" s="1">
        <v>0</v>
      </c>
      <c r="AD172" s="1">
        <v>0</v>
      </c>
      <c r="AE172" s="1">
        <v>0</v>
      </c>
      <c r="AF172" s="1">
        <v>0</v>
      </c>
      <c r="AG172" s="12">
        <v>0</v>
      </c>
      <c r="AH172" s="23"/>
      <c r="AI172" s="23">
        <v>18</v>
      </c>
      <c r="AJ172" s="11">
        <v>2.7821811253266722E-2</v>
      </c>
      <c r="AK172" s="1">
        <v>4.5350661828258497E-2</v>
      </c>
      <c r="AL172" s="1">
        <v>1.2370769563098183E-2</v>
      </c>
      <c r="AM172" s="1">
        <v>2.2000336622967763E-2</v>
      </c>
      <c r="AN172" s="1">
        <v>5.4265701774811118E-2</v>
      </c>
      <c r="AO172" s="1">
        <v>8.4534676791877747E-3</v>
      </c>
      <c r="AP172" s="1">
        <v>-2.2368305200978333E-3</v>
      </c>
      <c r="AQ172" s="1">
        <v>2.2000292548371832E-2</v>
      </c>
      <c r="AR172" s="1">
        <v>3.0510750864463476E-2</v>
      </c>
      <c r="AS172" s="1">
        <v>-1.082470887694623E-2</v>
      </c>
      <c r="AT172" s="1">
        <v>-3.7636396492639564E-2</v>
      </c>
      <c r="AU172" s="1">
        <v>2.7821837506433755E-2</v>
      </c>
      <c r="AV172" s="1">
        <v>-2.8394076792196132E-2</v>
      </c>
      <c r="AW172" s="1">
        <v>-9.499301630632026E-2</v>
      </c>
      <c r="AX172" s="1">
        <v>0.17373383582724178</v>
      </c>
      <c r="AY172" s="1">
        <v>0.12127327731613044</v>
      </c>
      <c r="AZ172" s="1">
        <v>0.17483878776654205</v>
      </c>
      <c r="BA172" s="1">
        <v>0.28715314943983272</v>
      </c>
      <c r="BB172" s="1">
        <v>7.0284440387949926E-2</v>
      </c>
      <c r="BC172" s="1">
        <v>-3.9005777462726654E-2</v>
      </c>
      <c r="BD172" s="1">
        <v>7.7076354735335334E-2</v>
      </c>
      <c r="BE172" s="1">
        <v>2.7475776821607178E-3</v>
      </c>
      <c r="BF172" s="1">
        <v>-3.5385716956192942E-2</v>
      </c>
      <c r="BG172" s="1">
        <v>-8.2659395647354375E-2</v>
      </c>
      <c r="BH172" s="1">
        <v>-5.9623680129459525E-3</v>
      </c>
      <c r="BI172" s="1">
        <v>4.4183548198997176E-2</v>
      </c>
      <c r="BJ172" s="1">
        <v>-1.9182957365619343E-3</v>
      </c>
      <c r="BK172" s="1">
        <v>-2.5362365519055328E-2</v>
      </c>
      <c r="BL172" s="1">
        <v>0.1119280733352027</v>
      </c>
      <c r="BM172" s="1">
        <v>2.2988338292549107E-2</v>
      </c>
      <c r="BN172" s="1">
        <v>-9.9439672323449788E-2</v>
      </c>
      <c r="BO172" s="12">
        <v>0.25124040342223741</v>
      </c>
      <c r="BP172" s="23"/>
      <c r="BQ172" s="23"/>
      <c r="BR172" s="23"/>
      <c r="BS172" s="23"/>
      <c r="BT172" s="23"/>
    </row>
    <row r="173" spans="1:72">
      <c r="A173">
        <v>19</v>
      </c>
      <c r="B173" s="11">
        <v>0</v>
      </c>
      <c r="C173" s="1">
        <v>0</v>
      </c>
      <c r="D173" s="1">
        <v>0</v>
      </c>
      <c r="E173" s="1">
        <v>0</v>
      </c>
      <c r="F173" s="1">
        <v>0</v>
      </c>
      <c r="G173" s="1">
        <v>0</v>
      </c>
      <c r="H173" s="1">
        <v>0</v>
      </c>
      <c r="I173" s="1">
        <v>0</v>
      </c>
      <c r="J173" s="1">
        <v>0</v>
      </c>
      <c r="K173" s="1">
        <v>0</v>
      </c>
      <c r="L173" s="1">
        <v>0</v>
      </c>
      <c r="M173" s="1">
        <v>0</v>
      </c>
      <c r="N173" s="1">
        <v>0</v>
      </c>
      <c r="O173" s="1">
        <v>0</v>
      </c>
      <c r="P173" s="1">
        <v>0</v>
      </c>
      <c r="Q173" s="1">
        <v>0</v>
      </c>
      <c r="R173" s="1">
        <v>0</v>
      </c>
      <c r="S173" s="1">
        <v>0</v>
      </c>
      <c r="T173" s="1">
        <v>1</v>
      </c>
      <c r="U173" s="1">
        <v>0</v>
      </c>
      <c r="V173" s="1">
        <v>0</v>
      </c>
      <c r="W173" s="1">
        <v>0</v>
      </c>
      <c r="X173" s="1">
        <v>0</v>
      </c>
      <c r="Y173" s="1">
        <v>0</v>
      </c>
      <c r="Z173" s="1">
        <v>0</v>
      </c>
      <c r="AA173" s="1">
        <v>0</v>
      </c>
      <c r="AB173" s="1">
        <v>0</v>
      </c>
      <c r="AC173" s="1">
        <v>0</v>
      </c>
      <c r="AD173" s="1">
        <v>0</v>
      </c>
      <c r="AE173" s="1">
        <v>0</v>
      </c>
      <c r="AF173" s="1">
        <v>0</v>
      </c>
      <c r="AG173" s="12">
        <v>0</v>
      </c>
      <c r="AH173" s="23"/>
      <c r="AI173" s="23">
        <v>19</v>
      </c>
      <c r="AJ173" s="11">
        <v>4.5645903433442353E-2</v>
      </c>
      <c r="AK173" s="1">
        <v>5.9173129536279692E-2</v>
      </c>
      <c r="AL173" s="1">
        <v>0.17580774616358738</v>
      </c>
      <c r="AM173" s="1">
        <v>1.2204930193448149E-2</v>
      </c>
      <c r="AN173" s="1">
        <v>0.13034741735596514</v>
      </c>
      <c r="AO173" s="1">
        <v>-8.9495906475200726E-3</v>
      </c>
      <c r="AP173" s="1">
        <v>-2.3753120733800075E-2</v>
      </c>
      <c r="AQ173" s="1">
        <v>1.2204905742578334E-2</v>
      </c>
      <c r="AR173" s="1">
        <v>0.16120153251176172</v>
      </c>
      <c r="AS173" s="1">
        <v>-2.5302793977023245E-3</v>
      </c>
      <c r="AT173" s="1">
        <v>-6.0044641020561618E-2</v>
      </c>
      <c r="AU173" s="1">
        <v>4.5645946505746868E-2</v>
      </c>
      <c r="AV173" s="1">
        <v>-4.0329757620450463E-4</v>
      </c>
      <c r="AW173" s="1">
        <v>-3.5795061281782246E-2</v>
      </c>
      <c r="AX173" s="1">
        <v>5.3936114860412401E-2</v>
      </c>
      <c r="AY173" s="1">
        <v>5.8858225575451423E-2</v>
      </c>
      <c r="AZ173" s="1">
        <v>6.3913665530250741E-2</v>
      </c>
      <c r="BA173" s="1">
        <v>7.0284440387949926E-2</v>
      </c>
      <c r="BB173" s="1">
        <v>0.30244235691389698</v>
      </c>
      <c r="BC173" s="1">
        <v>0.2244159399163691</v>
      </c>
      <c r="BD173" s="1">
        <v>7.9784495573630751E-2</v>
      </c>
      <c r="BE173" s="1">
        <v>6.0047631053333696E-2</v>
      </c>
      <c r="BF173" s="1">
        <v>-4.0424293299454774E-2</v>
      </c>
      <c r="BG173" s="1">
        <v>-8.0340705555086628E-2</v>
      </c>
      <c r="BH173" s="1">
        <v>-6.7469544683596186E-2</v>
      </c>
      <c r="BI173" s="1">
        <v>4.8402416911173168E-2</v>
      </c>
      <c r="BJ173" s="1">
        <v>-8.9900787587963993E-3</v>
      </c>
      <c r="BK173" s="1">
        <v>-0.12421744939609811</v>
      </c>
      <c r="BL173" s="1">
        <v>-6.8846978091499478E-2</v>
      </c>
      <c r="BM173" s="1">
        <v>2.6930515808508637E-2</v>
      </c>
      <c r="BN173" s="1">
        <v>1.6079435932048775E-2</v>
      </c>
      <c r="BO173" s="12">
        <v>-0.10785171587961814</v>
      </c>
      <c r="BP173" s="23"/>
      <c r="BQ173" s="23"/>
      <c r="BR173" s="23"/>
      <c r="BS173" s="23"/>
      <c r="BT173" s="23"/>
    </row>
    <row r="174" spans="1:72">
      <c r="A174">
        <v>20</v>
      </c>
      <c r="B174" s="11">
        <v>0</v>
      </c>
      <c r="C174" s="1">
        <v>0</v>
      </c>
      <c r="D174" s="1">
        <v>0</v>
      </c>
      <c r="E174" s="1">
        <v>0</v>
      </c>
      <c r="F174" s="1">
        <v>0</v>
      </c>
      <c r="G174" s="1">
        <v>0</v>
      </c>
      <c r="H174" s="1">
        <v>0</v>
      </c>
      <c r="I174" s="1">
        <v>0</v>
      </c>
      <c r="J174" s="1">
        <v>0</v>
      </c>
      <c r="K174" s="1">
        <v>0</v>
      </c>
      <c r="L174" s="1">
        <v>0</v>
      </c>
      <c r="M174" s="1">
        <v>0</v>
      </c>
      <c r="N174" s="1">
        <v>0</v>
      </c>
      <c r="O174" s="1">
        <v>0</v>
      </c>
      <c r="P174" s="1">
        <v>0</v>
      </c>
      <c r="Q174" s="1">
        <v>0</v>
      </c>
      <c r="R174" s="1">
        <v>0</v>
      </c>
      <c r="S174" s="1">
        <v>0</v>
      </c>
      <c r="T174" s="1">
        <v>0</v>
      </c>
      <c r="U174" s="1">
        <v>1</v>
      </c>
      <c r="V174" s="1">
        <v>0</v>
      </c>
      <c r="W174" s="1">
        <v>0</v>
      </c>
      <c r="X174" s="1">
        <v>0</v>
      </c>
      <c r="Y174" s="1">
        <v>0</v>
      </c>
      <c r="Z174" s="1">
        <v>0</v>
      </c>
      <c r="AA174" s="1">
        <v>0</v>
      </c>
      <c r="AB174" s="1">
        <v>0</v>
      </c>
      <c r="AC174" s="1">
        <v>0</v>
      </c>
      <c r="AD174" s="1">
        <v>0</v>
      </c>
      <c r="AE174" s="1">
        <v>0</v>
      </c>
      <c r="AF174" s="1">
        <v>0</v>
      </c>
      <c r="AG174" s="12">
        <v>0</v>
      </c>
      <c r="AH174" s="23"/>
      <c r="AI174" s="23">
        <v>20</v>
      </c>
      <c r="AJ174" s="11">
        <v>-3.5601983342863908E-3</v>
      </c>
      <c r="AK174" s="1">
        <v>4.1851544042913039E-2</v>
      </c>
      <c r="AL174" s="1">
        <v>0.16968591319289142</v>
      </c>
      <c r="AM174" s="1">
        <v>-3.4220862723559856E-2</v>
      </c>
      <c r="AN174" s="1">
        <v>4.44840796570109E-3</v>
      </c>
      <c r="AO174" s="1">
        <v>-2.1307285879106699E-2</v>
      </c>
      <c r="AP174" s="1">
        <v>-4.4506078316949041E-2</v>
      </c>
      <c r="AQ174" s="1">
        <v>-3.422079416684988E-2</v>
      </c>
      <c r="AR174" s="1">
        <v>8.2732396587148663E-2</v>
      </c>
      <c r="AS174" s="1">
        <v>2.0235148514821701E-3</v>
      </c>
      <c r="AT174" s="1">
        <v>1.3921961848076682E-2</v>
      </c>
      <c r="AU174" s="1">
        <v>-3.5602016937543168E-3</v>
      </c>
      <c r="AV174" s="1">
        <v>-2.6421311531816767E-2</v>
      </c>
      <c r="AW174" s="1">
        <v>3.2391196168688137E-2</v>
      </c>
      <c r="AX174" s="1">
        <v>-2.066744994302161E-2</v>
      </c>
      <c r="AY174" s="1">
        <v>-4.390850887548936E-2</v>
      </c>
      <c r="AZ174" s="1">
        <v>2.8594520780334816E-2</v>
      </c>
      <c r="BA174" s="1">
        <v>-3.9005777462726723E-2</v>
      </c>
      <c r="BB174" s="1">
        <v>0.22441593991636899</v>
      </c>
      <c r="BC174" s="1">
        <v>0.44646197877861582</v>
      </c>
      <c r="BD174" s="1">
        <v>-3.0375679970881891E-2</v>
      </c>
      <c r="BE174" s="1">
        <v>-3.1285739509479521E-2</v>
      </c>
      <c r="BF174" s="1">
        <v>-7.0146690683483611E-3</v>
      </c>
      <c r="BG174" s="1">
        <v>0.11213384100779183</v>
      </c>
      <c r="BH174" s="1">
        <v>-3.0050109280077064E-2</v>
      </c>
      <c r="BI174" s="1">
        <v>-1.3407643179004891E-2</v>
      </c>
      <c r="BJ174" s="1">
        <v>0.11625002470107147</v>
      </c>
      <c r="BK174" s="1">
        <v>-0.23039564362126849</v>
      </c>
      <c r="BL174" s="1">
        <v>-0.12330178542955522</v>
      </c>
      <c r="BM174" s="1">
        <v>-0.21205689709803843</v>
      </c>
      <c r="BN174" s="1">
        <v>6.8444668883528376E-2</v>
      </c>
      <c r="BO174" s="12">
        <v>2.9332546486121026E-2</v>
      </c>
      <c r="BP174" s="23"/>
      <c r="BQ174" s="23"/>
      <c r="BR174" s="23"/>
      <c r="BS174" s="23"/>
      <c r="BT174" s="23"/>
    </row>
    <row r="175" spans="1:72">
      <c r="A175">
        <v>21</v>
      </c>
      <c r="B175" s="11">
        <v>0</v>
      </c>
      <c r="C175" s="1">
        <v>0</v>
      </c>
      <c r="D175" s="1">
        <v>0</v>
      </c>
      <c r="E175" s="1">
        <v>0</v>
      </c>
      <c r="F175" s="1">
        <v>0</v>
      </c>
      <c r="G175" s="1">
        <v>0</v>
      </c>
      <c r="H175" s="1">
        <v>0</v>
      </c>
      <c r="I175" s="1">
        <v>0</v>
      </c>
      <c r="J175" s="1">
        <v>0</v>
      </c>
      <c r="K175" s="1">
        <v>0</v>
      </c>
      <c r="L175" s="1">
        <v>0</v>
      </c>
      <c r="M175" s="1">
        <v>0</v>
      </c>
      <c r="N175" s="1">
        <v>0</v>
      </c>
      <c r="O175" s="1">
        <v>0</v>
      </c>
      <c r="P175" s="1">
        <v>0</v>
      </c>
      <c r="Q175" s="1">
        <v>0</v>
      </c>
      <c r="R175" s="1">
        <v>0</v>
      </c>
      <c r="S175" s="1">
        <v>0</v>
      </c>
      <c r="T175" s="1">
        <v>0</v>
      </c>
      <c r="U175" s="1">
        <v>0</v>
      </c>
      <c r="V175" s="1">
        <v>1</v>
      </c>
      <c r="W175" s="1">
        <v>0</v>
      </c>
      <c r="X175" s="1">
        <v>0</v>
      </c>
      <c r="Y175" s="1">
        <v>0</v>
      </c>
      <c r="Z175" s="1">
        <v>0</v>
      </c>
      <c r="AA175" s="1">
        <v>0</v>
      </c>
      <c r="AB175" s="1">
        <v>0</v>
      </c>
      <c r="AC175" s="1">
        <v>0</v>
      </c>
      <c r="AD175" s="1">
        <v>0</v>
      </c>
      <c r="AE175" s="1">
        <v>0</v>
      </c>
      <c r="AF175" s="1">
        <v>0</v>
      </c>
      <c r="AG175" s="12">
        <v>0</v>
      </c>
      <c r="AH175" s="23"/>
      <c r="AI175" s="23">
        <v>21</v>
      </c>
      <c r="AJ175" s="11">
        <v>-5.0967149585240734E-2</v>
      </c>
      <c r="AK175" s="1">
        <v>-9.5842225100824449E-3</v>
      </c>
      <c r="AL175" s="1">
        <v>-1.5607770723672726E-2</v>
      </c>
      <c r="AM175" s="1">
        <v>-1.8748358334355564E-2</v>
      </c>
      <c r="AN175" s="1">
        <v>9.1807761404120891E-2</v>
      </c>
      <c r="AO175" s="1">
        <v>-9.4085489441181239E-2</v>
      </c>
      <c r="AP175" s="1">
        <v>-3.7673013792403308E-3</v>
      </c>
      <c r="AQ175" s="1">
        <v>-1.8748320774643099E-2</v>
      </c>
      <c r="AR175" s="1">
        <v>-2.7604325292365298E-2</v>
      </c>
      <c r="AS175" s="1">
        <v>0.28603848410381344</v>
      </c>
      <c r="AT175" s="1">
        <v>-5.1437165027522949E-2</v>
      </c>
      <c r="AU175" s="1">
        <v>-5.0967197678769893E-2</v>
      </c>
      <c r="AV175" s="1">
        <v>9.1137284359708332E-2</v>
      </c>
      <c r="AW175" s="1">
        <v>-0.11566142155005094</v>
      </c>
      <c r="AX175" s="1">
        <v>-6.7528227412027603E-2</v>
      </c>
      <c r="AY175" s="1">
        <v>-3.5015071306382678E-2</v>
      </c>
      <c r="AZ175" s="1">
        <v>-2.7031963026358789E-2</v>
      </c>
      <c r="BA175" s="1">
        <v>7.7076354735335265E-2</v>
      </c>
      <c r="BB175" s="1">
        <v>7.9784495573630765E-2</v>
      </c>
      <c r="BC175" s="1">
        <v>-3.0375679970881898E-2</v>
      </c>
      <c r="BD175" s="1">
        <v>0.62988666673893112</v>
      </c>
      <c r="BE175" s="1">
        <v>-0.15483080008194128</v>
      </c>
      <c r="BF175" s="1">
        <v>-0.13392969351318099</v>
      </c>
      <c r="BG175" s="1">
        <v>-0.13055656970085899</v>
      </c>
      <c r="BH175" s="1">
        <v>-9.9140227865153377E-2</v>
      </c>
      <c r="BI175" s="1">
        <v>-0.11142937557779636</v>
      </c>
      <c r="BJ175" s="1">
        <v>-8.8013184928816494E-3</v>
      </c>
      <c r="BK175" s="1">
        <v>-1.3318200219877372E-2</v>
      </c>
      <c r="BL175" s="1">
        <v>3.0004710125221698E-2</v>
      </c>
      <c r="BM175" s="1">
        <v>1.3205786844259521E-2</v>
      </c>
      <c r="BN175" s="1">
        <v>1.9841134211647737E-2</v>
      </c>
      <c r="BO175" s="12">
        <v>4.7222237280763746E-3</v>
      </c>
      <c r="BP175" s="23"/>
      <c r="BQ175" s="23"/>
      <c r="BR175" s="23"/>
      <c r="BS175" s="23"/>
      <c r="BT175" s="23"/>
    </row>
    <row r="176" spans="1:72">
      <c r="A176">
        <v>22</v>
      </c>
      <c r="B176" s="11">
        <v>0</v>
      </c>
      <c r="C176" s="1">
        <v>0</v>
      </c>
      <c r="D176" s="1">
        <v>0</v>
      </c>
      <c r="E176" s="1">
        <v>0</v>
      </c>
      <c r="F176" s="1">
        <v>0</v>
      </c>
      <c r="G176" s="1">
        <v>0</v>
      </c>
      <c r="H176" s="1">
        <v>0</v>
      </c>
      <c r="I176" s="1">
        <v>0</v>
      </c>
      <c r="J176" s="1">
        <v>0</v>
      </c>
      <c r="K176" s="1">
        <v>0</v>
      </c>
      <c r="L176" s="1">
        <v>0</v>
      </c>
      <c r="M176" s="1">
        <v>0</v>
      </c>
      <c r="N176" s="1">
        <v>0</v>
      </c>
      <c r="O176" s="1">
        <v>0</v>
      </c>
      <c r="P176" s="1">
        <v>0</v>
      </c>
      <c r="Q176" s="1">
        <v>0</v>
      </c>
      <c r="R176" s="1">
        <v>0</v>
      </c>
      <c r="S176" s="1">
        <v>0</v>
      </c>
      <c r="T176" s="1">
        <v>0</v>
      </c>
      <c r="U176" s="1">
        <v>0</v>
      </c>
      <c r="V176" s="1">
        <v>0</v>
      </c>
      <c r="W176" s="1">
        <v>1</v>
      </c>
      <c r="X176" s="1">
        <v>0</v>
      </c>
      <c r="Y176" s="1">
        <v>0</v>
      </c>
      <c r="Z176" s="1">
        <v>0</v>
      </c>
      <c r="AA176" s="1">
        <v>0</v>
      </c>
      <c r="AB176" s="1">
        <v>0</v>
      </c>
      <c r="AC176" s="1">
        <v>0</v>
      </c>
      <c r="AD176" s="1">
        <v>0</v>
      </c>
      <c r="AE176" s="1">
        <v>0</v>
      </c>
      <c r="AF176" s="1">
        <v>0</v>
      </c>
      <c r="AG176" s="12">
        <v>0</v>
      </c>
      <c r="AH176" s="23"/>
      <c r="AI176" s="23">
        <v>22</v>
      </c>
      <c r="AJ176" s="11">
        <v>-1.2138019875997941E-2</v>
      </c>
      <c r="AK176" s="1">
        <v>-1.6040037097371979E-2</v>
      </c>
      <c r="AL176" s="1">
        <v>-1.3984241046350876E-2</v>
      </c>
      <c r="AM176" s="1">
        <v>-2.5247461278996269E-2</v>
      </c>
      <c r="AN176" s="1">
        <v>7.8449454461985979E-2</v>
      </c>
      <c r="AO176" s="1">
        <v>-3.2269548267763695E-2</v>
      </c>
      <c r="AP176" s="1">
        <v>7.6898601505199171E-2</v>
      </c>
      <c r="AQ176" s="1">
        <v>-2.5247410699240427E-2</v>
      </c>
      <c r="AR176" s="1">
        <v>-4.5183588201321782E-2</v>
      </c>
      <c r="AS176" s="1">
        <v>-6.4310019439773936E-2</v>
      </c>
      <c r="AT176" s="1">
        <v>7.0594515714242689E-2</v>
      </c>
      <c r="AU176" s="1">
        <v>-1.2138031329654284E-2</v>
      </c>
      <c r="AV176" s="1">
        <v>-8.7628287948736533E-2</v>
      </c>
      <c r="AW176" s="1">
        <v>-5.5116472026089838E-2</v>
      </c>
      <c r="AX176" s="1">
        <v>0.20383167370049188</v>
      </c>
      <c r="AY176" s="1">
        <v>-7.7699887181730445E-2</v>
      </c>
      <c r="AZ176" s="1">
        <v>-7.7026589860025349E-2</v>
      </c>
      <c r="BA176" s="1">
        <v>2.7475776821607595E-3</v>
      </c>
      <c r="BB176" s="1">
        <v>6.0047631053333737E-2</v>
      </c>
      <c r="BC176" s="1">
        <v>-3.1285739509479438E-2</v>
      </c>
      <c r="BD176" s="1">
        <v>-0.15483080008194103</v>
      </c>
      <c r="BE176" s="1">
        <v>0.71030322357551723</v>
      </c>
      <c r="BF176" s="1">
        <v>-0.14012825892073308</v>
      </c>
      <c r="BG176" s="1">
        <v>-0.103867244580791</v>
      </c>
      <c r="BH176" s="1">
        <v>-0.14955656184396515</v>
      </c>
      <c r="BI176" s="1">
        <v>-0.16192035814808697</v>
      </c>
      <c r="BJ176" s="1">
        <v>4.2774843415635783E-2</v>
      </c>
      <c r="BK176" s="1">
        <v>7.0693527634943486E-3</v>
      </c>
      <c r="BL176" s="1">
        <v>-1.5485378648847914E-3</v>
      </c>
      <c r="BM176" s="1">
        <v>2.3380476589373769E-2</v>
      </c>
      <c r="BN176" s="1">
        <v>4.2950810341725126E-2</v>
      </c>
      <c r="BO176" s="12">
        <v>-5.8293592161404888E-2</v>
      </c>
      <c r="BP176" s="23"/>
      <c r="BQ176" s="23"/>
      <c r="BR176" s="23"/>
      <c r="BS176" s="23"/>
      <c r="BT176" s="23"/>
    </row>
    <row r="177" spans="1:72">
      <c r="A177">
        <v>23</v>
      </c>
      <c r="B177" s="11">
        <v>0</v>
      </c>
      <c r="C177" s="1">
        <v>0</v>
      </c>
      <c r="D177" s="1">
        <v>0</v>
      </c>
      <c r="E177" s="1">
        <v>0</v>
      </c>
      <c r="F177" s="1">
        <v>0</v>
      </c>
      <c r="G177" s="1">
        <v>0</v>
      </c>
      <c r="H177" s="1">
        <v>0</v>
      </c>
      <c r="I177" s="1">
        <v>0</v>
      </c>
      <c r="J177" s="1">
        <v>0</v>
      </c>
      <c r="K177" s="1">
        <v>0</v>
      </c>
      <c r="L177" s="1">
        <v>0</v>
      </c>
      <c r="M177" s="1">
        <v>0</v>
      </c>
      <c r="N177" s="1">
        <v>0</v>
      </c>
      <c r="O177" s="1">
        <v>0</v>
      </c>
      <c r="P177" s="1">
        <v>0</v>
      </c>
      <c r="Q177" s="1">
        <v>0</v>
      </c>
      <c r="R177" s="1">
        <v>0</v>
      </c>
      <c r="S177" s="1">
        <v>0</v>
      </c>
      <c r="T177" s="1">
        <v>0</v>
      </c>
      <c r="U177" s="1">
        <v>0</v>
      </c>
      <c r="V177" s="1">
        <v>0</v>
      </c>
      <c r="W177" s="1">
        <v>0</v>
      </c>
      <c r="X177" s="1">
        <v>1</v>
      </c>
      <c r="Y177" s="1">
        <v>0</v>
      </c>
      <c r="Z177" s="1">
        <v>0</v>
      </c>
      <c r="AA177" s="1">
        <v>0</v>
      </c>
      <c r="AB177" s="1">
        <v>0</v>
      </c>
      <c r="AC177" s="1">
        <v>0</v>
      </c>
      <c r="AD177" s="1">
        <v>0</v>
      </c>
      <c r="AE177" s="1">
        <v>0</v>
      </c>
      <c r="AF177" s="1">
        <v>0</v>
      </c>
      <c r="AG177" s="12">
        <v>0</v>
      </c>
      <c r="AH177" s="23"/>
      <c r="AI177" s="23">
        <v>23</v>
      </c>
      <c r="AJ177" s="11">
        <v>-3.0626513583326506E-2</v>
      </c>
      <c r="AK177" s="1">
        <v>-9.2305665238061413E-2</v>
      </c>
      <c r="AL177" s="1">
        <v>-3.1619485802772684E-2</v>
      </c>
      <c r="AM177" s="1">
        <v>-3.2210827159626851E-2</v>
      </c>
      <c r="AN177" s="1">
        <v>-2.8628116319718868E-2</v>
      </c>
      <c r="AO177" s="1">
        <v>-2.4378282523163056E-2</v>
      </c>
      <c r="AP177" s="1">
        <v>2.0911871505661768E-2</v>
      </c>
      <c r="AQ177" s="1">
        <v>-3.2210762629741853E-2</v>
      </c>
      <c r="AR177" s="1">
        <v>-7.1294522844028818E-2</v>
      </c>
      <c r="AS177" s="1">
        <v>-1.838902035279083E-2</v>
      </c>
      <c r="AT177" s="1">
        <v>6.639698162977048E-2</v>
      </c>
      <c r="AU177" s="1">
        <v>-3.0626542483061701E-2</v>
      </c>
      <c r="AV177" s="1">
        <v>-2.7317562999828994E-2</v>
      </c>
      <c r="AW177" s="1">
        <v>5.3220076390876517E-2</v>
      </c>
      <c r="AX177" s="1">
        <v>-4.0073151935292817E-2</v>
      </c>
      <c r="AY177" s="1">
        <v>0.32349433894553881</v>
      </c>
      <c r="AZ177" s="1">
        <v>0.17351736846819626</v>
      </c>
      <c r="BA177" s="1">
        <v>-3.5385716956192886E-2</v>
      </c>
      <c r="BB177" s="1">
        <v>-4.0424293299454746E-2</v>
      </c>
      <c r="BC177" s="1">
        <v>-7.0146690683484773E-3</v>
      </c>
      <c r="BD177" s="1">
        <v>-0.13392969351318099</v>
      </c>
      <c r="BE177" s="1">
        <v>-0.14012825892073294</v>
      </c>
      <c r="BF177" s="1">
        <v>0.466076714899959</v>
      </c>
      <c r="BG177" s="1">
        <v>-4.4445138039653984E-2</v>
      </c>
      <c r="BH177" s="1">
        <v>-4.1988796523980763E-2</v>
      </c>
      <c r="BI177" s="1">
        <v>-0.10558482790241028</v>
      </c>
      <c r="BJ177" s="1">
        <v>6.2600269879964268E-2</v>
      </c>
      <c r="BK177" s="1">
        <v>-2.3016632262716743E-2</v>
      </c>
      <c r="BL177" s="1">
        <v>-9.403145043873043E-2</v>
      </c>
      <c r="BM177" s="1">
        <v>3.6065019615500342E-2</v>
      </c>
      <c r="BN177" s="1">
        <v>7.7606482288240658E-2</v>
      </c>
      <c r="BO177" s="12">
        <v>-8.8016000404361527E-2</v>
      </c>
      <c r="BP177" s="23"/>
      <c r="BQ177" s="23"/>
      <c r="BR177" s="23"/>
      <c r="BS177" s="23"/>
      <c r="BT177" s="23"/>
    </row>
    <row r="178" spans="1:72">
      <c r="A178">
        <v>24</v>
      </c>
      <c r="B178" s="11">
        <v>0</v>
      </c>
      <c r="C178" s="1">
        <v>0</v>
      </c>
      <c r="D178" s="1">
        <v>0</v>
      </c>
      <c r="E178" s="1">
        <v>0</v>
      </c>
      <c r="F178" s="1">
        <v>0</v>
      </c>
      <c r="G178" s="1">
        <v>0</v>
      </c>
      <c r="H178" s="1">
        <v>0</v>
      </c>
      <c r="I178" s="1">
        <v>0</v>
      </c>
      <c r="J178" s="1">
        <v>0</v>
      </c>
      <c r="K178" s="1">
        <v>0</v>
      </c>
      <c r="L178" s="1">
        <v>0</v>
      </c>
      <c r="M178" s="1">
        <v>0</v>
      </c>
      <c r="N178" s="1">
        <v>0</v>
      </c>
      <c r="O178" s="1">
        <v>0</v>
      </c>
      <c r="P178" s="1">
        <v>0</v>
      </c>
      <c r="Q178" s="1">
        <v>0</v>
      </c>
      <c r="R178" s="1">
        <v>0</v>
      </c>
      <c r="S178" s="1">
        <v>0</v>
      </c>
      <c r="T178" s="1">
        <v>0</v>
      </c>
      <c r="U178" s="1">
        <v>0</v>
      </c>
      <c r="V178" s="1">
        <v>0</v>
      </c>
      <c r="W178" s="1">
        <v>0</v>
      </c>
      <c r="X178" s="1">
        <v>0</v>
      </c>
      <c r="Y178" s="1">
        <v>1</v>
      </c>
      <c r="Z178" s="1">
        <v>0</v>
      </c>
      <c r="AA178" s="1">
        <v>0</v>
      </c>
      <c r="AB178" s="1">
        <v>0</v>
      </c>
      <c r="AC178" s="1">
        <v>0</v>
      </c>
      <c r="AD178" s="1">
        <v>0</v>
      </c>
      <c r="AE178" s="1">
        <v>0</v>
      </c>
      <c r="AF178" s="1">
        <v>0</v>
      </c>
      <c r="AG178" s="12">
        <v>0</v>
      </c>
      <c r="AH178" s="23"/>
      <c r="AI178" s="23">
        <v>24</v>
      </c>
      <c r="AJ178" s="11">
        <v>-6.8041433421336797E-2</v>
      </c>
      <c r="AK178" s="1">
        <v>0.2039260216335971</v>
      </c>
      <c r="AL178" s="1">
        <v>0.11110659242453154</v>
      </c>
      <c r="AM178" s="1">
        <v>-5.497302537539922E-2</v>
      </c>
      <c r="AN178" s="1">
        <v>-0.10547931247736703</v>
      </c>
      <c r="AO178" s="1">
        <v>1.952587491586949E-2</v>
      </c>
      <c r="AP178" s="1">
        <v>7.5343670172821425E-2</v>
      </c>
      <c r="AQ178" s="1">
        <v>-5.497291524463524E-2</v>
      </c>
      <c r="AR178" s="1">
        <v>6.5093433086074154E-2</v>
      </c>
      <c r="AS178" s="1">
        <v>-4.9842580198395927E-3</v>
      </c>
      <c r="AT178" s="1">
        <v>9.1776405242161865E-2</v>
      </c>
      <c r="AU178" s="1">
        <v>-6.8041497626470659E-2</v>
      </c>
      <c r="AV178" s="1">
        <v>1.3310655050341798E-2</v>
      </c>
      <c r="AW178" s="1">
        <v>4.2892836197602757E-2</v>
      </c>
      <c r="AX178" s="1">
        <v>-7.4088931270217151E-2</v>
      </c>
      <c r="AY178" s="1">
        <v>-0.11781599007773927</v>
      </c>
      <c r="AZ178" s="1">
        <v>7.370067709204417E-2</v>
      </c>
      <c r="BA178" s="1">
        <v>-8.2659395647354375E-2</v>
      </c>
      <c r="BB178" s="1">
        <v>-8.0340705555086767E-2</v>
      </c>
      <c r="BC178" s="1">
        <v>0.1121338410077917</v>
      </c>
      <c r="BD178" s="1">
        <v>-0.13055656970085902</v>
      </c>
      <c r="BE178" s="1">
        <v>-0.10386724458079095</v>
      </c>
      <c r="BF178" s="1">
        <v>-4.44451380396539E-2</v>
      </c>
      <c r="BG178" s="1">
        <v>0.42366580407554111</v>
      </c>
      <c r="BH178" s="1">
        <v>-5.2286088450124307E-2</v>
      </c>
      <c r="BI178" s="1">
        <v>-9.2510763304112953E-2</v>
      </c>
      <c r="BJ178" s="1">
        <v>-8.0485696884815508E-2</v>
      </c>
      <c r="BK178" s="1">
        <v>0.15309241869277651</v>
      </c>
      <c r="BL178" s="1">
        <v>1.0580057670594958E-2</v>
      </c>
      <c r="BM178" s="1">
        <v>-0.10849287265117219</v>
      </c>
      <c r="BN178" s="1">
        <v>-6.0953382378053506E-2</v>
      </c>
      <c r="BO178" s="12">
        <v>7.6004843437245659E-2</v>
      </c>
      <c r="BP178" s="23"/>
      <c r="BQ178" s="23"/>
      <c r="BR178" s="23"/>
      <c r="BS178" s="23"/>
      <c r="BT178" s="23"/>
    </row>
    <row r="179" spans="1:72">
      <c r="A179">
        <v>25</v>
      </c>
      <c r="B179" s="11">
        <v>0</v>
      </c>
      <c r="C179" s="1">
        <v>0</v>
      </c>
      <c r="D179" s="1">
        <v>0</v>
      </c>
      <c r="E179" s="1">
        <v>0</v>
      </c>
      <c r="F179" s="1">
        <v>0</v>
      </c>
      <c r="G179" s="1">
        <v>0</v>
      </c>
      <c r="H179" s="1">
        <v>0</v>
      </c>
      <c r="I179" s="1">
        <v>0</v>
      </c>
      <c r="J179" s="1">
        <v>0</v>
      </c>
      <c r="K179" s="1">
        <v>0</v>
      </c>
      <c r="L179" s="1">
        <v>0</v>
      </c>
      <c r="M179" s="1">
        <v>0</v>
      </c>
      <c r="N179" s="1">
        <v>0</v>
      </c>
      <c r="O179" s="1">
        <v>0</v>
      </c>
      <c r="P179" s="1">
        <v>0</v>
      </c>
      <c r="Q179" s="1">
        <v>0</v>
      </c>
      <c r="R179" s="1">
        <v>0</v>
      </c>
      <c r="S179" s="1">
        <v>0</v>
      </c>
      <c r="T179" s="1">
        <v>0</v>
      </c>
      <c r="U179" s="1">
        <v>0</v>
      </c>
      <c r="V179" s="1">
        <v>0</v>
      </c>
      <c r="W179" s="1">
        <v>0</v>
      </c>
      <c r="X179" s="1">
        <v>0</v>
      </c>
      <c r="Y179" s="1">
        <v>0</v>
      </c>
      <c r="Z179" s="1">
        <v>1</v>
      </c>
      <c r="AA179" s="1">
        <v>0</v>
      </c>
      <c r="AB179" s="1">
        <v>0</v>
      </c>
      <c r="AC179" s="1">
        <v>0</v>
      </c>
      <c r="AD179" s="1">
        <v>0</v>
      </c>
      <c r="AE179" s="1">
        <v>0</v>
      </c>
      <c r="AF179" s="1">
        <v>0</v>
      </c>
      <c r="AG179" s="12">
        <v>0</v>
      </c>
      <c r="AH179" s="23"/>
      <c r="AI179" s="23">
        <v>25</v>
      </c>
      <c r="AJ179" s="11">
        <v>6.5898384439816493E-2</v>
      </c>
      <c r="AK179" s="1">
        <v>-6.7050578166302319E-2</v>
      </c>
      <c r="AL179" s="1">
        <v>-4.7066582932393242E-2</v>
      </c>
      <c r="AM179" s="1">
        <v>0.21179745661314342</v>
      </c>
      <c r="AN179" s="1">
        <v>-7.3140239745297944E-2</v>
      </c>
      <c r="AO179" s="1">
        <v>-0.11133868992006486</v>
      </c>
      <c r="AP179" s="1">
        <v>-8.661350374063953E-2</v>
      </c>
      <c r="AQ179" s="1">
        <v>0.21179703230657584</v>
      </c>
      <c r="AR179" s="1">
        <v>0.14546176172767755</v>
      </c>
      <c r="AS179" s="1">
        <v>-4.120835305477781E-2</v>
      </c>
      <c r="AT179" s="1">
        <v>-1.8359531218653205E-2</v>
      </c>
      <c r="AU179" s="1">
        <v>6.5898446622730394E-2</v>
      </c>
      <c r="AV179" s="1">
        <v>-8.3010890449776609E-2</v>
      </c>
      <c r="AW179" s="1">
        <v>7.5735384748410239E-2</v>
      </c>
      <c r="AX179" s="1">
        <v>-3.4566677530646454E-3</v>
      </c>
      <c r="AY179" s="1">
        <v>-5.0467428619324239E-2</v>
      </c>
      <c r="AZ179" s="1">
        <v>-9.4849869185988908E-2</v>
      </c>
      <c r="BA179" s="1">
        <v>-5.9623680129459828E-3</v>
      </c>
      <c r="BB179" s="1">
        <v>-6.7469544683596172E-2</v>
      </c>
      <c r="BC179" s="1">
        <v>-3.0050109280077002E-2</v>
      </c>
      <c r="BD179" s="1">
        <v>-9.9140227865153516E-2</v>
      </c>
      <c r="BE179" s="1">
        <v>-0.14955656184396515</v>
      </c>
      <c r="BF179" s="1">
        <v>-4.1988796523980666E-2</v>
      </c>
      <c r="BG179" s="1">
        <v>-5.2286088450124384E-2</v>
      </c>
      <c r="BH179" s="1">
        <v>0.44828113363994493</v>
      </c>
      <c r="BI179" s="1">
        <v>-0.10530945895672139</v>
      </c>
      <c r="BJ179" s="1">
        <v>1.4296353394185609E-2</v>
      </c>
      <c r="BK179" s="1">
        <v>-8.5397087703444771E-2</v>
      </c>
      <c r="BL179" s="1">
        <v>3.6244129787923574E-2</v>
      </c>
      <c r="BM179" s="1">
        <v>8.4247246466589553E-3</v>
      </c>
      <c r="BN179" s="1">
        <v>-6.6393597647153371E-2</v>
      </c>
      <c r="BO179" s="12">
        <v>5.5002596909939971E-2</v>
      </c>
      <c r="BP179" s="23"/>
      <c r="BQ179" s="23"/>
      <c r="BR179" s="23"/>
      <c r="BS179" s="23"/>
      <c r="BT179" s="23"/>
    </row>
    <row r="180" spans="1:72">
      <c r="A180">
        <v>26</v>
      </c>
      <c r="B180" s="11">
        <v>0</v>
      </c>
      <c r="C180" s="1">
        <v>0</v>
      </c>
      <c r="D180" s="1">
        <v>0</v>
      </c>
      <c r="E180" s="1">
        <v>0</v>
      </c>
      <c r="F180" s="1">
        <v>0</v>
      </c>
      <c r="G180" s="1">
        <v>0</v>
      </c>
      <c r="H180" s="1">
        <v>0</v>
      </c>
      <c r="I180" s="1">
        <v>0</v>
      </c>
      <c r="J180" s="1">
        <v>0</v>
      </c>
      <c r="K180" s="1">
        <v>0</v>
      </c>
      <c r="L180" s="1">
        <v>0</v>
      </c>
      <c r="M180" s="1">
        <v>0</v>
      </c>
      <c r="N180" s="1">
        <v>0</v>
      </c>
      <c r="O180" s="1">
        <v>0</v>
      </c>
      <c r="P180" s="1">
        <v>0</v>
      </c>
      <c r="Q180" s="1">
        <v>0</v>
      </c>
      <c r="R180" s="1">
        <v>0</v>
      </c>
      <c r="S180" s="1">
        <v>0</v>
      </c>
      <c r="T180" s="1">
        <v>0</v>
      </c>
      <c r="U180" s="1">
        <v>0</v>
      </c>
      <c r="V180" s="1">
        <v>0</v>
      </c>
      <c r="W180" s="1">
        <v>0</v>
      </c>
      <c r="X180" s="1">
        <v>0</v>
      </c>
      <c r="Y180" s="1">
        <v>0</v>
      </c>
      <c r="Z180" s="1">
        <v>0</v>
      </c>
      <c r="AA180" s="1">
        <v>1</v>
      </c>
      <c r="AB180" s="1">
        <v>0</v>
      </c>
      <c r="AC180" s="1">
        <v>0</v>
      </c>
      <c r="AD180" s="1">
        <v>0</v>
      </c>
      <c r="AE180" s="1">
        <v>0</v>
      </c>
      <c r="AF180" s="1">
        <v>0</v>
      </c>
      <c r="AG180" s="12">
        <v>0</v>
      </c>
      <c r="AH180" s="23"/>
      <c r="AI180" s="23">
        <v>26</v>
      </c>
      <c r="AJ180" s="11">
        <v>9.5874732026085457E-2</v>
      </c>
      <c r="AK180" s="1">
        <v>-1.8945518621779026E-2</v>
      </c>
      <c r="AL180" s="1">
        <v>-2.8285119193420388E-3</v>
      </c>
      <c r="AM180" s="1">
        <v>-8.0617784464765585E-2</v>
      </c>
      <c r="AN180" s="1">
        <v>3.6990452676276993E-2</v>
      </c>
      <c r="AO180" s="1">
        <v>0.24254613523630336</v>
      </c>
      <c r="AP180" s="1">
        <v>-8.2773338063802521E-2</v>
      </c>
      <c r="AQ180" s="1">
        <v>-8.061762295831526E-2</v>
      </c>
      <c r="AR180" s="1">
        <v>-6.647275847603587E-2</v>
      </c>
      <c r="AS180" s="1">
        <v>-0.15714683323663137</v>
      </c>
      <c r="AT180" s="1">
        <v>-0.15897120633999892</v>
      </c>
      <c r="AU180" s="1">
        <v>9.5874822495226122E-2</v>
      </c>
      <c r="AV180" s="1">
        <v>9.3508801988292034E-2</v>
      </c>
      <c r="AW180" s="1">
        <v>-1.0704037607487116E-3</v>
      </c>
      <c r="AX180" s="1">
        <v>-1.8684695329889645E-2</v>
      </c>
      <c r="AY180" s="1">
        <v>-4.2495961760362119E-2</v>
      </c>
      <c r="AZ180" s="1">
        <v>-4.8309623487867347E-2</v>
      </c>
      <c r="BA180" s="1">
        <v>4.4183548198997273E-2</v>
      </c>
      <c r="BB180" s="1">
        <v>4.8402416911173196E-2</v>
      </c>
      <c r="BC180" s="1">
        <v>-1.3407643179004836E-2</v>
      </c>
      <c r="BD180" s="1">
        <v>-0.11142937557779661</v>
      </c>
      <c r="BE180" s="1">
        <v>-0.16192035814808686</v>
      </c>
      <c r="BF180" s="1">
        <v>-0.10558482790241028</v>
      </c>
      <c r="BG180" s="1">
        <v>-9.2510763304112842E-2</v>
      </c>
      <c r="BH180" s="1">
        <v>-0.10530945895672139</v>
      </c>
      <c r="BI180" s="1">
        <v>0.57675478388912804</v>
      </c>
      <c r="BJ180" s="1">
        <v>-3.0384451312088463E-2</v>
      </c>
      <c r="BK180" s="1">
        <v>-3.8429851270232039E-2</v>
      </c>
      <c r="BL180" s="1">
        <v>1.8751090719874949E-2</v>
      </c>
      <c r="BM180" s="1">
        <v>2.7416864955379511E-2</v>
      </c>
      <c r="BN180" s="1">
        <v>-1.3051446816406603E-2</v>
      </c>
      <c r="BO180" s="12">
        <v>1.0579928490504473E-2</v>
      </c>
      <c r="BP180" s="23"/>
      <c r="BQ180" s="23"/>
      <c r="BR180" s="23"/>
      <c r="BS180" s="23"/>
      <c r="BT180" s="23"/>
    </row>
    <row r="181" spans="1:72">
      <c r="A181">
        <v>27</v>
      </c>
      <c r="B181" s="11">
        <v>0</v>
      </c>
      <c r="C181" s="1">
        <v>0</v>
      </c>
      <c r="D181" s="1">
        <v>0</v>
      </c>
      <c r="E181" s="1">
        <v>0</v>
      </c>
      <c r="F181" s="1">
        <v>0</v>
      </c>
      <c r="G181" s="1">
        <v>0</v>
      </c>
      <c r="H181" s="1">
        <v>0</v>
      </c>
      <c r="I181" s="1">
        <v>0</v>
      </c>
      <c r="J181" s="1">
        <v>0</v>
      </c>
      <c r="K181" s="1">
        <v>0</v>
      </c>
      <c r="L181" s="1">
        <v>0</v>
      </c>
      <c r="M181" s="1">
        <v>0</v>
      </c>
      <c r="N181" s="1">
        <v>0</v>
      </c>
      <c r="O181" s="1">
        <v>0</v>
      </c>
      <c r="P181" s="1">
        <v>0</v>
      </c>
      <c r="Q181" s="1">
        <v>0</v>
      </c>
      <c r="R181" s="1">
        <v>0</v>
      </c>
      <c r="S181" s="1">
        <v>0</v>
      </c>
      <c r="T181" s="1">
        <v>0</v>
      </c>
      <c r="U181" s="1">
        <v>0</v>
      </c>
      <c r="V181" s="1">
        <v>0</v>
      </c>
      <c r="W181" s="1">
        <v>0</v>
      </c>
      <c r="X181" s="1">
        <v>0</v>
      </c>
      <c r="Y181" s="1">
        <v>0</v>
      </c>
      <c r="Z181" s="1">
        <v>0</v>
      </c>
      <c r="AA181" s="1">
        <v>0</v>
      </c>
      <c r="AB181" s="1">
        <v>1</v>
      </c>
      <c r="AC181" s="1">
        <v>0</v>
      </c>
      <c r="AD181" s="1">
        <v>0</v>
      </c>
      <c r="AE181" s="1">
        <v>0</v>
      </c>
      <c r="AF181" s="1">
        <v>0</v>
      </c>
      <c r="AG181" s="12">
        <v>0</v>
      </c>
      <c r="AH181" s="23"/>
      <c r="AI181" s="23">
        <v>27</v>
      </c>
      <c r="AJ181" s="11">
        <v>-5.907134460494845E-2</v>
      </c>
      <c r="AK181" s="1">
        <v>-0.10023304719135806</v>
      </c>
      <c r="AL181" s="1">
        <v>-1.6236819289725389E-2</v>
      </c>
      <c r="AM181" s="1">
        <v>5.0379549575135171E-2</v>
      </c>
      <c r="AN181" s="1">
        <v>-0.10894267324315572</v>
      </c>
      <c r="AO181" s="1">
        <v>0.10560134103705784</v>
      </c>
      <c r="AP181" s="1">
        <v>0.2410178548476245</v>
      </c>
      <c r="AQ181" s="1">
        <v>5.0379448646757446E-2</v>
      </c>
      <c r="AR181" s="1">
        <v>-8.5559187990643895E-2</v>
      </c>
      <c r="AS181" s="1">
        <v>-4.8042674631492161E-3</v>
      </c>
      <c r="AT181" s="1">
        <v>3.8395104924702383E-2</v>
      </c>
      <c r="AU181" s="1">
        <v>-5.9071400345743499E-2</v>
      </c>
      <c r="AV181" s="1">
        <v>0.12670493057938423</v>
      </c>
      <c r="AW181" s="1">
        <v>-6.6637299852520426E-2</v>
      </c>
      <c r="AX181" s="1">
        <v>-3.2815420443942867E-2</v>
      </c>
      <c r="AY181" s="1">
        <v>2.8467359734333626E-2</v>
      </c>
      <c r="AZ181" s="1">
        <v>-7.3789658252327014E-2</v>
      </c>
      <c r="BA181" s="1">
        <v>-1.9182957365619507E-3</v>
      </c>
      <c r="BB181" s="1">
        <v>-8.9900787587963646E-3</v>
      </c>
      <c r="BC181" s="1">
        <v>0.11625002470107149</v>
      </c>
      <c r="BD181" s="1">
        <v>-8.8013184928816112E-3</v>
      </c>
      <c r="BE181" s="1">
        <v>4.2774843415635727E-2</v>
      </c>
      <c r="BF181" s="1">
        <v>6.2600269879964338E-2</v>
      </c>
      <c r="BG181" s="1">
        <v>-8.0485696884815508E-2</v>
      </c>
      <c r="BH181" s="1">
        <v>1.4296353394185488E-2</v>
      </c>
      <c r="BI181" s="1">
        <v>-3.0384451312088417E-2</v>
      </c>
      <c r="BJ181" s="1">
        <v>0.45787077477819671</v>
      </c>
      <c r="BK181" s="1">
        <v>-0.25237419243702619</v>
      </c>
      <c r="BL181" s="1">
        <v>3.2995198666953982E-2</v>
      </c>
      <c r="BM181" s="1">
        <v>-6.2988747567839454E-2</v>
      </c>
      <c r="BN181" s="1">
        <v>-0.10153963000180014</v>
      </c>
      <c r="BO181" s="12">
        <v>4.4902238609749151E-2</v>
      </c>
      <c r="BP181" s="23"/>
      <c r="BQ181" s="23"/>
      <c r="BR181" s="23"/>
      <c r="BS181" s="23"/>
      <c r="BT181" s="23"/>
    </row>
    <row r="182" spans="1:72">
      <c r="A182">
        <v>28</v>
      </c>
      <c r="B182" s="11">
        <v>0</v>
      </c>
      <c r="C182" s="1">
        <v>0</v>
      </c>
      <c r="D182" s="1">
        <v>0</v>
      </c>
      <c r="E182" s="1">
        <v>0</v>
      </c>
      <c r="F182" s="1">
        <v>0</v>
      </c>
      <c r="G182" s="1">
        <v>0</v>
      </c>
      <c r="H182" s="1">
        <v>0</v>
      </c>
      <c r="I182" s="1">
        <v>0</v>
      </c>
      <c r="J182" s="1">
        <v>0</v>
      </c>
      <c r="K182" s="1">
        <v>0</v>
      </c>
      <c r="L182" s="1">
        <v>0</v>
      </c>
      <c r="M182" s="1">
        <v>0</v>
      </c>
      <c r="N182" s="1">
        <v>0</v>
      </c>
      <c r="O182" s="1">
        <v>0</v>
      </c>
      <c r="P182" s="1">
        <v>0</v>
      </c>
      <c r="Q182" s="1">
        <v>0</v>
      </c>
      <c r="R182" s="1">
        <v>0</v>
      </c>
      <c r="S182" s="1">
        <v>0</v>
      </c>
      <c r="T182" s="1">
        <v>0</v>
      </c>
      <c r="U182" s="1">
        <v>0</v>
      </c>
      <c r="V182" s="1">
        <v>0</v>
      </c>
      <c r="W182" s="1">
        <v>0</v>
      </c>
      <c r="X182" s="1">
        <v>0</v>
      </c>
      <c r="Y182" s="1">
        <v>0</v>
      </c>
      <c r="Z182" s="1">
        <v>0</v>
      </c>
      <c r="AA182" s="1">
        <v>0</v>
      </c>
      <c r="AB182" s="1">
        <v>0</v>
      </c>
      <c r="AC182" s="1">
        <v>1</v>
      </c>
      <c r="AD182" s="1">
        <v>0</v>
      </c>
      <c r="AE182" s="1">
        <v>0</v>
      </c>
      <c r="AF182" s="1">
        <v>0</v>
      </c>
      <c r="AG182" s="12">
        <v>0</v>
      </c>
      <c r="AH182" s="23"/>
      <c r="AI182" s="23">
        <v>28</v>
      </c>
      <c r="AJ182" s="11">
        <v>2.9287633983691858E-3</v>
      </c>
      <c r="AK182" s="1">
        <v>0.10516489516851506</v>
      </c>
      <c r="AL182" s="1">
        <v>-5.5062104955636598E-2</v>
      </c>
      <c r="AM182" s="1">
        <v>2.6220381151438016E-2</v>
      </c>
      <c r="AN182" s="1">
        <v>7.4288623730298778E-2</v>
      </c>
      <c r="AO182" s="1">
        <v>2.2572354438817804E-2</v>
      </c>
      <c r="AP182" s="1">
        <v>0.1103917403286763</v>
      </c>
      <c r="AQ182" s="1">
        <v>2.6220328622573313E-2</v>
      </c>
      <c r="AR182" s="1">
        <v>4.1372030838680754E-2</v>
      </c>
      <c r="AS182" s="1">
        <v>-1.5947269586146895E-2</v>
      </c>
      <c r="AT182" s="1">
        <v>-5.3817164297007697E-3</v>
      </c>
      <c r="AU182" s="1">
        <v>2.9287661620036737E-3</v>
      </c>
      <c r="AV182" s="1">
        <v>5.7226427028376235E-2</v>
      </c>
      <c r="AW182" s="1">
        <v>-1.5544224738294157E-2</v>
      </c>
      <c r="AX182" s="1">
        <v>-2.9273048934328583E-2</v>
      </c>
      <c r="AY182" s="1">
        <v>-3.4552653267171163E-2</v>
      </c>
      <c r="AZ182" s="1">
        <v>9.1586214638498975E-2</v>
      </c>
      <c r="BA182" s="1">
        <v>-2.5362365519055331E-2</v>
      </c>
      <c r="BB182" s="1">
        <v>-0.12421744939609812</v>
      </c>
      <c r="BC182" s="1">
        <v>-0.2303956436212686</v>
      </c>
      <c r="BD182" s="1">
        <v>-1.3318200219877389E-2</v>
      </c>
      <c r="BE182" s="1">
        <v>7.0693527634944145E-3</v>
      </c>
      <c r="BF182" s="1">
        <v>-2.3016632262716816E-2</v>
      </c>
      <c r="BG182" s="1">
        <v>0.15309241869277646</v>
      </c>
      <c r="BH182" s="1">
        <v>-8.5397087703444674E-2</v>
      </c>
      <c r="BI182" s="1">
        <v>-3.8429851270232046E-2</v>
      </c>
      <c r="BJ182" s="1">
        <v>-0.25237419243702625</v>
      </c>
      <c r="BK182" s="1">
        <v>0.36918713909478673</v>
      </c>
      <c r="BL182" s="1">
        <v>-1.0709233962809317E-2</v>
      </c>
      <c r="BM182" s="1">
        <v>5.0012290411214161E-2</v>
      </c>
      <c r="BN182" s="1">
        <v>0.12165204605817809</v>
      </c>
      <c r="BO182" s="12">
        <v>-3.5041284324944938E-3</v>
      </c>
      <c r="BP182" s="23"/>
      <c r="BQ182" s="23"/>
      <c r="BR182" s="23"/>
      <c r="BS182" s="23"/>
      <c r="BT182" s="23"/>
    </row>
    <row r="183" spans="1:72">
      <c r="A183">
        <v>29</v>
      </c>
      <c r="B183" s="11">
        <v>0</v>
      </c>
      <c r="C183" s="1">
        <v>0</v>
      </c>
      <c r="D183" s="1">
        <v>0</v>
      </c>
      <c r="E183" s="1">
        <v>0</v>
      </c>
      <c r="F183" s="1">
        <v>0</v>
      </c>
      <c r="G183" s="1">
        <v>0</v>
      </c>
      <c r="H183" s="1">
        <v>0</v>
      </c>
      <c r="I183" s="1">
        <v>0</v>
      </c>
      <c r="J183" s="1">
        <v>0</v>
      </c>
      <c r="K183" s="1">
        <v>0</v>
      </c>
      <c r="L183" s="1">
        <v>0</v>
      </c>
      <c r="M183" s="1">
        <v>0</v>
      </c>
      <c r="N183" s="1">
        <v>0</v>
      </c>
      <c r="O183" s="1">
        <v>0</v>
      </c>
      <c r="P183" s="1">
        <v>0</v>
      </c>
      <c r="Q183" s="1">
        <v>0</v>
      </c>
      <c r="R183" s="1">
        <v>0</v>
      </c>
      <c r="S183" s="1">
        <v>0</v>
      </c>
      <c r="T183" s="1">
        <v>0</v>
      </c>
      <c r="U183" s="1">
        <v>0</v>
      </c>
      <c r="V183" s="1">
        <v>0</v>
      </c>
      <c r="W183" s="1">
        <v>0</v>
      </c>
      <c r="X183" s="1">
        <v>0</v>
      </c>
      <c r="Y183" s="1">
        <v>0</v>
      </c>
      <c r="Z183" s="1">
        <v>0</v>
      </c>
      <c r="AA183" s="1">
        <v>0</v>
      </c>
      <c r="AB183" s="1">
        <v>0</v>
      </c>
      <c r="AC183" s="1">
        <v>0</v>
      </c>
      <c r="AD183" s="1">
        <v>1</v>
      </c>
      <c r="AE183" s="1">
        <v>0</v>
      </c>
      <c r="AF183" s="1">
        <v>0</v>
      </c>
      <c r="AG183" s="12">
        <v>0</v>
      </c>
      <c r="AH183" s="23"/>
      <c r="AI183" s="23">
        <v>29</v>
      </c>
      <c r="AJ183" s="11">
        <v>1.3254144970267029E-2</v>
      </c>
      <c r="AK183" s="1">
        <v>0.15330306211539238</v>
      </c>
      <c r="AL183" s="1">
        <v>-0.10555957629791118</v>
      </c>
      <c r="AM183" s="1">
        <v>1.9740015424940319E-2</v>
      </c>
      <c r="AN183" s="1">
        <v>4.5918175697367385E-3</v>
      </c>
      <c r="AO183" s="1">
        <v>-1.9150053112293106E-3</v>
      </c>
      <c r="AP183" s="1">
        <v>-1.3454604370676816E-2</v>
      </c>
      <c r="AQ183" s="1">
        <v>1.9739975878581638E-2</v>
      </c>
      <c r="AR183" s="1">
        <v>-7.9707230058804326E-2</v>
      </c>
      <c r="AS183" s="1">
        <v>-3.7860641879791075E-3</v>
      </c>
      <c r="AT183" s="1">
        <v>-1.5953359766997074E-2</v>
      </c>
      <c r="AU183" s="1">
        <v>1.3254157477119229E-2</v>
      </c>
      <c r="AV183" s="1">
        <v>-1.7792395535039057E-2</v>
      </c>
      <c r="AW183" s="1">
        <v>-3.3436966267759535E-2</v>
      </c>
      <c r="AX183" s="1">
        <v>6.9294971124147675E-2</v>
      </c>
      <c r="AY183" s="1">
        <v>6.0692513317541122E-2</v>
      </c>
      <c r="AZ183" s="1">
        <v>3.9415406463303569E-2</v>
      </c>
      <c r="BA183" s="1">
        <v>0.11192807333520277</v>
      </c>
      <c r="BB183" s="1">
        <v>-6.8846978091499533E-2</v>
      </c>
      <c r="BC183" s="1">
        <v>-0.12330178542955526</v>
      </c>
      <c r="BD183" s="1">
        <v>3.0004710125221802E-2</v>
      </c>
      <c r="BE183" s="1">
        <v>-1.5485378648847081E-3</v>
      </c>
      <c r="BF183" s="1">
        <v>-9.4031450438730513E-2</v>
      </c>
      <c r="BG183" s="1">
        <v>1.058005767059491E-2</v>
      </c>
      <c r="BH183" s="1">
        <v>3.6244129787923587E-2</v>
      </c>
      <c r="BI183" s="1">
        <v>1.8751090719874929E-2</v>
      </c>
      <c r="BJ183" s="1">
        <v>3.2995198666954023E-2</v>
      </c>
      <c r="BK183" s="1">
        <v>-1.0709233962809343E-2</v>
      </c>
      <c r="BL183" s="1">
        <v>0.42253632489774484</v>
      </c>
      <c r="BM183" s="1">
        <v>-0.20805442091681747</v>
      </c>
      <c r="BN183" s="1">
        <v>-0.29041647682484922</v>
      </c>
      <c r="BO183" s="12">
        <v>-0.1307592722820074</v>
      </c>
      <c r="BP183" s="23"/>
      <c r="BQ183" s="23"/>
      <c r="BR183" s="23"/>
      <c r="BS183" s="23"/>
      <c r="BT183" s="23"/>
    </row>
    <row r="184" spans="1:72">
      <c r="A184">
        <v>30</v>
      </c>
      <c r="B184" s="11">
        <v>0</v>
      </c>
      <c r="C184" s="1">
        <v>0</v>
      </c>
      <c r="D184" s="1">
        <v>0</v>
      </c>
      <c r="E184" s="1">
        <v>0</v>
      </c>
      <c r="F184" s="1">
        <v>0</v>
      </c>
      <c r="G184" s="1">
        <v>0</v>
      </c>
      <c r="H184" s="1">
        <v>0</v>
      </c>
      <c r="I184" s="1">
        <v>0</v>
      </c>
      <c r="J184" s="1">
        <v>0</v>
      </c>
      <c r="K184" s="1">
        <v>0</v>
      </c>
      <c r="L184" s="1">
        <v>0</v>
      </c>
      <c r="M184" s="1">
        <v>0</v>
      </c>
      <c r="N184" s="1">
        <v>0</v>
      </c>
      <c r="O184" s="1">
        <v>0</v>
      </c>
      <c r="P184" s="1">
        <v>0</v>
      </c>
      <c r="Q184" s="1">
        <v>0</v>
      </c>
      <c r="R184" s="1">
        <v>0</v>
      </c>
      <c r="S184" s="1">
        <v>0</v>
      </c>
      <c r="T184" s="1">
        <v>0</v>
      </c>
      <c r="U184" s="1">
        <v>0</v>
      </c>
      <c r="V184" s="1">
        <v>0</v>
      </c>
      <c r="W184" s="1">
        <v>0</v>
      </c>
      <c r="X184" s="1">
        <v>0</v>
      </c>
      <c r="Y184" s="1">
        <v>0</v>
      </c>
      <c r="Z184" s="1">
        <v>0</v>
      </c>
      <c r="AA184" s="1">
        <v>0</v>
      </c>
      <c r="AB184" s="1">
        <v>0</v>
      </c>
      <c r="AC184" s="1">
        <v>0</v>
      </c>
      <c r="AD184" s="1">
        <v>0</v>
      </c>
      <c r="AE184" s="1">
        <v>1</v>
      </c>
      <c r="AF184" s="1">
        <v>0</v>
      </c>
      <c r="AG184" s="12">
        <v>0</v>
      </c>
      <c r="AH184" s="23"/>
      <c r="AI184" s="23">
        <v>30</v>
      </c>
      <c r="AJ184" s="11">
        <v>-3.8153490587601174E-2</v>
      </c>
      <c r="AK184" s="1">
        <v>-8.1580593368905469E-2</v>
      </c>
      <c r="AL184" s="1">
        <v>0.18810940119072778</v>
      </c>
      <c r="AM184" s="1">
        <v>-3.3393854502878378E-2</v>
      </c>
      <c r="AN184" s="1">
        <v>-9.6989430126486323E-2</v>
      </c>
      <c r="AO184" s="1">
        <v>3.9524805602776936E-2</v>
      </c>
      <c r="AP184" s="1">
        <v>2.262425904999589E-2</v>
      </c>
      <c r="AQ184" s="1">
        <v>-3.3393787602963687E-2</v>
      </c>
      <c r="AR184" s="1">
        <v>0.14469793135288753</v>
      </c>
      <c r="AS184" s="1">
        <v>1.5623225103463869E-2</v>
      </c>
      <c r="AT184" s="1">
        <v>2.7186005007658332E-2</v>
      </c>
      <c r="AU184" s="1">
        <v>-3.8153526589928627E-2</v>
      </c>
      <c r="AV184" s="1">
        <v>1.47719477492812E-2</v>
      </c>
      <c r="AW184" s="1">
        <v>-2.3343965902590268E-2</v>
      </c>
      <c r="AX184" s="1">
        <v>1.0932095591361463E-2</v>
      </c>
      <c r="AY184" s="1">
        <v>4.0772658149751492E-2</v>
      </c>
      <c r="AZ184" s="1">
        <v>-7.7030712536221346E-2</v>
      </c>
      <c r="BA184" s="1">
        <v>2.2988338292549163E-2</v>
      </c>
      <c r="BB184" s="1">
        <v>2.6930515808508724E-2</v>
      </c>
      <c r="BC184" s="1">
        <v>-0.21205689709803832</v>
      </c>
      <c r="BD184" s="1">
        <v>1.3205786844259423E-2</v>
      </c>
      <c r="BE184" s="1">
        <v>2.3380476589373728E-2</v>
      </c>
      <c r="BF184" s="1">
        <v>3.6065019615500217E-2</v>
      </c>
      <c r="BG184" s="1">
        <v>-0.10849287265117205</v>
      </c>
      <c r="BH184" s="1">
        <v>8.4247246466589432E-3</v>
      </c>
      <c r="BI184" s="1">
        <v>2.7416864955379622E-2</v>
      </c>
      <c r="BJ184" s="1">
        <v>-6.2988747567839537E-2</v>
      </c>
      <c r="BK184" s="1">
        <v>5.0012290411214147E-2</v>
      </c>
      <c r="BL184" s="1">
        <v>-0.20805442091681736</v>
      </c>
      <c r="BM184" s="1">
        <v>0.66319717601974282</v>
      </c>
      <c r="BN184" s="1">
        <v>-0.15383205722051355</v>
      </c>
      <c r="BO184" s="12">
        <v>6.8777752001183794E-3</v>
      </c>
      <c r="BP184" s="23"/>
      <c r="BQ184" s="23"/>
      <c r="BR184" s="23"/>
      <c r="BS184" s="23"/>
      <c r="BT184" s="23"/>
    </row>
    <row r="185" spans="1:72">
      <c r="A185">
        <v>31</v>
      </c>
      <c r="B185" s="11">
        <v>0</v>
      </c>
      <c r="C185" s="1">
        <v>0</v>
      </c>
      <c r="D185" s="1">
        <v>0</v>
      </c>
      <c r="E185" s="1">
        <v>0</v>
      </c>
      <c r="F185" s="1">
        <v>0</v>
      </c>
      <c r="G185" s="1">
        <v>0</v>
      </c>
      <c r="H185" s="1">
        <v>0</v>
      </c>
      <c r="I185" s="1">
        <v>0</v>
      </c>
      <c r="J185" s="1">
        <v>0</v>
      </c>
      <c r="K185" s="1">
        <v>0</v>
      </c>
      <c r="L185" s="1">
        <v>0</v>
      </c>
      <c r="M185" s="1">
        <v>0</v>
      </c>
      <c r="N185" s="1">
        <v>0</v>
      </c>
      <c r="O185" s="1">
        <v>0</v>
      </c>
      <c r="P185" s="1">
        <v>0</v>
      </c>
      <c r="Q185" s="1">
        <v>0</v>
      </c>
      <c r="R185" s="1">
        <v>0</v>
      </c>
      <c r="S185" s="1">
        <v>0</v>
      </c>
      <c r="T185" s="1">
        <v>0</v>
      </c>
      <c r="U185" s="1">
        <v>0</v>
      </c>
      <c r="V185" s="1">
        <v>0</v>
      </c>
      <c r="W185" s="1">
        <v>0</v>
      </c>
      <c r="X185" s="1">
        <v>0</v>
      </c>
      <c r="Y185" s="1">
        <v>0</v>
      </c>
      <c r="Z185" s="1">
        <v>0</v>
      </c>
      <c r="AA185" s="1">
        <v>0</v>
      </c>
      <c r="AB185" s="1">
        <v>0</v>
      </c>
      <c r="AC185" s="1">
        <v>0</v>
      </c>
      <c r="AD185" s="1">
        <v>0</v>
      </c>
      <c r="AE185" s="1">
        <v>0</v>
      </c>
      <c r="AF185" s="1">
        <v>1</v>
      </c>
      <c r="AG185" s="12">
        <v>0</v>
      </c>
      <c r="AH185" s="23"/>
      <c r="AI185" s="23">
        <v>31</v>
      </c>
      <c r="AJ185" s="11">
        <v>4.8873734902921281E-2</v>
      </c>
      <c r="AK185" s="1">
        <v>-0.13735840449849859</v>
      </c>
      <c r="AL185" s="1">
        <v>-0.11148879849068254</v>
      </c>
      <c r="AM185" s="1">
        <v>4.6648541301866076E-2</v>
      </c>
      <c r="AN185" s="1">
        <v>0.1589934940157896</v>
      </c>
      <c r="AO185" s="1">
        <v>-2.096200994161148E-2</v>
      </c>
      <c r="AP185" s="1">
        <v>2.633127146592365E-2</v>
      </c>
      <c r="AQ185" s="1">
        <v>4.6648447848041043E-2</v>
      </c>
      <c r="AR185" s="1">
        <v>-2.640696951592135E-2</v>
      </c>
      <c r="AS185" s="1">
        <v>-1.3813726463616855E-2</v>
      </c>
      <c r="AT185" s="1">
        <v>-5.2396427278753266E-2</v>
      </c>
      <c r="AU185" s="1">
        <v>4.8873781021066307E-2</v>
      </c>
      <c r="AV185" s="1">
        <v>3.541463818785464E-2</v>
      </c>
      <c r="AW185" s="1">
        <v>1.7569033181584599E-2</v>
      </c>
      <c r="AX185" s="1">
        <v>-5.5868934609491425E-2</v>
      </c>
      <c r="AY185" s="1">
        <v>-4.8315073261568003E-2</v>
      </c>
      <c r="AZ185" s="1">
        <v>3.0387048148791382E-2</v>
      </c>
      <c r="BA185" s="1">
        <v>-9.9439672323449885E-2</v>
      </c>
      <c r="BB185" s="1">
        <v>1.6079435932048775E-2</v>
      </c>
      <c r="BC185" s="1">
        <v>6.8444668883528306E-2</v>
      </c>
      <c r="BD185" s="1">
        <v>1.9841134211647727E-2</v>
      </c>
      <c r="BE185" s="1">
        <v>4.2950810341725126E-2</v>
      </c>
      <c r="BF185" s="1">
        <v>7.7606482288240713E-2</v>
      </c>
      <c r="BG185" s="1">
        <v>-6.0953382378053533E-2</v>
      </c>
      <c r="BH185" s="1">
        <v>-6.6393597647153385E-2</v>
      </c>
      <c r="BI185" s="1">
        <v>-1.3051446816406603E-2</v>
      </c>
      <c r="BJ185" s="1">
        <v>-0.10153963000180016</v>
      </c>
      <c r="BK185" s="1">
        <v>0.12165204605817809</v>
      </c>
      <c r="BL185" s="1">
        <v>-0.29041647682484911</v>
      </c>
      <c r="BM185" s="1">
        <v>-0.15383205722051346</v>
      </c>
      <c r="BN185" s="1">
        <v>0.49502500961731627</v>
      </c>
      <c r="BO185" s="12">
        <v>8.4021377381095858E-2</v>
      </c>
      <c r="BP185" s="23"/>
      <c r="BQ185" s="23"/>
      <c r="BR185" s="23"/>
      <c r="BS185" s="23"/>
      <c r="BT185" s="23"/>
    </row>
    <row r="186" spans="1:72">
      <c r="A186">
        <v>32</v>
      </c>
      <c r="B186" s="13">
        <v>0</v>
      </c>
      <c r="C186" s="14">
        <v>0</v>
      </c>
      <c r="D186" s="14">
        <v>0</v>
      </c>
      <c r="E186" s="14">
        <v>0</v>
      </c>
      <c r="F186" s="14">
        <v>0</v>
      </c>
      <c r="G186" s="14">
        <v>0</v>
      </c>
      <c r="H186" s="14">
        <v>0</v>
      </c>
      <c r="I186" s="14">
        <v>0</v>
      </c>
      <c r="J186" s="14">
        <v>0</v>
      </c>
      <c r="K186" s="14">
        <v>0</v>
      </c>
      <c r="L186" s="14">
        <v>0</v>
      </c>
      <c r="M186" s="14">
        <v>0</v>
      </c>
      <c r="N186" s="14">
        <v>0</v>
      </c>
      <c r="O186" s="14">
        <v>0</v>
      </c>
      <c r="P186" s="14">
        <v>0</v>
      </c>
      <c r="Q186" s="14">
        <v>0</v>
      </c>
      <c r="R186" s="14">
        <v>0</v>
      </c>
      <c r="S186" s="14">
        <v>0</v>
      </c>
      <c r="T186" s="14">
        <v>0</v>
      </c>
      <c r="U186" s="14">
        <v>0</v>
      </c>
      <c r="V186" s="14">
        <v>0</v>
      </c>
      <c r="W186" s="14">
        <v>0</v>
      </c>
      <c r="X186" s="14">
        <v>0</v>
      </c>
      <c r="Y186" s="14">
        <v>0</v>
      </c>
      <c r="Z186" s="14">
        <v>0</v>
      </c>
      <c r="AA186" s="14">
        <v>0</v>
      </c>
      <c r="AB186" s="14">
        <v>0</v>
      </c>
      <c r="AC186" s="14">
        <v>0</v>
      </c>
      <c r="AD186" s="14">
        <v>0</v>
      </c>
      <c r="AE186" s="14">
        <v>0</v>
      </c>
      <c r="AF186" s="14">
        <v>0</v>
      </c>
      <c r="AG186" s="15">
        <v>1</v>
      </c>
      <c r="AH186" s="23"/>
      <c r="AI186" s="23">
        <v>32</v>
      </c>
      <c r="AJ186" s="13">
        <v>-2.6973174665433877E-2</v>
      </c>
      <c r="AK186" s="14">
        <v>-8.362365497938784E-2</v>
      </c>
      <c r="AL186" s="14">
        <v>-2.1492333890227644E-2</v>
      </c>
      <c r="AM186" s="14">
        <v>-1.2998091117707188E-2</v>
      </c>
      <c r="AN186" s="14">
        <v>-0.1001384146216119</v>
      </c>
      <c r="AO186" s="14">
        <v>2.2264122628809606E-2</v>
      </c>
      <c r="AP186" s="14">
        <v>3.9828604138652749E-3</v>
      </c>
      <c r="AQ186" s="14">
        <v>-1.2998065077850417E-2</v>
      </c>
      <c r="AR186" s="14">
        <v>-4.1132337341756121E-2</v>
      </c>
      <c r="AS186" s="14">
        <v>-2.5450760882091399E-3</v>
      </c>
      <c r="AT186" s="14">
        <v>2.990896071622523E-2</v>
      </c>
      <c r="AU186" s="14">
        <v>-2.6973200117811971E-2</v>
      </c>
      <c r="AV186" s="14">
        <v>-4.0160161463694874E-2</v>
      </c>
      <c r="AW186" s="14">
        <v>-6.7705648589313258E-2</v>
      </c>
      <c r="AX186" s="14">
        <v>0.14210842685275341</v>
      </c>
      <c r="AY186" s="14">
        <v>-9.1323407109838495E-2</v>
      </c>
      <c r="AZ186" s="14">
        <v>0.11379416961042105</v>
      </c>
      <c r="BA186" s="14">
        <v>0.2512404034222373</v>
      </c>
      <c r="BB186" s="14">
        <v>-0.1078517158796182</v>
      </c>
      <c r="BC186" s="14">
        <v>2.9332546486120999E-2</v>
      </c>
      <c r="BD186" s="14">
        <v>4.7222237280763607E-3</v>
      </c>
      <c r="BE186" s="14">
        <v>-5.8293592161404978E-2</v>
      </c>
      <c r="BF186" s="14">
        <v>-8.801600040436143E-2</v>
      </c>
      <c r="BG186" s="14">
        <v>7.6004843437245617E-2</v>
      </c>
      <c r="BH186" s="14">
        <v>5.5002596909940034E-2</v>
      </c>
      <c r="BI186" s="14">
        <v>1.0579928490504362E-2</v>
      </c>
      <c r="BJ186" s="14">
        <v>4.4902238609749207E-2</v>
      </c>
      <c r="BK186" s="14">
        <v>-3.5041284324944834E-3</v>
      </c>
      <c r="BL186" s="14">
        <v>-0.13075927228200748</v>
      </c>
      <c r="BM186" s="14">
        <v>6.8777752001184245E-3</v>
      </c>
      <c r="BN186" s="14">
        <v>8.4021377381095969E-2</v>
      </c>
      <c r="BO186" s="15">
        <v>0.74085371829733715</v>
      </c>
      <c r="BP186" s="23"/>
      <c r="BQ186" s="23"/>
      <c r="BR186" s="23"/>
      <c r="BS186" s="23"/>
      <c r="BT186" s="23"/>
    </row>
    <row r="187" spans="1:72">
      <c r="B187" s="23"/>
      <c r="C187" s="23"/>
      <c r="D187" s="23"/>
      <c r="E187" s="23"/>
      <c r="F187" s="23"/>
      <c r="G187" s="23"/>
      <c r="H187" s="23"/>
      <c r="I187" s="23"/>
      <c r="J187" s="23"/>
      <c r="K187" s="23"/>
      <c r="L187" s="23"/>
      <c r="M187" s="23"/>
      <c r="N187" s="23"/>
      <c r="O187" s="23"/>
      <c r="P187" s="23"/>
      <c r="Q187" s="23"/>
      <c r="R187" s="23"/>
      <c r="S187" s="23"/>
      <c r="T187" s="23"/>
      <c r="U187" s="23"/>
      <c r="V187" s="23"/>
      <c r="W187" s="23"/>
      <c r="X187" s="23"/>
      <c r="Y187" s="23"/>
      <c r="Z187" s="23"/>
      <c r="AA187" s="23"/>
      <c r="AB187" s="23"/>
      <c r="AC187" s="23"/>
      <c r="AD187" s="23"/>
      <c r="AE187" s="23"/>
      <c r="AF187" s="23"/>
      <c r="AG187" s="23"/>
      <c r="AH187" s="23"/>
      <c r="AI187" s="23"/>
      <c r="AJ187" s="23"/>
      <c r="AK187" s="23"/>
      <c r="AL187" s="23"/>
      <c r="AM187" s="23"/>
      <c r="AN187" s="23"/>
      <c r="AO187" s="23"/>
      <c r="AP187" s="23"/>
      <c r="AQ187" s="23"/>
      <c r="AR187" s="23"/>
      <c r="AS187" s="23"/>
      <c r="AT187" s="23"/>
      <c r="AU187" s="23"/>
      <c r="AV187" s="23"/>
      <c r="AW187" s="23"/>
      <c r="AX187" s="23"/>
      <c r="AY187" s="23"/>
      <c r="AZ187" s="23"/>
      <c r="BA187" s="23"/>
      <c r="BB187" s="23"/>
      <c r="BC187" s="23"/>
      <c r="BD187" s="23"/>
      <c r="BE187" s="23"/>
      <c r="BF187" s="23"/>
      <c r="BG187" s="23"/>
      <c r="BH187" s="23"/>
      <c r="BI187" s="23"/>
      <c r="BJ187" s="23"/>
      <c r="BK187" s="23"/>
      <c r="BL187" s="23"/>
      <c r="BM187" s="23"/>
      <c r="BN187" s="23"/>
      <c r="BO187" s="23"/>
      <c r="BP187" s="23"/>
      <c r="BQ187" s="23"/>
      <c r="BR187" s="23"/>
      <c r="BS187" s="23"/>
      <c r="BT187" s="23"/>
    </row>
    <row r="188" spans="1:72">
      <c r="B188" s="23"/>
      <c r="C188" s="23"/>
      <c r="D188" s="23"/>
      <c r="E188" s="23"/>
      <c r="F188" s="23"/>
      <c r="G188" s="23"/>
      <c r="H188" s="23"/>
      <c r="I188" s="23"/>
      <c r="J188" s="23"/>
      <c r="K188" s="23"/>
      <c r="L188" s="23"/>
      <c r="M188" s="23"/>
      <c r="N188" s="23"/>
      <c r="O188" s="23"/>
      <c r="P188" s="23"/>
      <c r="Q188" s="23"/>
      <c r="R188" s="23"/>
      <c r="S188" s="23"/>
      <c r="T188" s="23"/>
      <c r="U188" s="23"/>
      <c r="V188" s="23"/>
      <c r="W188" s="23"/>
      <c r="X188" s="23"/>
      <c r="Y188" s="23"/>
      <c r="Z188" s="23"/>
      <c r="AA188" s="23"/>
      <c r="AB188" s="23"/>
      <c r="AC188" s="23"/>
      <c r="AD188" s="23"/>
      <c r="AE188" s="23"/>
      <c r="AF188" s="23"/>
      <c r="AG188" s="23"/>
      <c r="AH188" s="23"/>
      <c r="AI188" s="23"/>
      <c r="AJ188" s="23"/>
      <c r="AK188" s="280" t="s">
        <v>72</v>
      </c>
      <c r="AL188" s="282"/>
      <c r="AM188" s="281"/>
      <c r="AN188" s="23"/>
      <c r="AO188" s="23"/>
      <c r="AP188" s="23"/>
      <c r="AQ188" s="23"/>
      <c r="AR188" s="23"/>
      <c r="AS188" s="23"/>
      <c r="AV188" s="23"/>
      <c r="AW188" s="23"/>
      <c r="AX188" s="23"/>
      <c r="AY188" s="23"/>
      <c r="AZ188" s="23"/>
      <c r="BA188" s="23"/>
      <c r="BB188" s="23"/>
      <c r="BC188" s="23"/>
      <c r="BD188" s="23"/>
      <c r="BE188" s="23"/>
      <c r="BF188" s="23"/>
      <c r="BG188" s="23"/>
      <c r="BH188" s="23"/>
      <c r="BI188" s="23"/>
      <c r="BJ188" s="23"/>
      <c r="BK188" s="23"/>
      <c r="BL188" s="23"/>
      <c r="BM188" s="23"/>
      <c r="BN188" s="23"/>
      <c r="BO188" s="23"/>
      <c r="BP188" s="23"/>
      <c r="BQ188" s="23"/>
      <c r="BR188" s="23"/>
      <c r="BS188" s="23"/>
      <c r="BT188" s="23"/>
    </row>
    <row r="189" spans="1:72">
      <c r="B189" s="275" t="s">
        <v>73</v>
      </c>
      <c r="C189" s="276"/>
      <c r="D189" s="276"/>
      <c r="E189" s="276"/>
      <c r="F189" s="276"/>
      <c r="G189" s="276"/>
      <c r="H189" s="276"/>
      <c r="I189" s="276"/>
      <c r="J189" s="276"/>
      <c r="K189" s="276"/>
      <c r="L189" s="276"/>
      <c r="M189" s="276"/>
      <c r="N189" s="276"/>
      <c r="O189" s="276"/>
      <c r="P189" s="276"/>
      <c r="Q189" s="276"/>
      <c r="R189" s="276"/>
      <c r="S189" s="276"/>
      <c r="T189" s="276"/>
      <c r="U189" s="276"/>
      <c r="V189" s="276"/>
      <c r="W189" s="276"/>
      <c r="X189" s="276"/>
      <c r="Y189" s="276"/>
      <c r="Z189" s="276"/>
      <c r="AA189" s="276"/>
      <c r="AB189" s="276"/>
      <c r="AC189" s="276"/>
      <c r="AD189" s="276"/>
      <c r="AE189" s="276"/>
      <c r="AF189" s="276"/>
      <c r="AG189" s="277"/>
      <c r="AH189" s="23"/>
      <c r="AI189" s="103" t="s">
        <v>74</v>
      </c>
      <c r="AJ189" s="23"/>
      <c r="AK189" s="69" t="s">
        <v>75</v>
      </c>
      <c r="AL189" s="86" t="s">
        <v>76</v>
      </c>
      <c r="AM189" s="69" t="s">
        <v>77</v>
      </c>
      <c r="AN189" s="23"/>
      <c r="AO189" s="278" t="s">
        <v>78</v>
      </c>
      <c r="AP189" s="279"/>
      <c r="AQ189" s="23"/>
      <c r="AR189" s="23"/>
      <c r="AV189" s="23"/>
      <c r="AW189" s="23"/>
      <c r="AX189" s="23"/>
      <c r="AY189" s="23"/>
      <c r="AZ189" s="23"/>
      <c r="BA189" s="23"/>
      <c r="BB189" s="23"/>
      <c r="BC189" s="23"/>
      <c r="BD189" s="23"/>
      <c r="BE189" s="23"/>
      <c r="BF189" s="23"/>
      <c r="BG189" s="23"/>
      <c r="BH189" s="23"/>
      <c r="BI189" s="23"/>
      <c r="BJ189" s="23"/>
      <c r="BK189" s="23"/>
      <c r="BL189" s="23"/>
      <c r="BM189" s="23"/>
      <c r="BN189" s="23"/>
      <c r="BO189" s="23"/>
      <c r="BP189" s="23"/>
      <c r="BQ189" s="23"/>
      <c r="BR189" s="23"/>
      <c r="BS189" s="23"/>
      <c r="BT189" s="23"/>
    </row>
    <row r="190" spans="1:72">
      <c r="A190">
        <v>1</v>
      </c>
      <c r="B190" s="8" cm="1">
        <f t="array" ref="B190:AG221">_xlfn.ANCHORARRAY(B155)-_xlfn.ANCHORARRAY(AJ155)</f>
        <v>0.73179848911938794</v>
      </c>
      <c r="C190" s="9">
        <v>4.2334841892681871E-3</v>
      </c>
      <c r="D190" s="9">
        <v>2.4575665803245578E-2</v>
      </c>
      <c r="E190" s="9">
        <v>-5.7774100521840968E-2</v>
      </c>
      <c r="F190" s="9">
        <v>-6.9523280632850099E-2</v>
      </c>
      <c r="G190" s="9">
        <v>-0.13918542102890863</v>
      </c>
      <c r="H190" s="9">
        <v>4.5134827226539553E-2</v>
      </c>
      <c r="I190" s="9">
        <v>-5.7773984779514842E-2</v>
      </c>
      <c r="J190" s="9">
        <v>-4.5857572238886674E-2</v>
      </c>
      <c r="K190" s="9">
        <v>-9.2477920432634766E-2</v>
      </c>
      <c r="L190" s="9">
        <v>-0.21393519860375831</v>
      </c>
      <c r="M190" s="9">
        <v>-0.26820176396043477</v>
      </c>
      <c r="N190" s="9">
        <v>3.0691591053061126E-2</v>
      </c>
      <c r="O190" s="9">
        <v>1.5146144945430772E-2</v>
      </c>
      <c r="P190" s="9">
        <v>-8.5840424816346766E-3</v>
      </c>
      <c r="Q190" s="9">
        <v>-8.3669325128304835E-3</v>
      </c>
      <c r="R190" s="9">
        <v>-9.7503123931469426E-3</v>
      </c>
      <c r="S190" s="9">
        <v>-2.7821811253266722E-2</v>
      </c>
      <c r="T190" s="9">
        <v>-4.5645903433442353E-2</v>
      </c>
      <c r="U190" s="9">
        <v>3.560198334286363E-3</v>
      </c>
      <c r="V190" s="9">
        <v>5.0967149585240727E-2</v>
      </c>
      <c r="W190" s="9">
        <v>1.2138019875997934E-2</v>
      </c>
      <c r="X190" s="9">
        <v>3.0626513583326513E-2</v>
      </c>
      <c r="Y190" s="9">
        <v>6.8041433421336811E-2</v>
      </c>
      <c r="Z190" s="9">
        <v>-6.5898384439816493E-2</v>
      </c>
      <c r="AA190" s="9">
        <v>-9.5874732026085457E-2</v>
      </c>
      <c r="AB190" s="9">
        <v>5.907134460494845E-2</v>
      </c>
      <c r="AC190" s="9">
        <v>-2.9287633983691753E-3</v>
      </c>
      <c r="AD190" s="9">
        <v>-1.3254144970267036E-2</v>
      </c>
      <c r="AE190" s="9">
        <v>3.8153490587601216E-2</v>
      </c>
      <c r="AF190" s="9">
        <v>-4.8873734902921268E-2</v>
      </c>
      <c r="AG190" s="10">
        <v>2.6973174665433919E-2</v>
      </c>
      <c r="AH190" s="23"/>
      <c r="AI190" s="2" cm="1">
        <f t="array" ref="AI190">SQRT(INDEX(_xlfn.ANCHORARRAY($B$190),A190,A190))</f>
        <v>0.85545221322958065</v>
      </c>
      <c r="AJ190" s="23"/>
      <c r="AK190" s="2">
        <f t="shared" ref="AK190:AK221" si="50">$AP$191*AI190</f>
        <v>0.85639813496224015</v>
      </c>
      <c r="AL190" s="104">
        <f>ABS(Y119/AK190)</f>
        <v>1.0240532034501768</v>
      </c>
      <c r="AM190" s="107" t="str">
        <f>IF(AL190&lt;2.5,"Spełniony","Nie spełniony")</f>
        <v>Spełniony</v>
      </c>
      <c r="AN190" s="23"/>
      <c r="AO190" s="101" t="s">
        <v>79</v>
      </c>
      <c r="AP190" s="102">
        <f>CHIINV(0.05,19)/19</f>
        <v>1.5865014318761135</v>
      </c>
      <c r="AQ190" s="23"/>
      <c r="AR190" s="23"/>
      <c r="AV190" s="23"/>
      <c r="AW190" s="23"/>
      <c r="AX190" s="23"/>
      <c r="AY190" s="23"/>
      <c r="AZ190" s="23"/>
      <c r="BA190" s="23"/>
      <c r="BB190" s="23"/>
      <c r="BC190" s="23"/>
      <c r="BD190" s="23"/>
      <c r="BE190" s="23"/>
      <c r="BF190" s="23"/>
      <c r="BG190" s="23"/>
      <c r="BH190" s="23"/>
      <c r="BI190" s="23"/>
      <c r="BJ190" s="23"/>
      <c r="BK190" s="23"/>
      <c r="BL190" s="23"/>
      <c r="BM190" s="23"/>
      <c r="BN190" s="23"/>
      <c r="BO190" s="23"/>
      <c r="BP190" s="23"/>
      <c r="BQ190" s="23"/>
      <c r="BR190" s="23"/>
      <c r="BS190" s="23"/>
      <c r="BT190" s="23"/>
    </row>
    <row r="191" spans="1:72">
      <c r="A191">
        <v>2</v>
      </c>
      <c r="B191" s="11">
        <v>4.233484189268194E-3</v>
      </c>
      <c r="C191" s="1">
        <v>0.7719014842748505</v>
      </c>
      <c r="D191" s="1">
        <v>-9.6521117252524449E-2</v>
      </c>
      <c r="E191" s="1">
        <v>6.1979848758647385E-3</v>
      </c>
      <c r="F191" s="1">
        <v>-3.4115030990536761E-2</v>
      </c>
      <c r="G191" s="1">
        <v>-1.246938966554767E-2</v>
      </c>
      <c r="H191" s="1">
        <v>-4.880567663816518E-2</v>
      </c>
      <c r="I191" s="1">
        <v>6.1979724590693411E-3</v>
      </c>
      <c r="J191" s="1">
        <v>-0.10131377284724785</v>
      </c>
      <c r="K191" s="1">
        <v>8.8667551359342366E-3</v>
      </c>
      <c r="L191" s="1">
        <v>-5.4874709940366771E-3</v>
      </c>
      <c r="M191" s="1">
        <v>4.2334881840608227E-3</v>
      </c>
      <c r="N191" s="1">
        <v>-1.4095981405088349E-2</v>
      </c>
      <c r="O191" s="1">
        <v>1.9826175507856741E-2</v>
      </c>
      <c r="P191" s="1">
        <v>-1.8584411486547311E-2</v>
      </c>
      <c r="Q191" s="1">
        <v>3.8370562418994086E-3</v>
      </c>
      <c r="R191" s="1">
        <v>-0.108952673352034</v>
      </c>
      <c r="S191" s="1">
        <v>-4.5350661828258518E-2</v>
      </c>
      <c r="T191" s="1">
        <v>-5.9173129536279609E-2</v>
      </c>
      <c r="U191" s="1">
        <v>-4.1851544042913011E-2</v>
      </c>
      <c r="V191" s="1">
        <v>9.5842225100824345E-3</v>
      </c>
      <c r="W191" s="1">
        <v>1.6040037097371944E-2</v>
      </c>
      <c r="X191" s="1">
        <v>9.2305665238061427E-2</v>
      </c>
      <c r="Y191" s="1">
        <v>-0.20392602163359713</v>
      </c>
      <c r="Z191" s="1">
        <v>6.7050578166302291E-2</v>
      </c>
      <c r="AA191" s="1">
        <v>1.8945518621779067E-2</v>
      </c>
      <c r="AB191" s="1">
        <v>0.10023304719135806</v>
      </c>
      <c r="AC191" s="1">
        <v>-0.1051648951685151</v>
      </c>
      <c r="AD191" s="1">
        <v>-0.15330306211539235</v>
      </c>
      <c r="AE191" s="1">
        <v>8.1580593368905635E-2</v>
      </c>
      <c r="AF191" s="1">
        <v>0.13735840449849851</v>
      </c>
      <c r="AG191" s="12">
        <v>8.3623654979387729E-2</v>
      </c>
      <c r="AH191" s="23"/>
      <c r="AI191" s="3" cm="1">
        <f t="array" ref="AI191">SQRT(INDEX(_xlfn.ANCHORARRAY($B$190),A191,A191))</f>
        <v>0.87857924188706538</v>
      </c>
      <c r="AJ191" s="23"/>
      <c r="AK191" s="3">
        <f t="shared" si="50"/>
        <v>0.87955073647894555</v>
      </c>
      <c r="AL191" s="105">
        <f t="shared" ref="AL191:AL221" si="51">ABS(Y120/AK191)</f>
        <v>1.2679189893664251</v>
      </c>
      <c r="AM191" s="108" t="str">
        <f t="shared" ref="AM191:AM221" si="52">IF(AL191&lt;2.5,"Spełniony","Nie spełniony")</f>
        <v>Spełniony</v>
      </c>
      <c r="AN191" s="23"/>
      <c r="AO191" s="87" t="s">
        <v>67</v>
      </c>
      <c r="AP191" s="87">
        <f>AB131</f>
        <v>1.0011057563684223</v>
      </c>
      <c r="AQ191" s="23"/>
      <c r="AR191" s="23"/>
      <c r="AV191" s="23"/>
      <c r="AW191" s="23"/>
      <c r="AX191" s="23"/>
      <c r="AY191" s="23"/>
      <c r="AZ191" s="23"/>
      <c r="BA191" s="23"/>
      <c r="BB191" s="23"/>
      <c r="BC191" s="23"/>
      <c r="BD191" s="23"/>
      <c r="BE191" s="23"/>
      <c r="BF191" s="23"/>
      <c r="BG191" s="23"/>
      <c r="BH191" s="23"/>
      <c r="BI191" s="23"/>
      <c r="BJ191" s="23"/>
      <c r="BK191" s="23"/>
      <c r="BL191" s="23"/>
      <c r="BM191" s="23"/>
      <c r="BN191" s="23"/>
      <c r="BO191" s="23"/>
      <c r="BP191" s="23"/>
      <c r="BQ191" s="23"/>
      <c r="BR191" s="23"/>
      <c r="BS191" s="23"/>
      <c r="BT191" s="23"/>
    </row>
    <row r="192" spans="1:72">
      <c r="A192">
        <v>3</v>
      </c>
      <c r="B192" s="67">
        <v>2.457566580324555E-2</v>
      </c>
      <c r="C192" s="25">
        <v>-9.6521117252524519E-2</v>
      </c>
      <c r="D192" s="25">
        <v>0.75139395481762195</v>
      </c>
      <c r="E192" s="25">
        <v>4.099596973095903E-2</v>
      </c>
      <c r="F192" s="25">
        <v>3.1839816391949445E-2</v>
      </c>
      <c r="G192" s="25">
        <v>-1.4907936482872742E-2</v>
      </c>
      <c r="H192" s="25">
        <v>-1.070362471181394E-2</v>
      </c>
      <c r="I192" s="25">
        <v>4.0995887601270237E-2</v>
      </c>
      <c r="J192" s="25">
        <v>-0.17693811395443376</v>
      </c>
      <c r="K192" s="25">
        <v>-5.0269417841416397E-3</v>
      </c>
      <c r="L192" s="25">
        <v>-2.5432875224263057E-2</v>
      </c>
      <c r="M192" s="25">
        <v>2.4575688993290684E-2</v>
      </c>
      <c r="N192" s="25">
        <v>4.6452807698787839E-4</v>
      </c>
      <c r="O192" s="25">
        <v>3.5106491408028709E-3</v>
      </c>
      <c r="P192" s="25">
        <v>-3.1317769474443844E-3</v>
      </c>
      <c r="Q192" s="25">
        <v>5.9256832653468879E-3</v>
      </c>
      <c r="R192" s="25">
        <v>-3.0846905657119998E-2</v>
      </c>
      <c r="S192" s="25">
        <v>-1.2370769563098186E-2</v>
      </c>
      <c r="T192" s="25">
        <v>-0.17580774616358744</v>
      </c>
      <c r="U192" s="25">
        <v>-0.16968591319289156</v>
      </c>
      <c r="V192" s="25">
        <v>1.5607770723672806E-2</v>
      </c>
      <c r="W192" s="25">
        <v>1.3984241046350898E-2</v>
      </c>
      <c r="X192" s="25">
        <v>3.1619485802772691E-2</v>
      </c>
      <c r="Y192" s="25">
        <v>-0.11110659242453164</v>
      </c>
      <c r="Z192" s="25">
        <v>4.7066582932393193E-2</v>
      </c>
      <c r="AA192" s="25">
        <v>2.8285119193420527E-3</v>
      </c>
      <c r="AB192" s="25">
        <v>1.6236819289725396E-2</v>
      </c>
      <c r="AC192" s="25">
        <v>5.5062104955636584E-2</v>
      </c>
      <c r="AD192" s="25">
        <v>0.10555957629791116</v>
      </c>
      <c r="AE192" s="25">
        <v>-0.18810940119072775</v>
      </c>
      <c r="AF192" s="25">
        <v>0.11148879849068252</v>
      </c>
      <c r="AG192" s="45">
        <v>2.1492333890227609E-2</v>
      </c>
      <c r="AI192" s="3" cm="1">
        <f t="array" ref="AI192">SQRT(INDEX(_xlfn.ANCHORARRAY($B$190),A192,A192))</f>
        <v>0.86682983036904193</v>
      </c>
      <c r="AJ192" s="23"/>
      <c r="AK192" s="3">
        <f t="shared" si="50"/>
        <v>0.86778833297431091</v>
      </c>
      <c r="AL192" s="105">
        <f t="shared" si="51"/>
        <v>0.47623143823112235</v>
      </c>
      <c r="AM192" s="108" t="str">
        <f t="shared" si="52"/>
        <v>Spełniony</v>
      </c>
      <c r="AN192" s="23"/>
      <c r="AO192" s="280" t="str">
        <f>IF(AP190&gt;AP191,"Warunek spełniony","NIESPEŁNIONY!")</f>
        <v>Warunek spełniony</v>
      </c>
      <c r="AP192" s="281"/>
      <c r="AQ192" s="23"/>
    </row>
    <row r="193" spans="1:43">
      <c r="A193">
        <v>4</v>
      </c>
      <c r="B193" s="67">
        <v>-5.7774100521840968E-2</v>
      </c>
      <c r="C193" s="25">
        <v>6.1979848758647316E-3</v>
      </c>
      <c r="D193" s="25">
        <v>4.0995969730959085E-2</v>
      </c>
      <c r="E193" s="25">
        <v>0.78752618341978953</v>
      </c>
      <c r="F193" s="25">
        <v>-5.6979847115523813E-2</v>
      </c>
      <c r="G193" s="25">
        <v>1.4819900151707824E-2</v>
      </c>
      <c r="H193" s="25">
        <v>-0.13056878270181366</v>
      </c>
      <c r="I193" s="25">
        <v>-0.21247339091865036</v>
      </c>
      <c r="J193" s="25">
        <v>-0.14197282042943701</v>
      </c>
      <c r="K193" s="25">
        <v>4.6240529890133115E-2</v>
      </c>
      <c r="L193" s="25">
        <v>4.8940880273846118E-2</v>
      </c>
      <c r="M193" s="25">
        <v>-5.7774155038532844E-2</v>
      </c>
      <c r="N193" s="25">
        <v>-5.3520384622604951E-2</v>
      </c>
      <c r="O193" s="25">
        <v>1.9984969473870476E-2</v>
      </c>
      <c r="P193" s="25">
        <v>3.9687431730585712E-3</v>
      </c>
      <c r="Q193" s="25">
        <v>1.4656321117193123E-3</v>
      </c>
      <c r="R193" s="25">
        <v>-4.1976443251630306E-3</v>
      </c>
      <c r="S193" s="25">
        <v>-2.2000336622967732E-2</v>
      </c>
      <c r="T193" s="25">
        <v>-1.2204930193448127E-2</v>
      </c>
      <c r="U193" s="25">
        <v>3.4220862723559828E-2</v>
      </c>
      <c r="V193" s="25">
        <v>1.8748358334355585E-2</v>
      </c>
      <c r="W193" s="25">
        <v>2.5247461278996249E-2</v>
      </c>
      <c r="X193" s="25">
        <v>3.2210827159626823E-2</v>
      </c>
      <c r="Y193" s="25">
        <v>5.4973025375399248E-2</v>
      </c>
      <c r="Z193" s="25">
        <v>-0.2117974566131435</v>
      </c>
      <c r="AA193" s="25">
        <v>8.0617784464765668E-2</v>
      </c>
      <c r="AB193" s="25">
        <v>-5.0379549575135227E-2</v>
      </c>
      <c r="AC193" s="25">
        <v>-2.6220381151437974E-2</v>
      </c>
      <c r="AD193" s="25">
        <v>-1.9740015424940357E-2</v>
      </c>
      <c r="AE193" s="25">
        <v>3.3393854502878406E-2</v>
      </c>
      <c r="AF193" s="25">
        <v>-4.6648541301866069E-2</v>
      </c>
      <c r="AG193" s="45">
        <v>1.2998091117707236E-2</v>
      </c>
      <c r="AI193" s="3" cm="1">
        <f t="array" ref="AI193">SQRT(INDEX(_xlfn.ANCHORARRAY($B$190),A193,A193))</f>
        <v>0.88742672002807621</v>
      </c>
      <c r="AJ193" s="23"/>
      <c r="AK193" s="3">
        <f t="shared" si="50"/>
        <v>0.88840799777525536</v>
      </c>
      <c r="AL193" s="105">
        <f t="shared" si="51"/>
        <v>1.8875111567399332</v>
      </c>
      <c r="AM193" s="108" t="str">
        <f t="shared" si="52"/>
        <v>Spełniony</v>
      </c>
      <c r="AN193" s="23"/>
      <c r="AO193" s="23"/>
      <c r="AP193" s="23"/>
      <c r="AQ193" s="23"/>
    </row>
    <row r="194" spans="1:43">
      <c r="A194">
        <v>5</v>
      </c>
      <c r="B194" s="67">
        <v>-6.9523280632850085E-2</v>
      </c>
      <c r="C194" s="25">
        <v>-3.411503099053674E-2</v>
      </c>
      <c r="D194" s="25">
        <v>3.1839816391949438E-2</v>
      </c>
      <c r="E194" s="25">
        <v>-5.6979847115523868E-2</v>
      </c>
      <c r="F194" s="25">
        <v>0.80235949652956395</v>
      </c>
      <c r="G194" s="25">
        <v>1.1290842290966011E-2</v>
      </c>
      <c r="H194" s="25">
        <v>-1.5170697974849778E-2</v>
      </c>
      <c r="I194" s="25">
        <v>-5.6979732964373281E-2</v>
      </c>
      <c r="J194" s="25">
        <v>-5.1753213685698837E-2</v>
      </c>
      <c r="K194" s="25">
        <v>1.3748925918346727E-2</v>
      </c>
      <c r="L194" s="25">
        <v>8.6706755338438996E-2</v>
      </c>
      <c r="M194" s="25">
        <v>-6.9523346236281952E-2</v>
      </c>
      <c r="N194" s="25">
        <v>-2.5351211485572012E-2</v>
      </c>
      <c r="O194" s="25">
        <v>4.2473493888274198E-2</v>
      </c>
      <c r="P194" s="25">
        <v>-4.2292700361958535E-2</v>
      </c>
      <c r="Q194" s="25">
        <v>-5.2346953050059687E-2</v>
      </c>
      <c r="R194" s="25">
        <v>-8.4846145089814737E-2</v>
      </c>
      <c r="S194" s="25">
        <v>-5.426570177481109E-2</v>
      </c>
      <c r="T194" s="25">
        <v>-0.13034741735596517</v>
      </c>
      <c r="U194" s="25">
        <v>-4.4484079657011039E-3</v>
      </c>
      <c r="V194" s="25">
        <v>-9.1807761404120919E-2</v>
      </c>
      <c r="W194" s="25">
        <v>-7.8449454461985979E-2</v>
      </c>
      <c r="X194" s="25">
        <v>2.862811631971891E-2</v>
      </c>
      <c r="Y194" s="25">
        <v>0.105479312477367</v>
      </c>
      <c r="Z194" s="25">
        <v>7.3140239745297916E-2</v>
      </c>
      <c r="AA194" s="25">
        <v>-3.6990452676276958E-2</v>
      </c>
      <c r="AB194" s="25">
        <v>0.10894267324315572</v>
      </c>
      <c r="AC194" s="25">
        <v>-7.4288623730298764E-2</v>
      </c>
      <c r="AD194" s="25">
        <v>-4.5918175697367558E-3</v>
      </c>
      <c r="AE194" s="25">
        <v>9.6989430126486365E-2</v>
      </c>
      <c r="AF194" s="25">
        <v>-0.15899349401578969</v>
      </c>
      <c r="AG194" s="45">
        <v>0.10013841462161191</v>
      </c>
      <c r="AI194" s="3" cm="1">
        <f t="array" ref="AI194">SQRT(INDEX(_xlfn.ANCHORARRAY($B$190),A194,A194))</f>
        <v>0.89574521853569722</v>
      </c>
      <c r="AJ194" s="23"/>
      <c r="AK194" s="3">
        <f t="shared" si="50"/>
        <v>0.89673569451557689</v>
      </c>
      <c r="AL194" s="105">
        <f t="shared" si="51"/>
        <v>0.43727262499022185</v>
      </c>
      <c r="AM194" s="108" t="str">
        <f t="shared" si="52"/>
        <v>Spełniony</v>
      </c>
      <c r="AN194" s="23"/>
      <c r="AO194" s="23"/>
      <c r="AP194" s="23"/>
      <c r="AQ194" s="23"/>
    </row>
    <row r="195" spans="1:43">
      <c r="A195">
        <v>6</v>
      </c>
      <c r="B195" s="67">
        <v>-0.13918542102890855</v>
      </c>
      <c r="C195" s="25">
        <v>-1.2469389665547684E-2</v>
      </c>
      <c r="D195" s="25">
        <v>-1.4907936482872754E-2</v>
      </c>
      <c r="E195" s="25">
        <v>1.4819900151707786E-2</v>
      </c>
      <c r="F195" s="25">
        <v>1.1290842290965976E-2</v>
      </c>
      <c r="G195" s="25">
        <v>0.72043753938107125</v>
      </c>
      <c r="H195" s="25">
        <v>-0.15424891825534709</v>
      </c>
      <c r="I195" s="25">
        <v>1.4819870462111487E-2</v>
      </c>
      <c r="J195" s="25">
        <v>2.7587914084131589E-2</v>
      </c>
      <c r="K195" s="25">
        <v>-5.4130907294334309E-3</v>
      </c>
      <c r="L195" s="25">
        <v>-0.13414207914192228</v>
      </c>
      <c r="M195" s="25">
        <v>-0.13918555236680286</v>
      </c>
      <c r="N195" s="25">
        <v>-0.12693235216441986</v>
      </c>
      <c r="O195" s="25">
        <v>6.1316749471912853E-2</v>
      </c>
      <c r="P195" s="25">
        <v>4.5862694625681488E-2</v>
      </c>
      <c r="Q195" s="25">
        <v>1.7163761453066393E-2</v>
      </c>
      <c r="R195" s="25">
        <v>3.0446168270585891E-3</v>
      </c>
      <c r="S195" s="25">
        <v>-8.4534676791878094E-3</v>
      </c>
      <c r="T195" s="25">
        <v>8.9495906475200362E-3</v>
      </c>
      <c r="U195" s="25">
        <v>2.1307285879106699E-2</v>
      </c>
      <c r="V195" s="25">
        <v>9.4085489441181294E-2</v>
      </c>
      <c r="W195" s="25">
        <v>3.2269548267763654E-2</v>
      </c>
      <c r="X195" s="25">
        <v>2.4378282523163076E-2</v>
      </c>
      <c r="Y195" s="25">
        <v>-1.9525874915869521E-2</v>
      </c>
      <c r="Z195" s="25">
        <v>0.1113386899200649</v>
      </c>
      <c r="AA195" s="25">
        <v>-0.24254613523630342</v>
      </c>
      <c r="AB195" s="25">
        <v>-0.10560134103705783</v>
      </c>
      <c r="AC195" s="25">
        <v>-2.2572354438817839E-2</v>
      </c>
      <c r="AD195" s="25">
        <v>1.9150053112293123E-3</v>
      </c>
      <c r="AE195" s="25">
        <v>-3.9524805602776908E-2</v>
      </c>
      <c r="AF195" s="25">
        <v>2.0962009941611511E-2</v>
      </c>
      <c r="AG195" s="45">
        <v>-2.2264122628809627E-2</v>
      </c>
      <c r="AI195" s="3" cm="1">
        <f t="array" ref="AI195">SQRT(INDEX(_xlfn.ANCHORARRAY($B$190),A195,A195))</f>
        <v>0.84878592081930249</v>
      </c>
      <c r="AJ195" s="23"/>
      <c r="AK195" s="3">
        <f t="shared" si="50"/>
        <v>0.84972447125667561</v>
      </c>
      <c r="AL195" s="105">
        <f t="shared" si="51"/>
        <v>0.40645338399129244</v>
      </c>
      <c r="AM195" s="108" t="str">
        <f t="shared" si="52"/>
        <v>Spełniony</v>
      </c>
      <c r="AN195" s="23"/>
      <c r="AO195" s="23"/>
      <c r="AP195" s="23"/>
      <c r="AQ195" s="23"/>
    </row>
    <row r="196" spans="1:43">
      <c r="A196">
        <v>7</v>
      </c>
      <c r="B196" s="67">
        <v>4.5134827226539553E-2</v>
      </c>
      <c r="C196" s="25">
        <v>-4.8805676638165173E-2</v>
      </c>
      <c r="D196" s="25">
        <v>-1.0703624711813915E-2</v>
      </c>
      <c r="E196" s="25">
        <v>-0.13056878270181366</v>
      </c>
      <c r="F196" s="25">
        <v>-1.5170697974849781E-2</v>
      </c>
      <c r="G196" s="25">
        <v>-0.15424891825534714</v>
      </c>
      <c r="H196" s="25">
        <v>0.5488045118470295</v>
      </c>
      <c r="I196" s="25">
        <v>-0.13056852112552819</v>
      </c>
      <c r="J196" s="25">
        <v>-6.3893367615528635E-2</v>
      </c>
      <c r="K196" s="25">
        <v>3.4536451344891098E-2</v>
      </c>
      <c r="L196" s="25">
        <v>-1.3077484368901743E-2</v>
      </c>
      <c r="M196" s="25">
        <v>4.513486981658326E-2</v>
      </c>
      <c r="N196" s="25">
        <v>-0.23696837370363255</v>
      </c>
      <c r="O196" s="25">
        <v>0.11878557864542769</v>
      </c>
      <c r="P196" s="25">
        <v>5.7297263884951176E-2</v>
      </c>
      <c r="Q196" s="25">
        <v>-1.1611373091786326E-2</v>
      </c>
      <c r="R196" s="25">
        <v>-5.6366063908609494E-2</v>
      </c>
      <c r="S196" s="25">
        <v>2.2368305200978506E-3</v>
      </c>
      <c r="T196" s="25">
        <v>2.3753120733800089E-2</v>
      </c>
      <c r="U196" s="25">
        <v>4.450607831694909E-2</v>
      </c>
      <c r="V196" s="25">
        <v>3.7673013792403204E-3</v>
      </c>
      <c r="W196" s="25">
        <v>-7.6898601505199171E-2</v>
      </c>
      <c r="X196" s="25">
        <v>-2.0911871505661768E-2</v>
      </c>
      <c r="Y196" s="25">
        <v>-7.5343670172821398E-2</v>
      </c>
      <c r="Z196" s="25">
        <v>8.6613503740639558E-2</v>
      </c>
      <c r="AA196" s="25">
        <v>8.2773338063802465E-2</v>
      </c>
      <c r="AB196" s="25">
        <v>-0.24101785484762453</v>
      </c>
      <c r="AC196" s="25">
        <v>-0.11039174032867632</v>
      </c>
      <c r="AD196" s="25">
        <v>1.3454604370676804E-2</v>
      </c>
      <c r="AE196" s="25">
        <v>-2.2624259049995911E-2</v>
      </c>
      <c r="AF196" s="25">
        <v>-2.6331271465923643E-2</v>
      </c>
      <c r="AG196" s="45">
        <v>-3.9828604138652211E-3</v>
      </c>
      <c r="AI196" s="3" cm="1">
        <f t="array" ref="AI196">SQRT(INDEX(_xlfn.ANCHORARRAY($B$190),A196,A196))</f>
        <v>0.74081341230233511</v>
      </c>
      <c r="AJ196" s="23"/>
      <c r="AK196" s="3">
        <f t="shared" si="50"/>
        <v>0.74163257145080108</v>
      </c>
      <c r="AL196" s="105">
        <f t="shared" si="51"/>
        <v>0.32757355138504601</v>
      </c>
      <c r="AM196" s="108" t="str">
        <f t="shared" si="52"/>
        <v>Spełniony</v>
      </c>
      <c r="AN196" s="23"/>
      <c r="AO196" s="23"/>
      <c r="AP196" s="23"/>
      <c r="AQ196" s="23"/>
    </row>
    <row r="197" spans="1:43">
      <c r="A197">
        <v>8</v>
      </c>
      <c r="B197" s="67">
        <v>-5.7773984779514835E-2</v>
      </c>
      <c r="C197" s="25">
        <v>6.1979724590693376E-3</v>
      </c>
      <c r="D197" s="25">
        <v>4.0995887601270264E-2</v>
      </c>
      <c r="E197" s="25">
        <v>-0.21247339091865036</v>
      </c>
      <c r="F197" s="25">
        <v>-5.6979732964373246E-2</v>
      </c>
      <c r="G197" s="25">
        <v>1.4819870462111515E-2</v>
      </c>
      <c r="H197" s="25">
        <v>-0.13056852112552819</v>
      </c>
      <c r="I197" s="25">
        <v>0.78752703474205699</v>
      </c>
      <c r="J197" s="25">
        <v>-0.14197253600675749</v>
      </c>
      <c r="K197" s="25">
        <v>4.6240437253701923E-2</v>
      </c>
      <c r="L197" s="25">
        <v>4.8940782227640763E-2</v>
      </c>
      <c r="M197" s="25">
        <v>-5.7774039296097486E-2</v>
      </c>
      <c r="N197" s="25">
        <v>-5.3520277402003574E-2</v>
      </c>
      <c r="O197" s="25">
        <v>1.9984929436780666E-2</v>
      </c>
      <c r="P197" s="25">
        <v>3.9687352222370006E-3</v>
      </c>
      <c r="Q197" s="25">
        <v>1.4656291755304491E-3</v>
      </c>
      <c r="R197" s="25">
        <v>-4.1976359157699736E-3</v>
      </c>
      <c r="S197" s="25">
        <v>-2.2000292548371801E-2</v>
      </c>
      <c r="T197" s="25">
        <v>-1.2204905742578319E-2</v>
      </c>
      <c r="U197" s="25">
        <v>3.4220794166849845E-2</v>
      </c>
      <c r="V197" s="25">
        <v>1.8748320774643085E-2</v>
      </c>
      <c r="W197" s="25">
        <v>2.5247410699240434E-2</v>
      </c>
      <c r="X197" s="25">
        <v>3.2210762629741825E-2</v>
      </c>
      <c r="Y197" s="25">
        <v>5.4972915244635268E-2</v>
      </c>
      <c r="Z197" s="25">
        <v>-0.21179703230657587</v>
      </c>
      <c r="AA197" s="25">
        <v>8.0617622958315316E-2</v>
      </c>
      <c r="AB197" s="25">
        <v>-5.0379448646757488E-2</v>
      </c>
      <c r="AC197" s="25">
        <v>-2.6220328622573279E-2</v>
      </c>
      <c r="AD197" s="25">
        <v>-1.9739975878581648E-2</v>
      </c>
      <c r="AE197" s="25">
        <v>3.3393787602963666E-2</v>
      </c>
      <c r="AF197" s="25">
        <v>-4.6648447848041043E-2</v>
      </c>
      <c r="AG197" s="45">
        <v>1.2998065077850493E-2</v>
      </c>
      <c r="AI197" s="3" cm="1">
        <f t="array" ref="AI197">SQRT(INDEX(_xlfn.ANCHORARRAY($B$190),A197,A197))</f>
        <v>0.88742719968573025</v>
      </c>
      <c r="AJ197" s="23"/>
      <c r="AK197" s="3">
        <f t="shared" si="50"/>
        <v>0.88840847796329392</v>
      </c>
      <c r="AL197" s="105">
        <f t="shared" si="51"/>
        <v>0.36749246579503325</v>
      </c>
      <c r="AM197" s="108" t="str">
        <f t="shared" si="52"/>
        <v>Spełniony</v>
      </c>
      <c r="AN197" s="23"/>
      <c r="AO197" s="23"/>
      <c r="AP197" s="23"/>
      <c r="AQ197" s="23"/>
    </row>
    <row r="198" spans="1:43">
      <c r="A198">
        <v>9</v>
      </c>
      <c r="B198" s="67">
        <v>-4.5857572238886701E-2</v>
      </c>
      <c r="C198" s="25">
        <v>-0.10131377284724789</v>
      </c>
      <c r="D198" s="25">
        <v>-0.17693811395443368</v>
      </c>
      <c r="E198" s="25">
        <v>-0.14197282042943701</v>
      </c>
      <c r="F198" s="25">
        <v>-5.1753213685698837E-2</v>
      </c>
      <c r="G198" s="25">
        <v>2.758791408413161E-2</v>
      </c>
      <c r="H198" s="25">
        <v>-6.3893367615528648E-2</v>
      </c>
      <c r="I198" s="25">
        <v>-0.14197253600675747</v>
      </c>
      <c r="J198" s="25">
        <v>0.70267745643746282</v>
      </c>
      <c r="K198" s="25">
        <v>3.5748160530247763E-2</v>
      </c>
      <c r="L198" s="25">
        <v>3.199067605764664E-2</v>
      </c>
      <c r="M198" s="25">
        <v>-4.5857615510925806E-2</v>
      </c>
      <c r="N198" s="25">
        <v>-1.4985683961654915E-2</v>
      </c>
      <c r="O198" s="25">
        <v>3.7690144101483747E-3</v>
      </c>
      <c r="P198" s="25">
        <v>-7.4700734913412947E-3</v>
      </c>
      <c r="Q198" s="25">
        <v>1.3556311962581825E-2</v>
      </c>
      <c r="R198" s="25">
        <v>-4.8534558770540213E-2</v>
      </c>
      <c r="S198" s="25">
        <v>-3.0510750864463459E-2</v>
      </c>
      <c r="T198" s="25">
        <v>-0.16120153251176172</v>
      </c>
      <c r="U198" s="25">
        <v>-8.2732396587148718E-2</v>
      </c>
      <c r="V198" s="25">
        <v>2.7604325292365388E-2</v>
      </c>
      <c r="W198" s="25">
        <v>4.5183588201321755E-2</v>
      </c>
      <c r="X198" s="25">
        <v>7.1294522844028818E-2</v>
      </c>
      <c r="Y198" s="25">
        <v>-6.5093433086074237E-2</v>
      </c>
      <c r="Z198" s="25">
        <v>-0.14546176172767755</v>
      </c>
      <c r="AA198" s="25">
        <v>6.6472758476035898E-2</v>
      </c>
      <c r="AB198" s="25">
        <v>8.5559187990643867E-2</v>
      </c>
      <c r="AC198" s="25">
        <v>-4.1372030838680754E-2</v>
      </c>
      <c r="AD198" s="25">
        <v>7.9707230058804243E-2</v>
      </c>
      <c r="AE198" s="25">
        <v>-0.14469793135288736</v>
      </c>
      <c r="AF198" s="25">
        <v>2.6406969515921332E-2</v>
      </c>
      <c r="AG198" s="45">
        <v>4.1132337341756156E-2</v>
      </c>
      <c r="AI198" s="3" cm="1">
        <f t="array" ref="AI198">SQRT(INDEX(_xlfn.ANCHORARRAY($B$190),A198,A198))</f>
        <v>0.83825858566283873</v>
      </c>
      <c r="AJ198" s="23"/>
      <c r="AK198" s="3">
        <f t="shared" si="50"/>
        <v>0.83918549543232002</v>
      </c>
      <c r="AL198" s="105">
        <f t="shared" si="51"/>
        <v>1.4283373406347957</v>
      </c>
      <c r="AM198" s="108" t="str">
        <f t="shared" si="52"/>
        <v>Spełniony</v>
      </c>
      <c r="AN198" s="23"/>
      <c r="AO198" s="23"/>
      <c r="AP198" s="23"/>
      <c r="AQ198" s="23"/>
    </row>
    <row r="199" spans="1:43">
      <c r="A199">
        <v>10</v>
      </c>
      <c r="B199" s="67">
        <v>-9.2477920432634794E-2</v>
      </c>
      <c r="C199" s="25">
        <v>8.8667551359342279E-3</v>
      </c>
      <c r="D199" s="25">
        <v>-5.0269417841416492E-3</v>
      </c>
      <c r="E199" s="25">
        <v>4.6240529890133109E-2</v>
      </c>
      <c r="F199" s="25">
        <v>1.3748925918346713E-2</v>
      </c>
      <c r="G199" s="25">
        <v>-5.4130907294335437E-3</v>
      </c>
      <c r="H199" s="25">
        <v>3.453645134489107E-2</v>
      </c>
      <c r="I199" s="25">
        <v>4.6240437253701902E-2</v>
      </c>
      <c r="J199" s="25">
        <v>3.5748160530247701E-2</v>
      </c>
      <c r="K199" s="25">
        <v>0.65215305726881745</v>
      </c>
      <c r="L199" s="25">
        <v>-0.24947664558458477</v>
      </c>
      <c r="M199" s="25">
        <v>-9.2478007696482081E-2</v>
      </c>
      <c r="N199" s="25">
        <v>-9.9850415149274757E-2</v>
      </c>
      <c r="O199" s="25">
        <v>-0.11559994123176211</v>
      </c>
      <c r="P199" s="25">
        <v>-4.853705201903781E-2</v>
      </c>
      <c r="Q199" s="25">
        <v>2.0387466938082258E-2</v>
      </c>
      <c r="R199" s="25">
        <v>2.7594196306323066E-2</v>
      </c>
      <c r="S199" s="25">
        <v>1.0824708876946306E-2</v>
      </c>
      <c r="T199" s="25">
        <v>2.5302793977023163E-3</v>
      </c>
      <c r="U199" s="25">
        <v>-2.0235148514821432E-3</v>
      </c>
      <c r="V199" s="25">
        <v>-0.28603848410381327</v>
      </c>
      <c r="W199" s="25">
        <v>6.4310019439774019E-2</v>
      </c>
      <c r="X199" s="25">
        <v>1.8389020352790768E-2</v>
      </c>
      <c r="Y199" s="25">
        <v>4.9842580198395971E-3</v>
      </c>
      <c r="Z199" s="25">
        <v>4.1208353054777783E-2</v>
      </c>
      <c r="AA199" s="25">
        <v>0.15714683323663112</v>
      </c>
      <c r="AB199" s="25">
        <v>4.8042674631492005E-3</v>
      </c>
      <c r="AC199" s="25">
        <v>1.5947269586146874E-2</v>
      </c>
      <c r="AD199" s="25">
        <v>3.7860641879791275E-3</v>
      </c>
      <c r="AE199" s="25">
        <v>-1.5623225103463888E-2</v>
      </c>
      <c r="AF199" s="25">
        <v>1.3813726463616859E-2</v>
      </c>
      <c r="AG199" s="45">
        <v>2.5450760882092544E-3</v>
      </c>
      <c r="AI199" s="3" cm="1">
        <f t="array" ref="AI199">SQRT(INDEX(_xlfn.ANCHORARRAY($B$190),A199,A199))</f>
        <v>0.80755994035663847</v>
      </c>
      <c r="AJ199" s="23"/>
      <c r="AK199" s="3">
        <f t="shared" si="50"/>
        <v>0.80845290490357047</v>
      </c>
      <c r="AL199" s="105">
        <f t="shared" si="51"/>
        <v>1.0711005975330199</v>
      </c>
      <c r="AM199" s="108" t="str">
        <f t="shared" si="52"/>
        <v>Spełniony</v>
      </c>
      <c r="AN199" s="23"/>
      <c r="AO199" s="23"/>
      <c r="AP199" s="23"/>
      <c r="AQ199" s="23"/>
    </row>
    <row r="200" spans="1:43">
      <c r="A200">
        <v>11</v>
      </c>
      <c r="B200" s="67">
        <v>-0.21393519860375831</v>
      </c>
      <c r="C200" s="25">
        <v>-5.4874709940366667E-3</v>
      </c>
      <c r="D200" s="25">
        <v>-2.5432875224263046E-2</v>
      </c>
      <c r="E200" s="25">
        <v>4.8940880273846098E-2</v>
      </c>
      <c r="F200" s="25">
        <v>8.6706755338438968E-2</v>
      </c>
      <c r="G200" s="25">
        <v>-0.13414207914192239</v>
      </c>
      <c r="H200" s="25">
        <v>-1.307748436890176E-2</v>
      </c>
      <c r="I200" s="25">
        <v>4.8940782227640728E-2</v>
      </c>
      <c r="J200" s="25">
        <v>3.1990676057646619E-2</v>
      </c>
      <c r="K200" s="25">
        <v>-0.24947664558458488</v>
      </c>
      <c r="L200" s="25">
        <v>0.51833708540357493</v>
      </c>
      <c r="M200" s="25">
        <v>-0.2139354004769019</v>
      </c>
      <c r="N200" s="25">
        <v>7.4290236018804884E-2</v>
      </c>
      <c r="O200" s="25">
        <v>1.7718011707477055E-2</v>
      </c>
      <c r="P200" s="25">
        <v>1.9527288970073511E-2</v>
      </c>
      <c r="Q200" s="25">
        <v>-8.0398479351527843E-3</v>
      </c>
      <c r="R200" s="25">
        <v>-3.684414313008047E-3</v>
      </c>
      <c r="S200" s="25">
        <v>3.7636396492639571E-2</v>
      </c>
      <c r="T200" s="25">
        <v>6.0044641020561604E-2</v>
      </c>
      <c r="U200" s="25">
        <v>-1.3921961848076623E-2</v>
      </c>
      <c r="V200" s="25">
        <v>5.1437165027522838E-2</v>
      </c>
      <c r="W200" s="25">
        <v>-7.059451571424262E-2</v>
      </c>
      <c r="X200" s="25">
        <v>-6.6396981629770493E-2</v>
      </c>
      <c r="Y200" s="25">
        <v>-9.1776405242161796E-2</v>
      </c>
      <c r="Z200" s="25">
        <v>1.8359531218653198E-2</v>
      </c>
      <c r="AA200" s="25">
        <v>0.15897120633999895</v>
      </c>
      <c r="AB200" s="25">
        <v>-3.8395104924702383E-2</v>
      </c>
      <c r="AC200" s="25">
        <v>5.3817164297007593E-3</v>
      </c>
      <c r="AD200" s="25">
        <v>1.5953359766997063E-2</v>
      </c>
      <c r="AE200" s="25">
        <v>-2.7186005007658387E-2</v>
      </c>
      <c r="AF200" s="25">
        <v>5.2396427278753301E-2</v>
      </c>
      <c r="AG200" s="45">
        <v>-2.9908960716225175E-2</v>
      </c>
      <c r="AI200" s="3" cm="1">
        <f t="array" ref="AI200">SQRT(INDEX(_xlfn.ANCHORARRAY($B$190),A200,A200))</f>
        <v>0.719956307982349</v>
      </c>
      <c r="AJ200" s="23"/>
      <c r="AK200" s="3">
        <f t="shared" si="50"/>
        <v>0.72075240425488629</v>
      </c>
      <c r="AL200" s="105">
        <f t="shared" si="51"/>
        <v>0.32463883090498263</v>
      </c>
      <c r="AM200" s="108" t="str">
        <f t="shared" si="52"/>
        <v>Spełniony</v>
      </c>
      <c r="AN200" s="23"/>
      <c r="AO200" s="23"/>
      <c r="AP200" s="23"/>
      <c r="AQ200" s="23"/>
    </row>
    <row r="201" spans="1:43">
      <c r="A201">
        <v>12</v>
      </c>
      <c r="B201" s="67">
        <v>-0.26820176396043482</v>
      </c>
      <c r="C201" s="25">
        <v>4.2334881840608504E-3</v>
      </c>
      <c r="D201" s="25">
        <v>2.457568899329074E-2</v>
      </c>
      <c r="E201" s="25">
        <v>-5.7774155038532865E-2</v>
      </c>
      <c r="F201" s="25">
        <v>-6.952334623628198E-2</v>
      </c>
      <c r="G201" s="25">
        <v>-0.13918555236680291</v>
      </c>
      <c r="H201" s="25">
        <v>4.513486981658326E-2</v>
      </c>
      <c r="I201" s="25">
        <v>-5.7774039296097514E-2</v>
      </c>
      <c r="J201" s="25">
        <v>-4.5857615510925792E-2</v>
      </c>
      <c r="K201" s="25">
        <v>-9.2478007696482054E-2</v>
      </c>
      <c r="L201" s="25">
        <v>-0.21393540047690185</v>
      </c>
      <c r="M201" s="25">
        <v>0.7317979829595036</v>
      </c>
      <c r="N201" s="25">
        <v>3.0691620014204519E-2</v>
      </c>
      <c r="O201" s="25">
        <v>1.5146159237608562E-2</v>
      </c>
      <c r="P201" s="25">
        <v>-8.5840505816932519E-3</v>
      </c>
      <c r="Q201" s="25">
        <v>-8.366940408020121E-3</v>
      </c>
      <c r="R201" s="25">
        <v>-9.7503215937190316E-3</v>
      </c>
      <c r="S201" s="25">
        <v>-2.7821837506433751E-2</v>
      </c>
      <c r="T201" s="25">
        <v>-4.5645946505746868E-2</v>
      </c>
      <c r="U201" s="25">
        <v>3.5602016937543064E-3</v>
      </c>
      <c r="V201" s="25">
        <v>5.0967197678769921E-2</v>
      </c>
      <c r="W201" s="25">
        <v>1.2138031329654277E-2</v>
      </c>
      <c r="X201" s="25">
        <v>3.0626542483061694E-2</v>
      </c>
      <c r="Y201" s="25">
        <v>6.8041497626470673E-2</v>
      </c>
      <c r="Z201" s="25">
        <v>-6.5898446622730408E-2</v>
      </c>
      <c r="AA201" s="25">
        <v>-9.5874822495226136E-2</v>
      </c>
      <c r="AB201" s="25">
        <v>5.9071400345743486E-2</v>
      </c>
      <c r="AC201" s="25">
        <v>-2.9287661620036633E-3</v>
      </c>
      <c r="AD201" s="25">
        <v>-1.3254157477119229E-2</v>
      </c>
      <c r="AE201" s="25">
        <v>3.8153526589928703E-2</v>
      </c>
      <c r="AF201" s="25">
        <v>-4.8873781021066327E-2</v>
      </c>
      <c r="AG201" s="45">
        <v>2.6973200117812006E-2</v>
      </c>
      <c r="AI201" s="3" cm="1">
        <f t="array" ref="AI201">SQRT(INDEX(_xlfn.ANCHORARRAY($B$190),A201,A201))</f>
        <v>0.85545191738607007</v>
      </c>
      <c r="AJ201" s="23"/>
      <c r="AK201" s="3">
        <f t="shared" si="50"/>
        <v>0.8563978387915987</v>
      </c>
      <c r="AL201" s="105">
        <f t="shared" si="51"/>
        <v>7.7791068922316214E-2</v>
      </c>
      <c r="AM201" s="108" t="str">
        <f t="shared" si="52"/>
        <v>Spełniony</v>
      </c>
      <c r="AN201" s="23"/>
      <c r="AO201" s="23"/>
      <c r="AP201" s="23"/>
      <c r="AQ201" s="23"/>
    </row>
    <row r="202" spans="1:43">
      <c r="A202">
        <v>13</v>
      </c>
      <c r="B202" s="67">
        <v>3.0691591053061119E-2</v>
      </c>
      <c r="C202" s="25">
        <v>-1.4095981405088366E-2</v>
      </c>
      <c r="D202" s="25">
        <v>4.6452807698789313E-4</v>
      </c>
      <c r="E202" s="25">
        <v>-5.3520384622604944E-2</v>
      </c>
      <c r="F202" s="25">
        <v>-2.5351211485572039E-2</v>
      </c>
      <c r="G202" s="25">
        <v>-0.12693235216441995</v>
      </c>
      <c r="H202" s="25">
        <v>-0.2369683737036325</v>
      </c>
      <c r="I202" s="25">
        <v>-5.3520277402003553E-2</v>
      </c>
      <c r="J202" s="25">
        <v>-1.4985683961654873E-2</v>
      </c>
      <c r="K202" s="25">
        <v>-9.9850415149274646E-2</v>
      </c>
      <c r="L202" s="25">
        <v>7.4290236018804912E-2</v>
      </c>
      <c r="M202" s="25">
        <v>3.0691620014204508E-2</v>
      </c>
      <c r="N202" s="25">
        <v>0.55674658108114072</v>
      </c>
      <c r="O202" s="25">
        <v>-0.27315975899233624</v>
      </c>
      <c r="P202" s="25">
        <v>-0.13403405188699208</v>
      </c>
      <c r="Q202" s="25">
        <v>2.8790102207670729E-2</v>
      </c>
      <c r="R202" s="25">
        <v>1.2549551055206698E-2</v>
      </c>
      <c r="S202" s="25">
        <v>2.8394076792196164E-2</v>
      </c>
      <c r="T202" s="25">
        <v>4.0329757620450192E-4</v>
      </c>
      <c r="U202" s="25">
        <v>2.6421311531816767E-2</v>
      </c>
      <c r="V202" s="25">
        <v>-9.1137284359708109E-2</v>
      </c>
      <c r="W202" s="25">
        <v>8.7628287948736519E-2</v>
      </c>
      <c r="X202" s="25">
        <v>2.7317562999828893E-2</v>
      </c>
      <c r="Y202" s="25">
        <v>-1.331065505034182E-2</v>
      </c>
      <c r="Z202" s="25">
        <v>8.3010890449776692E-2</v>
      </c>
      <c r="AA202" s="25">
        <v>-9.3508801988292187E-2</v>
      </c>
      <c r="AB202" s="25">
        <v>-0.12670493057938426</v>
      </c>
      <c r="AC202" s="25">
        <v>-5.7226427028376242E-2</v>
      </c>
      <c r="AD202" s="25">
        <v>1.7792395535039033E-2</v>
      </c>
      <c r="AE202" s="25">
        <v>-1.4771947749281146E-2</v>
      </c>
      <c r="AF202" s="25">
        <v>-3.5414638187854633E-2</v>
      </c>
      <c r="AG202" s="45">
        <v>4.0160161463694985E-2</v>
      </c>
      <c r="AI202" s="3" cm="1">
        <f t="array" ref="AI202">SQRT(INDEX(_xlfn.ANCHORARRAY($B$190),A202,A202))</f>
        <v>0.74615452895572554</v>
      </c>
      <c r="AJ202" s="23"/>
      <c r="AK202" s="3">
        <f t="shared" si="50"/>
        <v>0.74697959407794545</v>
      </c>
      <c r="AL202" s="105">
        <f t="shared" si="51"/>
        <v>0.13015897511297661</v>
      </c>
      <c r="AM202" s="108" t="str">
        <f t="shared" si="52"/>
        <v>Spełniony</v>
      </c>
      <c r="AN202" s="23"/>
      <c r="AO202" s="23"/>
      <c r="AP202" s="23"/>
      <c r="AQ202" s="23"/>
    </row>
    <row r="203" spans="1:43">
      <c r="A203">
        <v>14</v>
      </c>
      <c r="B203" s="67">
        <v>1.5146144945430748E-2</v>
      </c>
      <c r="C203" s="25">
        <v>1.9826175507856727E-2</v>
      </c>
      <c r="D203" s="25">
        <v>3.5106491408029121E-3</v>
      </c>
      <c r="E203" s="25">
        <v>1.9984969473870448E-2</v>
      </c>
      <c r="F203" s="25">
        <v>4.247349388827415E-2</v>
      </c>
      <c r="G203" s="25">
        <v>6.1316749471912763E-2</v>
      </c>
      <c r="H203" s="25">
        <v>0.1187855786454276</v>
      </c>
      <c r="I203" s="25">
        <v>1.9984929436780645E-2</v>
      </c>
      <c r="J203" s="25">
        <v>3.769014410148399E-3</v>
      </c>
      <c r="K203" s="25">
        <v>-0.11559994123176193</v>
      </c>
      <c r="L203" s="25">
        <v>1.7718011707477062E-2</v>
      </c>
      <c r="M203" s="25">
        <v>1.5146159237608529E-2</v>
      </c>
      <c r="N203" s="25">
        <v>-0.27315975899233619</v>
      </c>
      <c r="O203" s="25">
        <v>0.43368471531067454</v>
      </c>
      <c r="P203" s="25">
        <v>-0.29059067194423671</v>
      </c>
      <c r="Q203" s="25">
        <v>1.5905997323799673E-2</v>
      </c>
      <c r="R203" s="25">
        <v>4.2956832314152302E-2</v>
      </c>
      <c r="S203" s="25">
        <v>9.4993016306320302E-2</v>
      </c>
      <c r="T203" s="25">
        <v>3.5795061281782239E-2</v>
      </c>
      <c r="U203" s="25">
        <v>-3.2391196168688165E-2</v>
      </c>
      <c r="V203" s="25">
        <v>0.11566142155005121</v>
      </c>
      <c r="W203" s="25">
        <v>5.5116472026089706E-2</v>
      </c>
      <c r="X203" s="25">
        <v>-5.3220076390876662E-2</v>
      </c>
      <c r="Y203" s="25">
        <v>-4.2892836197602757E-2</v>
      </c>
      <c r="Z203" s="25">
        <v>-7.5735384748410212E-2</v>
      </c>
      <c r="AA203" s="25">
        <v>1.0704037607486838E-3</v>
      </c>
      <c r="AB203" s="25">
        <v>6.6637299852520343E-2</v>
      </c>
      <c r="AC203" s="25">
        <v>1.5544224738294162E-2</v>
      </c>
      <c r="AD203" s="25">
        <v>3.3436966267759494E-2</v>
      </c>
      <c r="AE203" s="25">
        <v>2.3343965902590406E-2</v>
      </c>
      <c r="AF203" s="25">
        <v>-1.7569033181584613E-2</v>
      </c>
      <c r="AG203" s="45">
        <v>6.7705648589313439E-2</v>
      </c>
      <c r="AI203" s="3" cm="1">
        <f t="array" ref="AI203">SQRT(INDEX(_xlfn.ANCHORARRAY($B$190),A203,A203))</f>
        <v>0.6585474282925069</v>
      </c>
      <c r="AJ203" s="23"/>
      <c r="AK203" s="3">
        <f t="shared" si="50"/>
        <v>0.65927562130524942</v>
      </c>
      <c r="AL203" s="105">
        <f t="shared" si="51"/>
        <v>1.710607741211241</v>
      </c>
      <c r="AM203" s="108" t="str">
        <f t="shared" si="52"/>
        <v>Spełniony</v>
      </c>
      <c r="AN203" s="23"/>
      <c r="AO203" s="23"/>
      <c r="AP203" s="23"/>
      <c r="AQ203" s="23"/>
    </row>
    <row r="204" spans="1:43">
      <c r="A204">
        <v>15</v>
      </c>
      <c r="B204" s="67">
        <v>-8.5840424816347044E-3</v>
      </c>
      <c r="C204" s="25">
        <v>-1.8584411486547298E-2</v>
      </c>
      <c r="D204" s="25">
        <v>-3.1317769474443341E-3</v>
      </c>
      <c r="E204" s="25">
        <v>3.9687431730585157E-3</v>
      </c>
      <c r="F204" s="25">
        <v>-4.2292700361958591E-2</v>
      </c>
      <c r="G204" s="25">
        <v>4.5862694625681495E-2</v>
      </c>
      <c r="H204" s="25">
        <v>5.7297263884951113E-2</v>
      </c>
      <c r="I204" s="25">
        <v>3.9687352222369451E-3</v>
      </c>
      <c r="J204" s="25">
        <v>-7.4700734913412878E-3</v>
      </c>
      <c r="K204" s="25">
        <v>-4.8537052019037789E-2</v>
      </c>
      <c r="L204" s="25">
        <v>1.9527288970073484E-2</v>
      </c>
      <c r="M204" s="25">
        <v>-8.5840505816932797E-3</v>
      </c>
      <c r="N204" s="25">
        <v>-0.134034051886992</v>
      </c>
      <c r="O204" s="25">
        <v>-0.2905906719442366</v>
      </c>
      <c r="P204" s="25">
        <v>0.5884006026819264</v>
      </c>
      <c r="Q204" s="25">
        <v>-6.3386850863128896E-2</v>
      </c>
      <c r="R204" s="25">
        <v>-8.9458957513759763E-2</v>
      </c>
      <c r="S204" s="25">
        <v>-0.17373383582724178</v>
      </c>
      <c r="T204" s="25">
        <v>-5.3936114860412429E-2</v>
      </c>
      <c r="U204" s="25">
        <v>2.0667449943021516E-2</v>
      </c>
      <c r="V204" s="25">
        <v>6.7528227412027575E-2</v>
      </c>
      <c r="W204" s="25">
        <v>-0.20383167370049193</v>
      </c>
      <c r="X204" s="25">
        <v>4.0073151935292817E-2</v>
      </c>
      <c r="Y204" s="25">
        <v>7.4088931270217151E-2</v>
      </c>
      <c r="Z204" s="25">
        <v>3.456667753064635E-3</v>
      </c>
      <c r="AA204" s="25">
        <v>1.8684695329889756E-2</v>
      </c>
      <c r="AB204" s="25">
        <v>3.2815420443942783E-2</v>
      </c>
      <c r="AC204" s="25">
        <v>2.9273048934328617E-2</v>
      </c>
      <c r="AD204" s="25">
        <v>-6.929497112414762E-2</v>
      </c>
      <c r="AE204" s="25">
        <v>-1.0932095591361338E-2</v>
      </c>
      <c r="AF204" s="25">
        <v>5.5868934609491341E-2</v>
      </c>
      <c r="AG204" s="45">
        <v>-0.14210842685275332</v>
      </c>
      <c r="AI204" s="3" cm="1">
        <f t="array" ref="AI204">SQRT(INDEX(_xlfn.ANCHORARRAY($B$190),A204,A204))</f>
        <v>0.76707274927605551</v>
      </c>
      <c r="AJ204" s="23"/>
      <c r="AK204" s="3">
        <f t="shared" si="50"/>
        <v>0.76792094485361062</v>
      </c>
      <c r="AL204" s="105">
        <f t="shared" si="51"/>
        <v>1.4556627653621299</v>
      </c>
      <c r="AM204" s="108" t="str">
        <f t="shared" si="52"/>
        <v>Spełniony</v>
      </c>
      <c r="AN204" s="23"/>
      <c r="AO204" s="23"/>
      <c r="AP204" s="23"/>
      <c r="AQ204" s="23"/>
    </row>
    <row r="205" spans="1:43">
      <c r="A205">
        <v>16</v>
      </c>
      <c r="B205" s="67">
        <v>-8.3669325128304731E-3</v>
      </c>
      <c r="C205" s="25">
        <v>3.8370562418993462E-3</v>
      </c>
      <c r="D205" s="25">
        <v>5.9256832653468705E-3</v>
      </c>
      <c r="E205" s="25">
        <v>1.4656321117193088E-3</v>
      </c>
      <c r="F205" s="25">
        <v>-5.234695305005975E-2</v>
      </c>
      <c r="G205" s="25">
        <v>1.7163761453066417E-2</v>
      </c>
      <c r="H205" s="25">
        <v>-1.1611373091786321E-2</v>
      </c>
      <c r="I205" s="25">
        <v>1.4656291755304612E-3</v>
      </c>
      <c r="J205" s="25">
        <v>1.3556311962581814E-2</v>
      </c>
      <c r="K205" s="25">
        <v>2.038746693808223E-2</v>
      </c>
      <c r="L205" s="25">
        <v>-8.0398479351527635E-3</v>
      </c>
      <c r="M205" s="25">
        <v>-8.366940408020114E-3</v>
      </c>
      <c r="N205" s="25">
        <v>2.8790102207670792E-2</v>
      </c>
      <c r="O205" s="25">
        <v>1.5905997323799777E-2</v>
      </c>
      <c r="P205" s="25">
        <v>-6.338685086312891E-2</v>
      </c>
      <c r="Q205" s="25">
        <v>0.65359655262200933</v>
      </c>
      <c r="R205" s="25">
        <v>-0.22138446877440701</v>
      </c>
      <c r="S205" s="25">
        <v>-0.12127327731613048</v>
      </c>
      <c r="T205" s="25">
        <v>-5.8858225575451464E-2</v>
      </c>
      <c r="U205" s="25">
        <v>4.3908508875489347E-2</v>
      </c>
      <c r="V205" s="25">
        <v>3.5015071306382574E-2</v>
      </c>
      <c r="W205" s="25">
        <v>7.7699887181730362E-2</v>
      </c>
      <c r="X205" s="25">
        <v>-0.3234943389455387</v>
      </c>
      <c r="Y205" s="25">
        <v>0.11781599007773924</v>
      </c>
      <c r="Z205" s="25">
        <v>5.0467428619324323E-2</v>
      </c>
      <c r="AA205" s="25">
        <v>4.2495961760362189E-2</v>
      </c>
      <c r="AB205" s="25">
        <v>-2.8467359734333522E-2</v>
      </c>
      <c r="AC205" s="25">
        <v>3.4552653267171163E-2</v>
      </c>
      <c r="AD205" s="25">
        <v>-6.0692513317541157E-2</v>
      </c>
      <c r="AE205" s="25">
        <v>-4.0772658149751465E-2</v>
      </c>
      <c r="AF205" s="25">
        <v>4.831507326156799E-2</v>
      </c>
      <c r="AG205" s="45">
        <v>9.1323407109838481E-2</v>
      </c>
      <c r="AI205" s="3" cm="1">
        <f t="array" ref="AI205">SQRT(INDEX(_xlfn.ANCHORARRAY($B$190),A205,A205))</f>
        <v>0.80845318517648834</v>
      </c>
      <c r="AJ205" s="23"/>
      <c r="AK205" s="3">
        <f t="shared" si="50"/>
        <v>0.80934713743456854</v>
      </c>
      <c r="AL205" s="105">
        <f t="shared" si="51"/>
        <v>0.2987346118784579</v>
      </c>
      <c r="AM205" s="108" t="str">
        <f t="shared" si="52"/>
        <v>Spełniony</v>
      </c>
      <c r="AN205" s="23"/>
      <c r="AO205" s="23"/>
      <c r="AP205" s="23"/>
      <c r="AQ205" s="23"/>
    </row>
    <row r="206" spans="1:43">
      <c r="A206">
        <v>17</v>
      </c>
      <c r="B206" s="67">
        <v>-9.7503123931469357E-3</v>
      </c>
      <c r="C206" s="25">
        <v>-0.10895267335203397</v>
      </c>
      <c r="D206" s="25">
        <v>-3.084690565711995E-2</v>
      </c>
      <c r="E206" s="25">
        <v>-4.1976443251630358E-3</v>
      </c>
      <c r="F206" s="25">
        <v>-8.4846145089814751E-2</v>
      </c>
      <c r="G206" s="25">
        <v>3.0446168270586221E-3</v>
      </c>
      <c r="H206" s="25">
        <v>-5.6366063908609522E-2</v>
      </c>
      <c r="I206" s="25">
        <v>-4.1976359157699893E-3</v>
      </c>
      <c r="J206" s="25">
        <v>-4.8534558770540193E-2</v>
      </c>
      <c r="K206" s="25">
        <v>2.759419630632301E-2</v>
      </c>
      <c r="L206" s="25">
        <v>-3.6844143130080678E-3</v>
      </c>
      <c r="M206" s="25">
        <v>-9.7503215937190246E-3</v>
      </c>
      <c r="N206" s="25">
        <v>1.2549551055206725E-2</v>
      </c>
      <c r="O206" s="25">
        <v>4.2956832314152378E-2</v>
      </c>
      <c r="P206" s="25">
        <v>-8.9458957513759763E-2</v>
      </c>
      <c r="Q206" s="25">
        <v>-0.22138446877440693</v>
      </c>
      <c r="R206" s="25">
        <v>0.70055322676000897</v>
      </c>
      <c r="S206" s="25">
        <v>-0.17483878776654205</v>
      </c>
      <c r="T206" s="25">
        <v>-6.3913665530250713E-2</v>
      </c>
      <c r="U206" s="25">
        <v>-2.8594520780334774E-2</v>
      </c>
      <c r="V206" s="25">
        <v>2.7031963026358685E-2</v>
      </c>
      <c r="W206" s="25">
        <v>7.702658986002528E-2</v>
      </c>
      <c r="X206" s="25">
        <v>-0.17351736846819621</v>
      </c>
      <c r="Y206" s="25">
        <v>-7.3700677092044156E-2</v>
      </c>
      <c r="Z206" s="25">
        <v>9.4849869185988908E-2</v>
      </c>
      <c r="AA206" s="25">
        <v>4.8309623487867465E-2</v>
      </c>
      <c r="AB206" s="25">
        <v>7.3789658252327056E-2</v>
      </c>
      <c r="AC206" s="25">
        <v>-9.1586214638499031E-2</v>
      </c>
      <c r="AD206" s="25">
        <v>-3.9415406463303597E-2</v>
      </c>
      <c r="AE206" s="25">
        <v>7.7030712536221416E-2</v>
      </c>
      <c r="AF206" s="25">
        <v>-3.0387048148791423E-2</v>
      </c>
      <c r="AG206" s="45">
        <v>-0.11379416961042106</v>
      </c>
      <c r="AI206" s="3" cm="1">
        <f t="array" ref="AI206">SQRT(INDEX(_xlfn.ANCHORARRAY($B$190),A206,A206))</f>
        <v>0.83699057746190253</v>
      </c>
      <c r="AJ206" s="23"/>
      <c r="AK206" s="3">
        <f t="shared" si="50"/>
        <v>0.83791608512324045</v>
      </c>
      <c r="AL206" s="105">
        <f t="shared" si="51"/>
        <v>1.4031076487430665</v>
      </c>
      <c r="AM206" s="108" t="str">
        <f t="shared" si="52"/>
        <v>Spełniony</v>
      </c>
      <c r="AN206" s="23"/>
      <c r="AO206" s="23"/>
      <c r="AP206" s="23"/>
      <c r="AQ206" s="23"/>
    </row>
    <row r="207" spans="1:43">
      <c r="A207">
        <v>18</v>
      </c>
      <c r="B207" s="67">
        <v>-2.7821811253266722E-2</v>
      </c>
      <c r="C207" s="25">
        <v>-4.5350661828258497E-2</v>
      </c>
      <c r="D207" s="25">
        <v>-1.2370769563098183E-2</v>
      </c>
      <c r="E207" s="25">
        <v>-2.2000336622967763E-2</v>
      </c>
      <c r="F207" s="25">
        <v>-5.4265701774811118E-2</v>
      </c>
      <c r="G207" s="25">
        <v>-8.4534676791877747E-3</v>
      </c>
      <c r="H207" s="25">
        <v>2.2368305200978333E-3</v>
      </c>
      <c r="I207" s="25">
        <v>-2.2000292548371832E-2</v>
      </c>
      <c r="J207" s="25">
        <v>-3.0510750864463476E-2</v>
      </c>
      <c r="K207" s="25">
        <v>1.082470887694623E-2</v>
      </c>
      <c r="L207" s="25">
        <v>3.7636396492639564E-2</v>
      </c>
      <c r="M207" s="25">
        <v>-2.7821837506433755E-2</v>
      </c>
      <c r="N207" s="25">
        <v>2.8394076792196132E-2</v>
      </c>
      <c r="O207" s="25">
        <v>9.499301630632026E-2</v>
      </c>
      <c r="P207" s="25">
        <v>-0.17373383582724178</v>
      </c>
      <c r="Q207" s="25">
        <v>-0.12127327731613044</v>
      </c>
      <c r="R207" s="25">
        <v>-0.17483878776654205</v>
      </c>
      <c r="S207" s="25">
        <v>0.71284685056016728</v>
      </c>
      <c r="T207" s="25">
        <v>-7.0284440387949926E-2</v>
      </c>
      <c r="U207" s="25">
        <v>3.9005777462726654E-2</v>
      </c>
      <c r="V207" s="25">
        <v>-7.7076354735335334E-2</v>
      </c>
      <c r="W207" s="25">
        <v>-2.7475776821607178E-3</v>
      </c>
      <c r="X207" s="25">
        <v>3.5385716956192942E-2</v>
      </c>
      <c r="Y207" s="25">
        <v>8.2659395647354375E-2</v>
      </c>
      <c r="Z207" s="25">
        <v>5.9623680129459525E-3</v>
      </c>
      <c r="AA207" s="25">
        <v>-4.4183548198997176E-2</v>
      </c>
      <c r="AB207" s="25">
        <v>1.9182957365619343E-3</v>
      </c>
      <c r="AC207" s="25">
        <v>2.5362365519055328E-2</v>
      </c>
      <c r="AD207" s="25">
        <v>-0.1119280733352027</v>
      </c>
      <c r="AE207" s="25">
        <v>-2.2988338292549107E-2</v>
      </c>
      <c r="AF207" s="25">
        <v>9.9439672323449788E-2</v>
      </c>
      <c r="AG207" s="45">
        <v>-0.25124040342223741</v>
      </c>
      <c r="AI207" s="3" cm="1">
        <f t="array" ref="AI207">SQRT(INDEX(_xlfn.ANCHORARRAY($B$190),A207,A207))</f>
        <v>0.84430258234839439</v>
      </c>
      <c r="AJ207" s="23"/>
      <c r="AK207" s="3">
        <f t="shared" si="50"/>
        <v>0.8452361753057015</v>
      </c>
      <c r="AL207" s="105">
        <f t="shared" si="51"/>
        <v>0.23358368622298603</v>
      </c>
      <c r="AM207" s="108" t="str">
        <f t="shared" si="52"/>
        <v>Spełniony</v>
      </c>
      <c r="AN207" s="23"/>
      <c r="AO207" s="23"/>
      <c r="AP207" s="23"/>
      <c r="AQ207" s="23"/>
    </row>
    <row r="208" spans="1:43">
      <c r="A208">
        <v>19</v>
      </c>
      <c r="B208" s="67">
        <v>-4.5645903433442353E-2</v>
      </c>
      <c r="C208" s="25">
        <v>-5.9173129536279692E-2</v>
      </c>
      <c r="D208" s="25">
        <v>-0.17580774616358738</v>
      </c>
      <c r="E208" s="25">
        <v>-1.2204930193448149E-2</v>
      </c>
      <c r="F208" s="25">
        <v>-0.13034741735596514</v>
      </c>
      <c r="G208" s="25">
        <v>8.9495906475200726E-3</v>
      </c>
      <c r="H208" s="25">
        <v>2.3753120733800075E-2</v>
      </c>
      <c r="I208" s="25">
        <v>-1.2204905742578334E-2</v>
      </c>
      <c r="J208" s="25">
        <v>-0.16120153251176172</v>
      </c>
      <c r="K208" s="25">
        <v>2.5302793977023245E-3</v>
      </c>
      <c r="L208" s="25">
        <v>6.0044641020561618E-2</v>
      </c>
      <c r="M208" s="25">
        <v>-4.5645946505746868E-2</v>
      </c>
      <c r="N208" s="25">
        <v>4.0329757620450463E-4</v>
      </c>
      <c r="O208" s="25">
        <v>3.5795061281782246E-2</v>
      </c>
      <c r="P208" s="25">
        <v>-5.3936114860412401E-2</v>
      </c>
      <c r="Q208" s="25">
        <v>-5.8858225575451423E-2</v>
      </c>
      <c r="R208" s="25">
        <v>-6.3913665530250741E-2</v>
      </c>
      <c r="S208" s="25">
        <v>-7.0284440387949926E-2</v>
      </c>
      <c r="T208" s="25">
        <v>0.69755764308610302</v>
      </c>
      <c r="U208" s="25">
        <v>-0.2244159399163691</v>
      </c>
      <c r="V208" s="25">
        <v>-7.9784495573630751E-2</v>
      </c>
      <c r="W208" s="25">
        <v>-6.0047631053333696E-2</v>
      </c>
      <c r="X208" s="25">
        <v>4.0424293299454774E-2</v>
      </c>
      <c r="Y208" s="25">
        <v>8.0340705555086628E-2</v>
      </c>
      <c r="Z208" s="25">
        <v>6.7469544683596186E-2</v>
      </c>
      <c r="AA208" s="25">
        <v>-4.8402416911173168E-2</v>
      </c>
      <c r="AB208" s="25">
        <v>8.9900787587963993E-3</v>
      </c>
      <c r="AC208" s="25">
        <v>0.12421744939609811</v>
      </c>
      <c r="AD208" s="25">
        <v>6.8846978091499478E-2</v>
      </c>
      <c r="AE208" s="25">
        <v>-2.6930515808508637E-2</v>
      </c>
      <c r="AF208" s="25">
        <v>-1.6079435932048775E-2</v>
      </c>
      <c r="AG208" s="45">
        <v>0.10785171587961814</v>
      </c>
      <c r="AI208" s="3" cm="1">
        <f t="array" ref="AI208">SQRT(INDEX(_xlfn.ANCHORARRAY($B$190),A208,A208))</f>
        <v>0.83519916372449932</v>
      </c>
      <c r="AJ208" s="23"/>
      <c r="AK208" s="3">
        <f t="shared" si="50"/>
        <v>0.83612269051868859</v>
      </c>
      <c r="AL208" s="105">
        <f t="shared" si="51"/>
        <v>0.76548905806347511</v>
      </c>
      <c r="AM208" s="108" t="str">
        <f t="shared" si="52"/>
        <v>Spełniony</v>
      </c>
      <c r="AN208" s="23"/>
      <c r="AO208" s="23"/>
      <c r="AP208" s="23"/>
      <c r="AQ208" s="23"/>
    </row>
    <row r="209" spans="1:43">
      <c r="A209">
        <v>20</v>
      </c>
      <c r="B209" s="67">
        <v>3.5601983342863908E-3</v>
      </c>
      <c r="C209" s="25">
        <v>-4.1851544042913039E-2</v>
      </c>
      <c r="D209" s="25">
        <v>-0.16968591319289142</v>
      </c>
      <c r="E209" s="25">
        <v>3.4220862723559856E-2</v>
      </c>
      <c r="F209" s="25">
        <v>-4.44840796570109E-3</v>
      </c>
      <c r="G209" s="25">
        <v>2.1307285879106699E-2</v>
      </c>
      <c r="H209" s="25">
        <v>4.4506078316949041E-2</v>
      </c>
      <c r="I209" s="25">
        <v>3.422079416684988E-2</v>
      </c>
      <c r="J209" s="25">
        <v>-8.2732396587148663E-2</v>
      </c>
      <c r="K209" s="25">
        <v>-2.0235148514821701E-3</v>
      </c>
      <c r="L209" s="25">
        <v>-1.3921961848076682E-2</v>
      </c>
      <c r="M209" s="25">
        <v>3.5602016937543168E-3</v>
      </c>
      <c r="N209" s="25">
        <v>2.6421311531816767E-2</v>
      </c>
      <c r="O209" s="25">
        <v>-3.2391196168688137E-2</v>
      </c>
      <c r="P209" s="25">
        <v>2.066744994302161E-2</v>
      </c>
      <c r="Q209" s="25">
        <v>4.390850887548936E-2</v>
      </c>
      <c r="R209" s="25">
        <v>-2.8594520780334816E-2</v>
      </c>
      <c r="S209" s="25">
        <v>3.9005777462726723E-2</v>
      </c>
      <c r="T209" s="25">
        <v>-0.22441593991636899</v>
      </c>
      <c r="U209" s="25">
        <v>0.55353802122138418</v>
      </c>
      <c r="V209" s="25">
        <v>3.0375679970881891E-2</v>
      </c>
      <c r="W209" s="25">
        <v>3.1285739509479521E-2</v>
      </c>
      <c r="X209" s="25">
        <v>7.0146690683483611E-3</v>
      </c>
      <c r="Y209" s="25">
        <v>-0.11213384100779183</v>
      </c>
      <c r="Z209" s="25">
        <v>3.0050109280077064E-2</v>
      </c>
      <c r="AA209" s="25">
        <v>1.3407643179004891E-2</v>
      </c>
      <c r="AB209" s="25">
        <v>-0.11625002470107147</v>
      </c>
      <c r="AC209" s="25">
        <v>0.23039564362126849</v>
      </c>
      <c r="AD209" s="25">
        <v>0.12330178542955522</v>
      </c>
      <c r="AE209" s="25">
        <v>0.21205689709803843</v>
      </c>
      <c r="AF209" s="25">
        <v>-6.8444668883528376E-2</v>
      </c>
      <c r="AG209" s="45">
        <v>-2.9332546486121026E-2</v>
      </c>
      <c r="AI209" s="3" cm="1">
        <f t="array" ref="AI209">SQRT(INDEX(_xlfn.ANCHORARRAY($B$190),A209,A209))</f>
        <v>0.74400135834646441</v>
      </c>
      <c r="AJ209" s="23"/>
      <c r="AK209" s="3">
        <f t="shared" si="50"/>
        <v>0.74482404258657087</v>
      </c>
      <c r="AL209" s="105">
        <f t="shared" si="51"/>
        <v>1.059805328067847</v>
      </c>
      <c r="AM209" s="108" t="str">
        <f t="shared" si="52"/>
        <v>Spełniony</v>
      </c>
      <c r="AN209" s="23"/>
      <c r="AO209" s="23"/>
      <c r="AP209" s="23"/>
      <c r="AQ209" s="23"/>
    </row>
    <row r="210" spans="1:43">
      <c r="A210">
        <v>21</v>
      </c>
      <c r="B210" s="67">
        <v>5.0967149585240734E-2</v>
      </c>
      <c r="C210" s="25">
        <v>9.5842225100824449E-3</v>
      </c>
      <c r="D210" s="25">
        <v>1.5607770723672726E-2</v>
      </c>
      <c r="E210" s="25">
        <v>1.8748358334355564E-2</v>
      </c>
      <c r="F210" s="25">
        <v>-9.1807761404120891E-2</v>
      </c>
      <c r="G210" s="25">
        <v>9.4085489441181239E-2</v>
      </c>
      <c r="H210" s="25">
        <v>3.7673013792403308E-3</v>
      </c>
      <c r="I210" s="25">
        <v>1.8748320774643099E-2</v>
      </c>
      <c r="J210" s="25">
        <v>2.7604325292365298E-2</v>
      </c>
      <c r="K210" s="25">
        <v>-0.28603848410381344</v>
      </c>
      <c r="L210" s="25">
        <v>5.1437165027522949E-2</v>
      </c>
      <c r="M210" s="25">
        <v>5.0967197678769893E-2</v>
      </c>
      <c r="N210" s="25">
        <v>-9.1137284359708332E-2</v>
      </c>
      <c r="O210" s="25">
        <v>0.11566142155005094</v>
      </c>
      <c r="P210" s="25">
        <v>6.7528227412027603E-2</v>
      </c>
      <c r="Q210" s="25">
        <v>3.5015071306382678E-2</v>
      </c>
      <c r="R210" s="25">
        <v>2.7031963026358789E-2</v>
      </c>
      <c r="S210" s="25">
        <v>-7.7076354735335265E-2</v>
      </c>
      <c r="T210" s="25">
        <v>-7.9784495573630765E-2</v>
      </c>
      <c r="U210" s="25">
        <v>3.0375679970881898E-2</v>
      </c>
      <c r="V210" s="25">
        <v>0.37011333326106888</v>
      </c>
      <c r="W210" s="25">
        <v>0.15483080008194128</v>
      </c>
      <c r="X210" s="25">
        <v>0.13392969351318099</v>
      </c>
      <c r="Y210" s="25">
        <v>0.13055656970085899</v>
      </c>
      <c r="Z210" s="25">
        <v>9.9140227865153377E-2</v>
      </c>
      <c r="AA210" s="25">
        <v>0.11142937557779636</v>
      </c>
      <c r="AB210" s="25">
        <v>8.8013184928816494E-3</v>
      </c>
      <c r="AC210" s="25">
        <v>1.3318200219877372E-2</v>
      </c>
      <c r="AD210" s="25">
        <v>-3.0004710125221698E-2</v>
      </c>
      <c r="AE210" s="25">
        <v>-1.3205786844259521E-2</v>
      </c>
      <c r="AF210" s="25">
        <v>-1.9841134211647737E-2</v>
      </c>
      <c r="AG210" s="45">
        <v>-4.7222237280763746E-3</v>
      </c>
      <c r="AI210" s="3" cm="1">
        <f t="array" ref="AI210">SQRT(INDEX(_xlfn.ANCHORARRAY($B$190),A210,A210))</f>
        <v>0.60836940526383221</v>
      </c>
      <c r="AJ210" s="23"/>
      <c r="AK210" s="3">
        <f t="shared" si="50"/>
        <v>0.60904211360805594</v>
      </c>
      <c r="AL210" s="105">
        <f t="shared" si="51"/>
        <v>1.8946364232455284</v>
      </c>
      <c r="AM210" s="108" t="str">
        <f t="shared" si="52"/>
        <v>Spełniony</v>
      </c>
      <c r="AN210" s="23"/>
      <c r="AO210" s="23"/>
      <c r="AP210" s="23"/>
      <c r="AQ210" s="23"/>
    </row>
    <row r="211" spans="1:43">
      <c r="A211">
        <v>22</v>
      </c>
      <c r="B211" s="67">
        <v>1.2138019875997941E-2</v>
      </c>
      <c r="C211" s="25">
        <v>1.6040037097371979E-2</v>
      </c>
      <c r="D211" s="25">
        <v>1.3984241046350876E-2</v>
      </c>
      <c r="E211" s="25">
        <v>2.5247461278996269E-2</v>
      </c>
      <c r="F211" s="25">
        <v>-7.8449454461985979E-2</v>
      </c>
      <c r="G211" s="25">
        <v>3.2269548267763695E-2</v>
      </c>
      <c r="H211" s="25">
        <v>-7.6898601505199171E-2</v>
      </c>
      <c r="I211" s="25">
        <v>2.5247410699240427E-2</v>
      </c>
      <c r="J211" s="25">
        <v>4.5183588201321782E-2</v>
      </c>
      <c r="K211" s="25">
        <v>6.4310019439773936E-2</v>
      </c>
      <c r="L211" s="25">
        <v>-7.0594515714242689E-2</v>
      </c>
      <c r="M211" s="25">
        <v>1.2138031329654284E-2</v>
      </c>
      <c r="N211" s="25">
        <v>8.7628287948736533E-2</v>
      </c>
      <c r="O211" s="25">
        <v>5.5116472026089838E-2</v>
      </c>
      <c r="P211" s="25">
        <v>-0.20383167370049188</v>
      </c>
      <c r="Q211" s="25">
        <v>7.7699887181730445E-2</v>
      </c>
      <c r="R211" s="25">
        <v>7.7026589860025349E-2</v>
      </c>
      <c r="S211" s="25">
        <v>-2.7475776821607595E-3</v>
      </c>
      <c r="T211" s="25">
        <v>-6.0047631053333737E-2</v>
      </c>
      <c r="U211" s="25">
        <v>3.1285739509479438E-2</v>
      </c>
      <c r="V211" s="25">
        <v>0.15483080008194103</v>
      </c>
      <c r="W211" s="25">
        <v>0.28969677642448277</v>
      </c>
      <c r="X211" s="25">
        <v>0.14012825892073308</v>
      </c>
      <c r="Y211" s="25">
        <v>0.103867244580791</v>
      </c>
      <c r="Z211" s="25">
        <v>0.14955656184396515</v>
      </c>
      <c r="AA211" s="25">
        <v>0.16192035814808697</v>
      </c>
      <c r="AB211" s="25">
        <v>-4.2774843415635783E-2</v>
      </c>
      <c r="AC211" s="25">
        <v>-7.0693527634943486E-3</v>
      </c>
      <c r="AD211" s="25">
        <v>1.5485378648847914E-3</v>
      </c>
      <c r="AE211" s="25">
        <v>-2.3380476589373769E-2</v>
      </c>
      <c r="AF211" s="25">
        <v>-4.2950810341725126E-2</v>
      </c>
      <c r="AG211" s="45">
        <v>5.8293592161404888E-2</v>
      </c>
      <c r="AI211" s="3" cm="1">
        <f t="array" ref="AI211">SQRT(INDEX(_xlfn.ANCHORARRAY($B$190),A211,A211))</f>
        <v>0.53823487105954293</v>
      </c>
      <c r="AJ211" s="23"/>
      <c r="AK211" s="3">
        <f t="shared" si="50"/>
        <v>0.53883002769592392</v>
      </c>
      <c r="AL211" s="105">
        <f t="shared" si="51"/>
        <v>1.871870582449761</v>
      </c>
      <c r="AM211" s="108" t="str">
        <f t="shared" si="52"/>
        <v>Spełniony</v>
      </c>
      <c r="AN211" s="23"/>
      <c r="AO211" s="23"/>
      <c r="AP211" s="23"/>
      <c r="AQ211" s="23"/>
    </row>
    <row r="212" spans="1:43">
      <c r="A212">
        <v>23</v>
      </c>
      <c r="B212" s="67">
        <v>3.0626513583326506E-2</v>
      </c>
      <c r="C212" s="25">
        <v>9.2305665238061413E-2</v>
      </c>
      <c r="D212" s="25">
        <v>3.1619485802772684E-2</v>
      </c>
      <c r="E212" s="25">
        <v>3.2210827159626851E-2</v>
      </c>
      <c r="F212" s="25">
        <v>2.8628116319718868E-2</v>
      </c>
      <c r="G212" s="25">
        <v>2.4378282523163056E-2</v>
      </c>
      <c r="H212" s="25">
        <v>-2.0911871505661768E-2</v>
      </c>
      <c r="I212" s="25">
        <v>3.2210762629741853E-2</v>
      </c>
      <c r="J212" s="25">
        <v>7.1294522844028818E-2</v>
      </c>
      <c r="K212" s="25">
        <v>1.838902035279083E-2</v>
      </c>
      <c r="L212" s="25">
        <v>-6.639698162977048E-2</v>
      </c>
      <c r="M212" s="25">
        <v>3.0626542483061701E-2</v>
      </c>
      <c r="N212" s="25">
        <v>2.7317562999828994E-2</v>
      </c>
      <c r="O212" s="25">
        <v>-5.3220076390876517E-2</v>
      </c>
      <c r="P212" s="25">
        <v>4.0073151935292817E-2</v>
      </c>
      <c r="Q212" s="25">
        <v>-0.32349433894553881</v>
      </c>
      <c r="R212" s="25">
        <v>-0.17351736846819626</v>
      </c>
      <c r="S212" s="25">
        <v>3.5385716956192886E-2</v>
      </c>
      <c r="T212" s="25">
        <v>4.0424293299454746E-2</v>
      </c>
      <c r="U212" s="25">
        <v>7.0146690683484773E-3</v>
      </c>
      <c r="V212" s="25">
        <v>0.13392969351318099</v>
      </c>
      <c r="W212" s="25">
        <v>0.14012825892073294</v>
      </c>
      <c r="X212" s="25">
        <v>0.53392328510004106</v>
      </c>
      <c r="Y212" s="25">
        <v>4.4445138039653984E-2</v>
      </c>
      <c r="Z212" s="25">
        <v>4.1988796523980763E-2</v>
      </c>
      <c r="AA212" s="25">
        <v>0.10558482790241028</v>
      </c>
      <c r="AB212" s="25">
        <v>-6.2600269879964268E-2</v>
      </c>
      <c r="AC212" s="25">
        <v>2.3016632262716743E-2</v>
      </c>
      <c r="AD212" s="25">
        <v>9.403145043873043E-2</v>
      </c>
      <c r="AE212" s="25">
        <v>-3.6065019615500342E-2</v>
      </c>
      <c r="AF212" s="25">
        <v>-7.7606482288240658E-2</v>
      </c>
      <c r="AG212" s="45">
        <v>8.8016000404361527E-2</v>
      </c>
      <c r="AI212" s="3" cm="1">
        <f t="array" ref="AI212">SQRT(INDEX(_xlfn.ANCHORARRAY($B$190),A212,A212))</f>
        <v>0.73070054406715823</v>
      </c>
      <c r="AJ212" s="23"/>
      <c r="AK212" s="3">
        <f t="shared" si="50"/>
        <v>0.73150852084717011</v>
      </c>
      <c r="AL212" s="105">
        <f t="shared" si="51"/>
        <v>0.41623165624653824</v>
      </c>
      <c r="AM212" s="108" t="str">
        <f t="shared" si="52"/>
        <v>Spełniony</v>
      </c>
      <c r="AN212" s="23"/>
      <c r="AO212" s="23"/>
      <c r="AP212" s="23"/>
      <c r="AQ212" s="23"/>
    </row>
    <row r="213" spans="1:43">
      <c r="A213">
        <v>24</v>
      </c>
      <c r="B213" s="67">
        <v>6.8041433421336797E-2</v>
      </c>
      <c r="C213" s="25">
        <v>-0.2039260216335971</v>
      </c>
      <c r="D213" s="25">
        <v>-0.11110659242453154</v>
      </c>
      <c r="E213" s="25">
        <v>5.497302537539922E-2</v>
      </c>
      <c r="F213" s="25">
        <v>0.10547931247736703</v>
      </c>
      <c r="G213" s="25">
        <v>-1.952587491586949E-2</v>
      </c>
      <c r="H213" s="25">
        <v>-7.5343670172821425E-2</v>
      </c>
      <c r="I213" s="25">
        <v>5.497291524463524E-2</v>
      </c>
      <c r="J213" s="25">
        <v>-6.5093433086074154E-2</v>
      </c>
      <c r="K213" s="25">
        <v>4.9842580198395927E-3</v>
      </c>
      <c r="L213" s="25">
        <v>-9.1776405242161865E-2</v>
      </c>
      <c r="M213" s="25">
        <v>6.8041497626470659E-2</v>
      </c>
      <c r="N213" s="25">
        <v>-1.3310655050341798E-2</v>
      </c>
      <c r="O213" s="25">
        <v>-4.2892836197602757E-2</v>
      </c>
      <c r="P213" s="25">
        <v>7.4088931270217151E-2</v>
      </c>
      <c r="Q213" s="25">
        <v>0.11781599007773927</v>
      </c>
      <c r="R213" s="25">
        <v>-7.370067709204417E-2</v>
      </c>
      <c r="S213" s="25">
        <v>8.2659395647354375E-2</v>
      </c>
      <c r="T213" s="25">
        <v>8.0340705555086767E-2</v>
      </c>
      <c r="U213" s="25">
        <v>-0.1121338410077917</v>
      </c>
      <c r="V213" s="25">
        <v>0.13055656970085902</v>
      </c>
      <c r="W213" s="25">
        <v>0.10386724458079095</v>
      </c>
      <c r="X213" s="25">
        <v>4.44451380396539E-2</v>
      </c>
      <c r="Y213" s="25">
        <v>0.57633419592445889</v>
      </c>
      <c r="Z213" s="25">
        <v>5.2286088450124307E-2</v>
      </c>
      <c r="AA213" s="25">
        <v>9.2510763304112953E-2</v>
      </c>
      <c r="AB213" s="25">
        <v>8.0485696884815508E-2</v>
      </c>
      <c r="AC213" s="25">
        <v>-0.15309241869277651</v>
      </c>
      <c r="AD213" s="25">
        <v>-1.0580057670594958E-2</v>
      </c>
      <c r="AE213" s="25">
        <v>0.10849287265117219</v>
      </c>
      <c r="AF213" s="25">
        <v>6.0953382378053506E-2</v>
      </c>
      <c r="AG213" s="45">
        <v>-7.6004843437245659E-2</v>
      </c>
      <c r="AI213" s="3" cm="1">
        <f t="array" ref="AI213">SQRT(INDEX(_xlfn.ANCHORARRAY($B$190),A213,A213))</f>
        <v>0.75916677741090521</v>
      </c>
      <c r="AJ213" s="23"/>
      <c r="AK213" s="3">
        <f t="shared" si="50"/>
        <v>0.76000623090972197</v>
      </c>
      <c r="AL213" s="105">
        <f t="shared" si="51"/>
        <v>0.70049009802507201</v>
      </c>
      <c r="AM213" s="108" t="str">
        <f t="shared" si="52"/>
        <v>Spełniony</v>
      </c>
      <c r="AN213" s="23"/>
      <c r="AO213" s="23"/>
      <c r="AP213" s="23"/>
      <c r="AQ213" s="23"/>
    </row>
    <row r="214" spans="1:43">
      <c r="A214">
        <v>25</v>
      </c>
      <c r="B214" s="67">
        <v>-6.5898384439816493E-2</v>
      </c>
      <c r="C214" s="25">
        <v>6.7050578166302319E-2</v>
      </c>
      <c r="D214" s="25">
        <v>4.7066582932393242E-2</v>
      </c>
      <c r="E214" s="25">
        <v>-0.21179745661314342</v>
      </c>
      <c r="F214" s="25">
        <v>7.3140239745297944E-2</v>
      </c>
      <c r="G214" s="25">
        <v>0.11133868992006486</v>
      </c>
      <c r="H214" s="25">
        <v>8.661350374063953E-2</v>
      </c>
      <c r="I214" s="25">
        <v>-0.21179703230657584</v>
      </c>
      <c r="J214" s="25">
        <v>-0.14546176172767755</v>
      </c>
      <c r="K214" s="25">
        <v>4.120835305477781E-2</v>
      </c>
      <c r="L214" s="25">
        <v>1.8359531218653205E-2</v>
      </c>
      <c r="M214" s="25">
        <v>-6.5898446622730394E-2</v>
      </c>
      <c r="N214" s="25">
        <v>8.3010890449776609E-2</v>
      </c>
      <c r="O214" s="25">
        <v>-7.5735384748410239E-2</v>
      </c>
      <c r="P214" s="25">
        <v>3.4566677530646454E-3</v>
      </c>
      <c r="Q214" s="25">
        <v>5.0467428619324239E-2</v>
      </c>
      <c r="R214" s="25">
        <v>9.4849869185988908E-2</v>
      </c>
      <c r="S214" s="25">
        <v>5.9623680129459828E-3</v>
      </c>
      <c r="T214" s="25">
        <v>6.7469544683596172E-2</v>
      </c>
      <c r="U214" s="25">
        <v>3.0050109280077002E-2</v>
      </c>
      <c r="V214" s="25">
        <v>9.9140227865153516E-2</v>
      </c>
      <c r="W214" s="25">
        <v>0.14955656184396515</v>
      </c>
      <c r="X214" s="25">
        <v>4.1988796523980666E-2</v>
      </c>
      <c r="Y214" s="25">
        <v>5.2286088450124384E-2</v>
      </c>
      <c r="Z214" s="25">
        <v>0.55171886636005507</v>
      </c>
      <c r="AA214" s="25">
        <v>0.10530945895672139</v>
      </c>
      <c r="AB214" s="25">
        <v>-1.4296353394185609E-2</v>
      </c>
      <c r="AC214" s="25">
        <v>8.5397087703444771E-2</v>
      </c>
      <c r="AD214" s="25">
        <v>-3.6244129787923574E-2</v>
      </c>
      <c r="AE214" s="25">
        <v>-8.4247246466589553E-3</v>
      </c>
      <c r="AF214" s="25">
        <v>6.6393597647153371E-2</v>
      </c>
      <c r="AG214" s="45">
        <v>-5.5002596909939971E-2</v>
      </c>
      <c r="AI214" s="3" cm="1">
        <f t="array" ref="AI214">SQRT(INDEX(_xlfn.ANCHORARRAY($B$190),A214,A214))</f>
        <v>0.74277780416491657</v>
      </c>
      <c r="AJ214" s="23"/>
      <c r="AK214" s="3">
        <f t="shared" si="50"/>
        <v>0.74359913545219458</v>
      </c>
      <c r="AL214" s="105">
        <f t="shared" si="51"/>
        <v>0.7106015103263722</v>
      </c>
      <c r="AM214" s="108" t="str">
        <f t="shared" si="52"/>
        <v>Spełniony</v>
      </c>
      <c r="AN214" s="23"/>
      <c r="AO214" s="23"/>
      <c r="AP214" s="23"/>
      <c r="AQ214" s="23"/>
    </row>
    <row r="215" spans="1:43">
      <c r="A215">
        <v>26</v>
      </c>
      <c r="B215" s="67">
        <v>-9.5874732026085457E-2</v>
      </c>
      <c r="C215" s="25">
        <v>1.8945518621779026E-2</v>
      </c>
      <c r="D215" s="25">
        <v>2.8285119193420388E-3</v>
      </c>
      <c r="E215" s="25">
        <v>8.0617784464765585E-2</v>
      </c>
      <c r="F215" s="25">
        <v>-3.6990452676276993E-2</v>
      </c>
      <c r="G215" s="25">
        <v>-0.24254613523630336</v>
      </c>
      <c r="H215" s="25">
        <v>8.2773338063802521E-2</v>
      </c>
      <c r="I215" s="25">
        <v>8.061762295831526E-2</v>
      </c>
      <c r="J215" s="25">
        <v>6.647275847603587E-2</v>
      </c>
      <c r="K215" s="25">
        <v>0.15714683323663137</v>
      </c>
      <c r="L215" s="25">
        <v>0.15897120633999892</v>
      </c>
      <c r="M215" s="25">
        <v>-9.5874822495226122E-2</v>
      </c>
      <c r="N215" s="25">
        <v>-9.3508801988292034E-2</v>
      </c>
      <c r="O215" s="25">
        <v>1.0704037607487116E-3</v>
      </c>
      <c r="P215" s="25">
        <v>1.8684695329889645E-2</v>
      </c>
      <c r="Q215" s="25">
        <v>4.2495961760362119E-2</v>
      </c>
      <c r="R215" s="25">
        <v>4.8309623487867347E-2</v>
      </c>
      <c r="S215" s="25">
        <v>-4.4183548198997273E-2</v>
      </c>
      <c r="T215" s="25">
        <v>-4.8402416911173196E-2</v>
      </c>
      <c r="U215" s="25">
        <v>1.3407643179004836E-2</v>
      </c>
      <c r="V215" s="25">
        <v>0.11142937557779661</v>
      </c>
      <c r="W215" s="25">
        <v>0.16192035814808686</v>
      </c>
      <c r="X215" s="25">
        <v>0.10558482790241028</v>
      </c>
      <c r="Y215" s="25">
        <v>9.2510763304112842E-2</v>
      </c>
      <c r="Z215" s="25">
        <v>0.10530945895672139</v>
      </c>
      <c r="AA215" s="25">
        <v>0.42324521611087196</v>
      </c>
      <c r="AB215" s="25">
        <v>3.0384451312088463E-2</v>
      </c>
      <c r="AC215" s="25">
        <v>3.8429851270232039E-2</v>
      </c>
      <c r="AD215" s="25">
        <v>-1.8751090719874949E-2</v>
      </c>
      <c r="AE215" s="25">
        <v>-2.7416864955379511E-2</v>
      </c>
      <c r="AF215" s="25">
        <v>1.3051446816406603E-2</v>
      </c>
      <c r="AG215" s="45">
        <v>-1.0579928490504473E-2</v>
      </c>
      <c r="AI215" s="3" cm="1">
        <f t="array" ref="AI215">SQRT(INDEX(_xlfn.ANCHORARRAY($B$190),A215,A215))</f>
        <v>0.65057299060971785</v>
      </c>
      <c r="AJ215" s="23"/>
      <c r="AK215" s="3">
        <f t="shared" si="50"/>
        <v>0.65129236583720806</v>
      </c>
      <c r="AL215" s="105">
        <f t="shared" si="51"/>
        <v>0.21323251023873629</v>
      </c>
      <c r="AM215" s="108" t="str">
        <f t="shared" si="52"/>
        <v>Spełniony</v>
      </c>
      <c r="AN215" s="23"/>
      <c r="AO215" s="23"/>
      <c r="AP215" s="23"/>
      <c r="AQ215" s="23"/>
    </row>
    <row r="216" spans="1:43">
      <c r="A216">
        <v>27</v>
      </c>
      <c r="B216" s="67">
        <v>5.907134460494845E-2</v>
      </c>
      <c r="C216" s="25">
        <v>0.10023304719135806</v>
      </c>
      <c r="D216" s="25">
        <v>1.6236819289725389E-2</v>
      </c>
      <c r="E216" s="25">
        <v>-5.0379549575135171E-2</v>
      </c>
      <c r="F216" s="25">
        <v>0.10894267324315572</v>
      </c>
      <c r="G216" s="25">
        <v>-0.10560134103705784</v>
      </c>
      <c r="H216" s="25">
        <v>-0.2410178548476245</v>
      </c>
      <c r="I216" s="25">
        <v>-5.0379448646757446E-2</v>
      </c>
      <c r="J216" s="25">
        <v>8.5559187990643895E-2</v>
      </c>
      <c r="K216" s="25">
        <v>4.8042674631492161E-3</v>
      </c>
      <c r="L216" s="25">
        <v>-3.8395104924702383E-2</v>
      </c>
      <c r="M216" s="25">
        <v>5.9071400345743499E-2</v>
      </c>
      <c r="N216" s="25">
        <v>-0.12670493057938423</v>
      </c>
      <c r="O216" s="25">
        <v>6.6637299852520426E-2</v>
      </c>
      <c r="P216" s="25">
        <v>3.2815420443942867E-2</v>
      </c>
      <c r="Q216" s="25">
        <v>-2.8467359734333626E-2</v>
      </c>
      <c r="R216" s="25">
        <v>7.3789658252327014E-2</v>
      </c>
      <c r="S216" s="25">
        <v>1.9182957365619507E-3</v>
      </c>
      <c r="T216" s="25">
        <v>8.9900787587963646E-3</v>
      </c>
      <c r="U216" s="25">
        <v>-0.11625002470107149</v>
      </c>
      <c r="V216" s="25">
        <v>8.8013184928816112E-3</v>
      </c>
      <c r="W216" s="25">
        <v>-4.2774843415635727E-2</v>
      </c>
      <c r="X216" s="25">
        <v>-6.2600269879964338E-2</v>
      </c>
      <c r="Y216" s="25">
        <v>8.0485696884815508E-2</v>
      </c>
      <c r="Z216" s="25">
        <v>-1.4296353394185488E-2</v>
      </c>
      <c r="AA216" s="25">
        <v>3.0384451312088417E-2</v>
      </c>
      <c r="AB216" s="25">
        <v>0.54212922522180329</v>
      </c>
      <c r="AC216" s="25">
        <v>0.25237419243702619</v>
      </c>
      <c r="AD216" s="25">
        <v>-3.2995198666953982E-2</v>
      </c>
      <c r="AE216" s="25">
        <v>6.2988747567839454E-2</v>
      </c>
      <c r="AF216" s="25">
        <v>0.10153963000180014</v>
      </c>
      <c r="AG216" s="45">
        <v>-4.4902238609749151E-2</v>
      </c>
      <c r="AI216" s="3" cm="1">
        <f t="array" ref="AI216">SQRT(INDEX(_xlfn.ANCHORARRAY($B$190),A216,A216))</f>
        <v>0.73629425179190644</v>
      </c>
      <c r="AJ216" s="23"/>
      <c r="AK216" s="3">
        <f t="shared" si="50"/>
        <v>0.73710841384985804</v>
      </c>
      <c r="AL216" s="105">
        <f t="shared" si="51"/>
        <v>0.90958655094376517</v>
      </c>
      <c r="AM216" s="108" t="str">
        <f t="shared" si="52"/>
        <v>Spełniony</v>
      </c>
      <c r="AN216" s="23"/>
      <c r="AO216" s="23"/>
      <c r="AP216" s="23"/>
      <c r="AQ216" s="23"/>
    </row>
    <row r="217" spans="1:43">
      <c r="A217">
        <v>28</v>
      </c>
      <c r="B217" s="67">
        <v>-2.9287633983691858E-3</v>
      </c>
      <c r="C217" s="25">
        <v>-0.10516489516851506</v>
      </c>
      <c r="D217" s="25">
        <v>5.5062104955636598E-2</v>
      </c>
      <c r="E217" s="25">
        <v>-2.6220381151438016E-2</v>
      </c>
      <c r="F217" s="25">
        <v>-7.4288623730298778E-2</v>
      </c>
      <c r="G217" s="25">
        <v>-2.2572354438817804E-2</v>
      </c>
      <c r="H217" s="25">
        <v>-0.1103917403286763</v>
      </c>
      <c r="I217" s="25">
        <v>-2.6220328622573313E-2</v>
      </c>
      <c r="J217" s="25">
        <v>-4.1372030838680754E-2</v>
      </c>
      <c r="K217" s="25">
        <v>1.5947269586146895E-2</v>
      </c>
      <c r="L217" s="25">
        <v>5.3817164297007697E-3</v>
      </c>
      <c r="M217" s="25">
        <v>-2.9287661620036737E-3</v>
      </c>
      <c r="N217" s="25">
        <v>-5.7226427028376235E-2</v>
      </c>
      <c r="O217" s="25">
        <v>1.5544224738294157E-2</v>
      </c>
      <c r="P217" s="25">
        <v>2.9273048934328583E-2</v>
      </c>
      <c r="Q217" s="25">
        <v>3.4552653267171163E-2</v>
      </c>
      <c r="R217" s="25">
        <v>-9.1586214638498975E-2</v>
      </c>
      <c r="S217" s="25">
        <v>2.5362365519055331E-2</v>
      </c>
      <c r="T217" s="25">
        <v>0.12421744939609812</v>
      </c>
      <c r="U217" s="25">
        <v>0.2303956436212686</v>
      </c>
      <c r="V217" s="25">
        <v>1.3318200219877389E-2</v>
      </c>
      <c r="W217" s="25">
        <v>-7.0693527634944145E-3</v>
      </c>
      <c r="X217" s="25">
        <v>2.3016632262716816E-2</v>
      </c>
      <c r="Y217" s="25">
        <v>-0.15309241869277646</v>
      </c>
      <c r="Z217" s="25">
        <v>8.5397087703444674E-2</v>
      </c>
      <c r="AA217" s="25">
        <v>3.8429851270232046E-2</v>
      </c>
      <c r="AB217" s="25">
        <v>0.25237419243702625</v>
      </c>
      <c r="AC217" s="25">
        <v>0.63081286090521327</v>
      </c>
      <c r="AD217" s="25">
        <v>1.0709233962809317E-2</v>
      </c>
      <c r="AE217" s="25">
        <v>-5.0012290411214161E-2</v>
      </c>
      <c r="AF217" s="25">
        <v>-0.12165204605817809</v>
      </c>
      <c r="AG217" s="45">
        <v>3.5041284324944938E-3</v>
      </c>
      <c r="AI217" s="3" cm="1">
        <f t="array" ref="AI217">SQRT(INDEX(_xlfn.ANCHORARRAY($B$190),A217,A217))</f>
        <v>0.7942372824951075</v>
      </c>
      <c r="AJ217" s="23"/>
      <c r="AK217" s="3">
        <f t="shared" si="50"/>
        <v>0.79511551542826486</v>
      </c>
      <c r="AL217" s="105">
        <f t="shared" si="51"/>
        <v>0.42854355046298009</v>
      </c>
      <c r="AM217" s="108" t="str">
        <f t="shared" si="52"/>
        <v>Spełniony</v>
      </c>
      <c r="AN217" s="23"/>
      <c r="AO217" s="23"/>
      <c r="AP217" s="23"/>
      <c r="AQ217" s="23"/>
    </row>
    <row r="218" spans="1:43">
      <c r="A218">
        <v>29</v>
      </c>
      <c r="B218" s="67">
        <v>-1.3254144970267029E-2</v>
      </c>
      <c r="C218" s="25">
        <v>-0.15330306211539238</v>
      </c>
      <c r="D218" s="25">
        <v>0.10555957629791118</v>
      </c>
      <c r="E218" s="25">
        <v>-1.9740015424940319E-2</v>
      </c>
      <c r="F218" s="25">
        <v>-4.5918175697367385E-3</v>
      </c>
      <c r="G218" s="25">
        <v>1.9150053112293106E-3</v>
      </c>
      <c r="H218" s="25">
        <v>1.3454604370676816E-2</v>
      </c>
      <c r="I218" s="25">
        <v>-1.9739975878581638E-2</v>
      </c>
      <c r="J218" s="25">
        <v>7.9707230058804326E-2</v>
      </c>
      <c r="K218" s="25">
        <v>3.7860641879791075E-3</v>
      </c>
      <c r="L218" s="25">
        <v>1.5953359766997074E-2</v>
      </c>
      <c r="M218" s="25">
        <v>-1.3254157477119229E-2</v>
      </c>
      <c r="N218" s="25">
        <v>1.7792395535039057E-2</v>
      </c>
      <c r="O218" s="25">
        <v>3.3436966267759535E-2</v>
      </c>
      <c r="P218" s="25">
        <v>-6.9294971124147675E-2</v>
      </c>
      <c r="Q218" s="25">
        <v>-6.0692513317541122E-2</v>
      </c>
      <c r="R218" s="25">
        <v>-3.9415406463303569E-2</v>
      </c>
      <c r="S218" s="25">
        <v>-0.11192807333520277</v>
      </c>
      <c r="T218" s="25">
        <v>6.8846978091499533E-2</v>
      </c>
      <c r="U218" s="25">
        <v>0.12330178542955526</v>
      </c>
      <c r="V218" s="25">
        <v>-3.0004710125221802E-2</v>
      </c>
      <c r="W218" s="25">
        <v>1.5485378648847081E-3</v>
      </c>
      <c r="X218" s="25">
        <v>9.4031450438730513E-2</v>
      </c>
      <c r="Y218" s="25">
        <v>-1.058005767059491E-2</v>
      </c>
      <c r="Z218" s="25">
        <v>-3.6244129787923587E-2</v>
      </c>
      <c r="AA218" s="25">
        <v>-1.8751090719874929E-2</v>
      </c>
      <c r="AB218" s="25">
        <v>-3.2995198666954023E-2</v>
      </c>
      <c r="AC218" s="25">
        <v>1.0709233962809343E-2</v>
      </c>
      <c r="AD218" s="25">
        <v>0.57746367510225516</v>
      </c>
      <c r="AE218" s="25">
        <v>0.20805442091681747</v>
      </c>
      <c r="AF218" s="25">
        <v>0.29041647682484922</v>
      </c>
      <c r="AG218" s="45">
        <v>0.1307592722820074</v>
      </c>
      <c r="AI218" s="3" cm="1">
        <f t="array" ref="AI218">SQRT(INDEX(_xlfn.ANCHORARRAY($B$190),A218,A218))</f>
        <v>0.75991030727465148</v>
      </c>
      <c r="AJ218" s="23"/>
      <c r="AK218" s="3">
        <f t="shared" si="50"/>
        <v>0.76075058293635012</v>
      </c>
      <c r="AL218" s="105">
        <f t="shared" si="51"/>
        <v>1.8539336785204563</v>
      </c>
      <c r="AM218" s="108" t="str">
        <f t="shared" si="52"/>
        <v>Spełniony</v>
      </c>
      <c r="AN218" s="23"/>
      <c r="AO218" s="23"/>
      <c r="AP218" s="23"/>
      <c r="AQ218" s="23"/>
    </row>
    <row r="219" spans="1:43">
      <c r="A219">
        <v>30</v>
      </c>
      <c r="B219" s="67">
        <v>3.8153490587601174E-2</v>
      </c>
      <c r="C219" s="25">
        <v>8.1580593368905469E-2</v>
      </c>
      <c r="D219" s="25">
        <v>-0.18810940119072778</v>
      </c>
      <c r="E219" s="25">
        <v>3.3393854502878378E-2</v>
      </c>
      <c r="F219" s="25">
        <v>9.6989430126486323E-2</v>
      </c>
      <c r="G219" s="25">
        <v>-3.9524805602776936E-2</v>
      </c>
      <c r="H219" s="25">
        <v>-2.262425904999589E-2</v>
      </c>
      <c r="I219" s="25">
        <v>3.3393787602963687E-2</v>
      </c>
      <c r="J219" s="25">
        <v>-0.14469793135288753</v>
      </c>
      <c r="K219" s="25">
        <v>-1.5623225103463869E-2</v>
      </c>
      <c r="L219" s="25">
        <v>-2.7186005007658332E-2</v>
      </c>
      <c r="M219" s="25">
        <v>3.8153526589928627E-2</v>
      </c>
      <c r="N219" s="25">
        <v>-1.47719477492812E-2</v>
      </c>
      <c r="O219" s="25">
        <v>2.3343965902590268E-2</v>
      </c>
      <c r="P219" s="25">
        <v>-1.0932095591361463E-2</v>
      </c>
      <c r="Q219" s="25">
        <v>-4.0772658149751492E-2</v>
      </c>
      <c r="R219" s="25">
        <v>7.7030712536221346E-2</v>
      </c>
      <c r="S219" s="25">
        <v>-2.2988338292549163E-2</v>
      </c>
      <c r="T219" s="25">
        <v>-2.6930515808508724E-2</v>
      </c>
      <c r="U219" s="25">
        <v>0.21205689709803832</v>
      </c>
      <c r="V219" s="25">
        <v>-1.3205786844259423E-2</v>
      </c>
      <c r="W219" s="25">
        <v>-2.3380476589373728E-2</v>
      </c>
      <c r="X219" s="25">
        <v>-3.6065019615500217E-2</v>
      </c>
      <c r="Y219" s="25">
        <v>0.10849287265117205</v>
      </c>
      <c r="Z219" s="25">
        <v>-8.4247246466589432E-3</v>
      </c>
      <c r="AA219" s="25">
        <v>-2.7416864955379622E-2</v>
      </c>
      <c r="AB219" s="25">
        <v>6.2988747567839537E-2</v>
      </c>
      <c r="AC219" s="25">
        <v>-5.0012290411214147E-2</v>
      </c>
      <c r="AD219" s="25">
        <v>0.20805442091681736</v>
      </c>
      <c r="AE219" s="25">
        <v>0.33680282398025718</v>
      </c>
      <c r="AF219" s="25">
        <v>0.15383205722051355</v>
      </c>
      <c r="AG219" s="45">
        <v>-6.8777752001183794E-3</v>
      </c>
      <c r="AI219" s="3" cm="1">
        <f t="array" ref="AI219">SQRT(INDEX(_xlfn.ANCHORARRAY($B$190),A219,A219))</f>
        <v>0.580347158156441</v>
      </c>
      <c r="AJ219" s="23"/>
      <c r="AK219" s="3">
        <f t="shared" si="50"/>
        <v>0.58098888072246824</v>
      </c>
      <c r="AL219" s="105">
        <f t="shared" si="51"/>
        <v>1.3772180615994358</v>
      </c>
      <c r="AM219" s="108" t="str">
        <f t="shared" si="52"/>
        <v>Spełniony</v>
      </c>
      <c r="AN219" s="23"/>
      <c r="AO219" s="23"/>
      <c r="AP219" s="23"/>
      <c r="AQ219" s="23"/>
    </row>
    <row r="220" spans="1:43">
      <c r="A220">
        <v>31</v>
      </c>
      <c r="B220" s="67">
        <v>-4.8873734902921281E-2</v>
      </c>
      <c r="C220" s="25">
        <v>0.13735840449849859</v>
      </c>
      <c r="D220" s="25">
        <v>0.11148879849068254</v>
      </c>
      <c r="E220" s="25">
        <v>-4.6648541301866076E-2</v>
      </c>
      <c r="F220" s="25">
        <v>-0.1589934940157896</v>
      </c>
      <c r="G220" s="25">
        <v>2.096200994161148E-2</v>
      </c>
      <c r="H220" s="25">
        <v>-2.633127146592365E-2</v>
      </c>
      <c r="I220" s="25">
        <v>-4.6648447848041043E-2</v>
      </c>
      <c r="J220" s="25">
        <v>2.640696951592135E-2</v>
      </c>
      <c r="K220" s="25">
        <v>1.3813726463616855E-2</v>
      </c>
      <c r="L220" s="25">
        <v>5.2396427278753266E-2</v>
      </c>
      <c r="M220" s="25">
        <v>-4.8873781021066307E-2</v>
      </c>
      <c r="N220" s="25">
        <v>-3.541463818785464E-2</v>
      </c>
      <c r="O220" s="25">
        <v>-1.7569033181584599E-2</v>
      </c>
      <c r="P220" s="25">
        <v>5.5868934609491425E-2</v>
      </c>
      <c r="Q220" s="25">
        <v>4.8315073261568003E-2</v>
      </c>
      <c r="R220" s="25">
        <v>-3.0387048148791382E-2</v>
      </c>
      <c r="S220" s="25">
        <v>9.9439672323449885E-2</v>
      </c>
      <c r="T220" s="25">
        <v>-1.6079435932048775E-2</v>
      </c>
      <c r="U220" s="25">
        <v>-6.8444668883528306E-2</v>
      </c>
      <c r="V220" s="25">
        <v>-1.9841134211647727E-2</v>
      </c>
      <c r="W220" s="25">
        <v>-4.2950810341725126E-2</v>
      </c>
      <c r="X220" s="25">
        <v>-7.7606482288240713E-2</v>
      </c>
      <c r="Y220" s="25">
        <v>6.0953382378053533E-2</v>
      </c>
      <c r="Z220" s="25">
        <v>6.6393597647153385E-2</v>
      </c>
      <c r="AA220" s="25">
        <v>1.3051446816406603E-2</v>
      </c>
      <c r="AB220" s="25">
        <v>0.10153963000180016</v>
      </c>
      <c r="AC220" s="25">
        <v>-0.12165204605817809</v>
      </c>
      <c r="AD220" s="25">
        <v>0.29041647682484911</v>
      </c>
      <c r="AE220" s="25">
        <v>0.15383205722051346</v>
      </c>
      <c r="AF220" s="25">
        <v>0.50497499038268367</v>
      </c>
      <c r="AG220" s="45">
        <v>-8.4021377381095858E-2</v>
      </c>
      <c r="AI220" s="3" cm="1">
        <f t="array" ref="AI220">SQRT(INDEX(_xlfn.ANCHORARRAY($B$190),A220,A220))</f>
        <v>0.71061592325438616</v>
      </c>
      <c r="AJ220" s="23"/>
      <c r="AK220" s="3">
        <f t="shared" si="50"/>
        <v>0.71140169133702691</v>
      </c>
      <c r="AL220" s="105">
        <f t="shared" si="51"/>
        <v>0.32300664337813889</v>
      </c>
      <c r="AM220" s="108" t="str">
        <f t="shared" si="52"/>
        <v>Spełniony</v>
      </c>
      <c r="AN220" s="23"/>
      <c r="AO220" s="23"/>
      <c r="AP220" s="23"/>
      <c r="AQ220" s="23"/>
    </row>
    <row r="221" spans="1:43">
      <c r="A221">
        <v>32</v>
      </c>
      <c r="B221" s="68">
        <v>2.6973174665433877E-2</v>
      </c>
      <c r="C221" s="32">
        <v>8.362365497938784E-2</v>
      </c>
      <c r="D221" s="32">
        <v>2.1492333890227644E-2</v>
      </c>
      <c r="E221" s="32">
        <v>1.2998091117707188E-2</v>
      </c>
      <c r="F221" s="32">
        <v>0.1001384146216119</v>
      </c>
      <c r="G221" s="32">
        <v>-2.2264122628809606E-2</v>
      </c>
      <c r="H221" s="32">
        <v>-3.9828604138652749E-3</v>
      </c>
      <c r="I221" s="32">
        <v>1.2998065077850417E-2</v>
      </c>
      <c r="J221" s="32">
        <v>4.1132337341756121E-2</v>
      </c>
      <c r="K221" s="32">
        <v>2.5450760882091399E-3</v>
      </c>
      <c r="L221" s="32">
        <v>-2.990896071622523E-2</v>
      </c>
      <c r="M221" s="32">
        <v>2.6973200117811971E-2</v>
      </c>
      <c r="N221" s="32">
        <v>4.0160161463694874E-2</v>
      </c>
      <c r="O221" s="32">
        <v>6.7705648589313258E-2</v>
      </c>
      <c r="P221" s="32">
        <v>-0.14210842685275341</v>
      </c>
      <c r="Q221" s="32">
        <v>9.1323407109838495E-2</v>
      </c>
      <c r="R221" s="32">
        <v>-0.11379416961042105</v>
      </c>
      <c r="S221" s="32">
        <v>-0.2512404034222373</v>
      </c>
      <c r="T221" s="32">
        <v>0.1078517158796182</v>
      </c>
      <c r="U221" s="32">
        <v>-2.9332546486120999E-2</v>
      </c>
      <c r="V221" s="32">
        <v>-4.7222237280763607E-3</v>
      </c>
      <c r="W221" s="32">
        <v>5.8293592161404978E-2</v>
      </c>
      <c r="X221" s="32">
        <v>8.801600040436143E-2</v>
      </c>
      <c r="Y221" s="32">
        <v>-7.6004843437245617E-2</v>
      </c>
      <c r="Z221" s="32">
        <v>-5.5002596909940034E-2</v>
      </c>
      <c r="AA221" s="32">
        <v>-1.0579928490504362E-2</v>
      </c>
      <c r="AB221" s="32">
        <v>-4.4902238609749207E-2</v>
      </c>
      <c r="AC221" s="32">
        <v>3.5041284324944834E-3</v>
      </c>
      <c r="AD221" s="32">
        <v>0.13075927228200748</v>
      </c>
      <c r="AE221" s="32">
        <v>-6.8777752001184245E-3</v>
      </c>
      <c r="AF221" s="32">
        <v>-8.4021377381095969E-2</v>
      </c>
      <c r="AG221" s="49">
        <v>0.25914628170266285</v>
      </c>
      <c r="AI221" s="3" cm="1">
        <f t="array" ref="AI221">SQRT(INDEX(_xlfn.ANCHORARRAY($B$190),A221,A221))</f>
        <v>0.5090641233701928</v>
      </c>
      <c r="AJ221" s="23"/>
      <c r="AK221" s="4">
        <f t="shared" si="50"/>
        <v>0.50962702426654471</v>
      </c>
      <c r="AL221" s="106">
        <f t="shared" si="51"/>
        <v>0.42778627236089684</v>
      </c>
      <c r="AM221" s="109" t="str">
        <f t="shared" si="52"/>
        <v>Spełniony</v>
      </c>
      <c r="AN221" s="23"/>
      <c r="AO221" s="23"/>
      <c r="AP221" s="23"/>
      <c r="AQ221" s="23"/>
    </row>
  </sheetData>
  <mergeCells count="17">
    <mergeCell ref="AK188:AM188"/>
    <mergeCell ref="B189:AG189"/>
    <mergeCell ref="AO189:AP189"/>
    <mergeCell ref="AO192:AP192"/>
    <mergeCell ref="U91:AZ91"/>
    <mergeCell ref="AJ154:BO154"/>
    <mergeCell ref="A126:A128"/>
    <mergeCell ref="B130:Q130"/>
    <mergeCell ref="R130:T130"/>
    <mergeCell ref="A147:A149"/>
    <mergeCell ref="B154:AG154"/>
    <mergeCell ref="P3:R3"/>
    <mergeCell ref="B39:Q39"/>
    <mergeCell ref="S39:S41"/>
    <mergeCell ref="B75:Q75"/>
    <mergeCell ref="B109:Q109"/>
    <mergeCell ref="R109:T109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mc="http://schemas.openxmlformats.org/markup-compatibility/2006" xmlns:x14ac="http://schemas.microsoft.com/office/spreadsheetml/2009/9/ac" xmlns:xr="http://schemas.microsoft.com/office/spreadsheetml/2014/revision" mc:Ignorable="x14ac xr xr2 xr3" xr:uid="{00000000-0001-0000-0300-000000000000}">
  <dimension ref="A2:AS118"/>
  <sheetViews>
    <sheetView topLeftCell="A92" workbookViewId="0"/>
  </sheetViews>
  <sheetFormatPr baseColWidth="10" defaultColWidth="8.83203125" defaultRowHeight="15"/>
  <cols>
    <col min="1" max="1" width="5" customWidth="1"/>
    <col min="2" max="16" width="9" customWidth="1"/>
    <col min="17" max="21" width="5" customWidth="1"/>
    <col min="22" max="42" width="9" customWidth="1"/>
    <col min="43" max="45" width="9" customWidth="1"/>
  </cols>
  <sheetData>
    <row r="2" spans="2:45">
      <c r="B2" s="433" t="s">
        <v>84</v>
      </c>
      <c r="C2" s="434"/>
      <c r="D2" s="434"/>
      <c r="E2" s="434"/>
      <c r="F2" s="434"/>
      <c r="G2" s="434"/>
      <c r="H2" s="434"/>
      <c r="I2" s="434"/>
      <c r="J2" s="434"/>
      <c r="K2" s="434"/>
      <c r="L2" s="434"/>
      <c r="M2" s="434"/>
      <c r="N2" s="434"/>
      <c r="O2" s="434"/>
      <c r="P2" s="434"/>
      <c r="Q2" s="271"/>
      <c r="R2" s="257" t="s">
        <v>49</v>
      </c>
      <c r="S2" s="258"/>
      <c r="T2" s="259"/>
      <c r="V2" s="411"/>
      <c r="W2" s="433" t="s">
        <v>63</v>
      </c>
      <c r="X2" s="434"/>
      <c r="Y2" s="434"/>
      <c r="Z2" s="434"/>
      <c r="AA2" s="434"/>
      <c r="AB2" s="434"/>
      <c r="AC2" s="434"/>
      <c r="AD2" s="434"/>
      <c r="AE2" s="434"/>
      <c r="AF2" s="434"/>
      <c r="AG2" s="434"/>
      <c r="AH2" s="434"/>
      <c r="AI2" s="434"/>
      <c r="AJ2" s="434"/>
      <c r="AK2" s="434"/>
      <c r="AL2" s="435"/>
      <c r="AM2" s="436" t="s">
        <v>64</v>
      </c>
      <c r="AN2" s="437"/>
      <c r="AO2" s="438"/>
      <c r="AP2" s="411"/>
      <c r="AQ2" s="442" t="s">
        <v>52</v>
      </c>
      <c r="AR2" s="443" t="s">
        <v>85</v>
      </c>
      <c r="AS2" s="444" t="s">
        <v>65</v>
      </c>
    </row>
    <row r="3" spans="2:45">
      <c r="B3" s="121" cm="1">
        <f t="array" ref="B3:Q18">_xlfn.ANCHORARRAY('Wyrównanie wstępne - wyjściowy'!B110)</f>
        <v>3529835.5879227901</v>
      </c>
      <c r="C3" s="122">
        <v>-1321071.9975940185</v>
      </c>
      <c r="D3" s="122">
        <v>-727167.84770956577</v>
      </c>
      <c r="E3" s="122">
        <v>-1704466.7431529325</v>
      </c>
      <c r="F3" s="122">
        <v>0</v>
      </c>
      <c r="G3" s="122">
        <v>0</v>
      </c>
      <c r="H3" s="122">
        <v>0</v>
      </c>
      <c r="I3" s="122">
        <v>0</v>
      </c>
      <c r="J3" s="122">
        <v>0</v>
      </c>
      <c r="K3" s="122">
        <v>0</v>
      </c>
      <c r="L3" s="122">
        <v>-60305.207298351786</v>
      </c>
      <c r="M3" s="122">
        <v>266347.99890105415</v>
      </c>
      <c r="N3" s="122">
        <v>-551395.99241820117</v>
      </c>
      <c r="O3" s="122">
        <v>1785040.8203876393</v>
      </c>
      <c r="P3" s="122">
        <v>-2190966.5404966711</v>
      </c>
      <c r="Q3" s="135">
        <v>974149.92145825725</v>
      </c>
      <c r="R3" s="124" cm="1">
        <f t="array" ref="R3:T18">TRANSPOSE(B19:Q21)</f>
        <v>0</v>
      </c>
      <c r="S3" s="122">
        <v>0</v>
      </c>
      <c r="T3" s="123">
        <v>0</v>
      </c>
      <c r="W3" s="121" cm="1">
        <f t="array" ref="W3:AO21">MINVERSE(B3:T21)</f>
        <v>1.2554878196498988E-6</v>
      </c>
      <c r="X3" s="134">
        <v>3.0503499025489601E-7</v>
      </c>
      <c r="Y3" s="134">
        <v>8.0476353643832714E-7</v>
      </c>
      <c r="Z3" s="134">
        <v>7.1121385825747318E-7</v>
      </c>
      <c r="AA3" s="134">
        <v>2.9044386426059666E-8</v>
      </c>
      <c r="AB3" s="134">
        <v>4.5835185523900298E-7</v>
      </c>
      <c r="AC3" s="134">
        <v>7.5628589390502399E-25</v>
      </c>
      <c r="AD3" s="134">
        <v>0</v>
      </c>
      <c r="AE3" s="134">
        <v>-5.2969972152860907E-8</v>
      </c>
      <c r="AF3" s="134">
        <v>-2.1385782171827014E-7</v>
      </c>
      <c r="AG3" s="134">
        <v>1.8340733846479774E-7</v>
      </c>
      <c r="AH3" s="134">
        <v>-1.3557893629537355E-7</v>
      </c>
      <c r="AI3" s="134">
        <v>-1.2827386855434029E-7</v>
      </c>
      <c r="AJ3" s="134">
        <v>-2.211618423350692E-7</v>
      </c>
      <c r="AK3" s="134">
        <v>4.9816519425747631E-7</v>
      </c>
      <c r="AL3" s="135">
        <v>2.3757557005734136E-7</v>
      </c>
      <c r="AM3" s="142">
        <v>1.0000000000000018</v>
      </c>
      <c r="AN3" s="143">
        <v>-6.5960761586316255E-16</v>
      </c>
      <c r="AO3" s="131">
        <v>5.8119464091411219E-4</v>
      </c>
      <c r="AQ3" s="89" cm="1">
        <f t="array" ref="AQ3:AQ18">-MMULT(W3:AL18,_xlfn.ANCHORARRAY('Wyrównanie wstępne - wyjściowy'!V110))</f>
        <v>1.5973670390446184E-3</v>
      </c>
      <c r="AR3" s="189">
        <f>'Wyrównanie wstępne - wyjściowy'!AB131</f>
        <v>0.9240985803099252</v>
      </c>
      <c r="AS3" s="89">
        <f>SQRT(ROUND(W3,10))*$AR$3</f>
        <v>1.0354441089152247E-3</v>
      </c>
    </row>
    <row r="4" spans="2:45">
      <c r="B4" s="125">
        <v>-1321071.9975940185</v>
      </c>
      <c r="C4" s="23">
        <v>2986537.5178467203</v>
      </c>
      <c r="D4" s="23">
        <v>-142881.14965464891</v>
      </c>
      <c r="E4" s="23">
        <v>556830.30585107603</v>
      </c>
      <c r="F4" s="23">
        <v>0</v>
      </c>
      <c r="G4" s="23">
        <v>0</v>
      </c>
      <c r="H4" s="23">
        <v>0</v>
      </c>
      <c r="I4" s="23">
        <v>0</v>
      </c>
      <c r="J4" s="23">
        <v>0</v>
      </c>
      <c r="K4" s="23">
        <v>0</v>
      </c>
      <c r="L4" s="23">
        <v>266347.99890105415</v>
      </c>
      <c r="M4" s="23">
        <v>-1176370.3284796574</v>
      </c>
      <c r="N4" s="23">
        <v>497031.56705191021</v>
      </c>
      <c r="O4" s="23">
        <v>-1166911.190013903</v>
      </c>
      <c r="P4" s="23">
        <v>700573.58129570296</v>
      </c>
      <c r="Q4" s="126">
        <v>-1200086.3052042355</v>
      </c>
      <c r="R4" s="125">
        <v>0</v>
      </c>
      <c r="S4" s="23">
        <v>0</v>
      </c>
      <c r="T4" s="126">
        <v>0</v>
      </c>
      <c r="W4" s="136">
        <v>3.0503499025489622E-7</v>
      </c>
      <c r="X4" s="137">
        <v>6.8049575712077096E-7</v>
      </c>
      <c r="Y4" s="137">
        <v>2.7675570458356846E-7</v>
      </c>
      <c r="Z4" s="137">
        <v>2.8212661788625016E-7</v>
      </c>
      <c r="AA4" s="137">
        <v>-1.3430043051793422E-8</v>
      </c>
      <c r="AB4" s="137">
        <v>1.7923364021705407E-7</v>
      </c>
      <c r="AC4" s="137">
        <v>-4.9659963443909499E-25</v>
      </c>
      <c r="AD4" s="137">
        <v>0</v>
      </c>
      <c r="AE4" s="137">
        <v>6.7850240665554685E-9</v>
      </c>
      <c r="AF4" s="137">
        <v>1.2180243058513554E-7</v>
      </c>
      <c r="AG4" s="137">
        <v>6.1089864341396665E-8</v>
      </c>
      <c r="AH4" s="137">
        <v>2.2813556026701561E-7</v>
      </c>
      <c r="AI4" s="137">
        <v>1.3788839722646856E-7</v>
      </c>
      <c r="AJ4" s="137">
        <v>2.377386159077044E-7</v>
      </c>
      <c r="AK4" s="137">
        <v>8.2062481184186992E-8</v>
      </c>
      <c r="AL4" s="138">
        <v>2.8615567238158272E-7</v>
      </c>
      <c r="AM4" s="144">
        <v>4.2940047985327749E-16</v>
      </c>
      <c r="AN4" s="145">
        <v>1.0000000000000007</v>
      </c>
      <c r="AO4" s="132">
        <v>-8.6393797973719353E-5</v>
      </c>
      <c r="AQ4" s="90">
        <v>1.0198993752182843E-3</v>
      </c>
      <c r="AS4" s="90">
        <f>SQRT(ROUND(X4,10))*$AR$3</f>
        <v>7.6231131807288715E-4</v>
      </c>
    </row>
    <row r="5" spans="2:45">
      <c r="B5" s="125">
        <v>-727167.84770956577</v>
      </c>
      <c r="C5" s="23">
        <v>-142881.14965464891</v>
      </c>
      <c r="D5" s="23">
        <v>1530177.4680679459</v>
      </c>
      <c r="E5" s="23">
        <v>258472.97635326046</v>
      </c>
      <c r="F5" s="23">
        <v>147487.76617952943</v>
      </c>
      <c r="G5" s="23">
        <v>8701.1161864720925</v>
      </c>
      <c r="H5" s="23">
        <v>-206153.7200646798</v>
      </c>
      <c r="I5" s="23">
        <v>280598.11897692544</v>
      </c>
      <c r="J5" s="23">
        <v>0</v>
      </c>
      <c r="K5" s="23">
        <v>0</v>
      </c>
      <c r="L5" s="23">
        <v>0</v>
      </c>
      <c r="M5" s="23">
        <v>0</v>
      </c>
      <c r="N5" s="23">
        <v>0</v>
      </c>
      <c r="O5" s="23">
        <v>0</v>
      </c>
      <c r="P5" s="23">
        <v>-744343.66647322965</v>
      </c>
      <c r="Q5" s="126">
        <v>-404891.06186200911</v>
      </c>
      <c r="R5" s="125">
        <v>0</v>
      </c>
      <c r="S5" s="23">
        <v>0</v>
      </c>
      <c r="T5" s="126">
        <v>0</v>
      </c>
      <c r="W5" s="136">
        <v>8.0476353643832703E-7</v>
      </c>
      <c r="X5" s="137">
        <v>2.7675570458356815E-7</v>
      </c>
      <c r="Y5" s="137">
        <v>1.2345309641276194E-6</v>
      </c>
      <c r="Z5" s="137">
        <v>4.7544519931319444E-7</v>
      </c>
      <c r="AA5" s="137">
        <v>4.2119236738399765E-8</v>
      </c>
      <c r="AB5" s="137">
        <v>3.4002795918452561E-7</v>
      </c>
      <c r="AC5" s="137">
        <v>-1.6950924390744147E-24</v>
      </c>
      <c r="AD5" s="137">
        <v>0</v>
      </c>
      <c r="AE5" s="137">
        <v>-3.2546628002568979E-8</v>
      </c>
      <c r="AF5" s="137">
        <v>-1.3030870274144752E-7</v>
      </c>
      <c r="AG5" s="137">
        <v>1.6896214643330669E-7</v>
      </c>
      <c r="AH5" s="137">
        <v>-4.2844471679890872E-8</v>
      </c>
      <c r="AI5" s="137">
        <v>-3.8342344479267266E-8</v>
      </c>
      <c r="AJ5" s="137">
        <v>-6.6107490481495139E-8</v>
      </c>
      <c r="AK5" s="137">
        <v>4.0236917209235786E-7</v>
      </c>
      <c r="AL5" s="138">
        <v>2.3924857316185581E-7</v>
      </c>
      <c r="AM5" s="144">
        <v>1.0000000000000016</v>
      </c>
      <c r="AN5" s="145">
        <v>-3.9951617638860383E-16</v>
      </c>
      <c r="AO5" s="132">
        <v>3.8484510006475003E-4</v>
      </c>
      <c r="AQ5" s="90">
        <v>5.0089690926467855E-5</v>
      </c>
      <c r="AS5" s="90">
        <f>SQRT(ROUND(Y5,10))*$AR$3</f>
        <v>1.0267479636105914E-3</v>
      </c>
    </row>
    <row r="6" spans="2:45">
      <c r="B6" s="125">
        <v>-1704466.7431529325</v>
      </c>
      <c r="C6" s="23">
        <v>556830.30585107603</v>
      </c>
      <c r="D6" s="23">
        <v>258472.97635326046</v>
      </c>
      <c r="E6" s="23">
        <v>4459685.7476002015</v>
      </c>
      <c r="F6" s="23">
        <v>1204860.2669617275</v>
      </c>
      <c r="G6" s="23">
        <v>-1467478.2348327856</v>
      </c>
      <c r="H6" s="23">
        <v>280598.11897692544</v>
      </c>
      <c r="I6" s="23">
        <v>-381925.21749637101</v>
      </c>
      <c r="J6" s="23">
        <v>0</v>
      </c>
      <c r="K6" s="23">
        <v>0</v>
      </c>
      <c r="L6" s="23">
        <v>0</v>
      </c>
      <c r="M6" s="23">
        <v>0</v>
      </c>
      <c r="N6" s="23">
        <v>0</v>
      </c>
      <c r="O6" s="23">
        <v>0</v>
      </c>
      <c r="P6" s="23">
        <v>-39464.619138981216</v>
      </c>
      <c r="Q6" s="126">
        <v>-3167112.6011221213</v>
      </c>
      <c r="R6" s="125">
        <v>0</v>
      </c>
      <c r="S6" s="23">
        <v>0</v>
      </c>
      <c r="T6" s="126">
        <v>0</v>
      </c>
      <c r="W6" s="136">
        <v>7.112138582574736E-7</v>
      </c>
      <c r="X6" s="137">
        <v>2.8212661788625016E-7</v>
      </c>
      <c r="Y6" s="137">
        <v>4.7544519931319471E-7</v>
      </c>
      <c r="Z6" s="137">
        <v>9.5235436210913884E-7</v>
      </c>
      <c r="AA6" s="137">
        <v>-1.1396677469742645E-7</v>
      </c>
      <c r="AB6" s="137">
        <v>5.1928924520138198E-7</v>
      </c>
      <c r="AC6" s="137">
        <v>-3.1931845566701713E-25</v>
      </c>
      <c r="AD6" s="137">
        <v>0</v>
      </c>
      <c r="AE6" s="137">
        <v>-6.8177416332106877E-8</v>
      </c>
      <c r="AF6" s="137">
        <v>-4.3629492848146482E-8</v>
      </c>
      <c r="AG6" s="137">
        <v>1.4097498370917415E-7</v>
      </c>
      <c r="AH6" s="137">
        <v>4.0461408072912475E-8</v>
      </c>
      <c r="AI6" s="137">
        <v>2.2906047034355539E-8</v>
      </c>
      <c r="AJ6" s="137">
        <v>3.9493184541992429E-8</v>
      </c>
      <c r="AK6" s="137">
        <v>3.0154082719108202E-7</v>
      </c>
      <c r="AL6" s="138">
        <v>4.4320725934391424E-7</v>
      </c>
      <c r="AM6" s="144">
        <v>1.4236539369754123E-15</v>
      </c>
      <c r="AN6" s="145">
        <v>0.99999999999999989</v>
      </c>
      <c r="AO6" s="132">
        <v>2.8274333882308169E-4</v>
      </c>
      <c r="AQ6" s="90">
        <v>1.3991059430513463E-3</v>
      </c>
      <c r="AS6" s="90">
        <f>SQRT(ROUND(Z6,10))*$AR$3</f>
        <v>9.0183689016972042E-4</v>
      </c>
    </row>
    <row r="7" spans="2:45">
      <c r="B7" s="125">
        <v>0</v>
      </c>
      <c r="C7" s="23">
        <v>0</v>
      </c>
      <c r="D7" s="23">
        <v>147487.76617952943</v>
      </c>
      <c r="E7" s="23">
        <v>1204860.2669617275</v>
      </c>
      <c r="F7" s="23">
        <v>3197552.0289231595</v>
      </c>
      <c r="G7" s="23">
        <v>-313305.70778779115</v>
      </c>
      <c r="H7" s="23">
        <v>-1228688.3530575251</v>
      </c>
      <c r="I7" s="23">
        <v>-445656.71277180343</v>
      </c>
      <c r="J7" s="23">
        <v>0</v>
      </c>
      <c r="K7" s="23">
        <v>0</v>
      </c>
      <c r="L7" s="23">
        <v>-606699.84195809462</v>
      </c>
      <c r="M7" s="23">
        <v>-118960.75332511647</v>
      </c>
      <c r="N7" s="23">
        <v>0</v>
      </c>
      <c r="O7" s="23">
        <v>0</v>
      </c>
      <c r="P7" s="23">
        <v>-1509651.600087069</v>
      </c>
      <c r="Q7" s="126">
        <v>-326937.09307701665</v>
      </c>
      <c r="R7" s="125">
        <v>0</v>
      </c>
      <c r="S7" s="23">
        <v>0</v>
      </c>
      <c r="T7" s="126">
        <v>0</v>
      </c>
      <c r="W7" s="136">
        <v>2.904438642605952E-8</v>
      </c>
      <c r="X7" s="137">
        <v>-1.3430043051793458E-8</v>
      </c>
      <c r="Y7" s="137">
        <v>4.2119236738399692E-8</v>
      </c>
      <c r="Z7" s="137">
        <v>-1.1396677469742642E-7</v>
      </c>
      <c r="AA7" s="137">
        <v>4.2674811099367633E-7</v>
      </c>
      <c r="AB7" s="137">
        <v>2.280009386919868E-8</v>
      </c>
      <c r="AC7" s="137">
        <v>1.2923633660498929E-25</v>
      </c>
      <c r="AD7" s="137">
        <v>0</v>
      </c>
      <c r="AE7" s="137">
        <v>3.1575849085020547E-8</v>
      </c>
      <c r="AF7" s="137">
        <v>-5.1664133977253924E-8</v>
      </c>
      <c r="AG7" s="137">
        <v>9.1816796877516533E-8</v>
      </c>
      <c r="AH7" s="137">
        <v>-1.4390688193266538E-8</v>
      </c>
      <c r="AI7" s="137">
        <v>4.5111617972909596E-9</v>
      </c>
      <c r="AJ7" s="137">
        <v>7.7778651677430004E-9</v>
      </c>
      <c r="AK7" s="137">
        <v>1.1949720784484745E-7</v>
      </c>
      <c r="AL7" s="138">
        <v>-2.4740349424629168E-8</v>
      </c>
      <c r="AM7" s="144">
        <v>1.0000000000000004</v>
      </c>
      <c r="AN7" s="145">
        <v>0</v>
      </c>
      <c r="AO7" s="132">
        <v>8.6393797973719421E-5</v>
      </c>
      <c r="AQ7" s="90">
        <v>5.9326847145239805E-4</v>
      </c>
      <c r="AS7" s="90">
        <f>SQRT(ROUND(AA7,10))*$AR$3</f>
        <v>6.036422434041711E-4</v>
      </c>
    </row>
    <row r="8" spans="2:45">
      <c r="B8" s="125">
        <v>0</v>
      </c>
      <c r="C8" s="23">
        <v>0</v>
      </c>
      <c r="D8" s="23">
        <v>8701.1161864720925</v>
      </c>
      <c r="E8" s="23">
        <v>-1467478.2348327856</v>
      </c>
      <c r="F8" s="23">
        <v>-313305.70778779115</v>
      </c>
      <c r="G8" s="23">
        <v>3742623.9877829831</v>
      </c>
      <c r="H8" s="23">
        <v>1453154.5011317134</v>
      </c>
      <c r="I8" s="23">
        <v>-1670577.4059056763</v>
      </c>
      <c r="J8" s="23">
        <v>0</v>
      </c>
      <c r="K8" s="23">
        <v>0</v>
      </c>
      <c r="L8" s="23">
        <v>-118960.75332511647</v>
      </c>
      <c r="M8" s="23">
        <v>-23325.637906885557</v>
      </c>
      <c r="N8" s="23">
        <v>0</v>
      </c>
      <c r="O8" s="23">
        <v>0</v>
      </c>
      <c r="P8" s="23">
        <v>-1029589.156205278</v>
      </c>
      <c r="Q8" s="126">
        <v>-581242.709137636</v>
      </c>
      <c r="R8" s="125">
        <v>0</v>
      </c>
      <c r="S8" s="23">
        <v>0</v>
      </c>
      <c r="T8" s="126">
        <v>0</v>
      </c>
      <c r="W8" s="136">
        <v>4.5835185523900313E-7</v>
      </c>
      <c r="X8" s="137">
        <v>1.7923364021705399E-7</v>
      </c>
      <c r="Y8" s="137">
        <v>3.4002795918452567E-7</v>
      </c>
      <c r="Z8" s="137">
        <v>5.1928924520138187E-7</v>
      </c>
      <c r="AA8" s="137">
        <v>2.2800093869198697E-8</v>
      </c>
      <c r="AB8" s="137">
        <v>5.9024536223756849E-7</v>
      </c>
      <c r="AC8" s="137">
        <v>3.1992333845894046E-24</v>
      </c>
      <c r="AD8" s="137">
        <v>0</v>
      </c>
      <c r="AE8" s="137">
        <v>-3.0826012862617703E-8</v>
      </c>
      <c r="AF8" s="137">
        <v>-5.1702816251949206E-8</v>
      </c>
      <c r="AG8" s="137">
        <v>1.331111946546896E-7</v>
      </c>
      <c r="AH8" s="137">
        <v>2.1377321173428808E-8</v>
      </c>
      <c r="AI8" s="137">
        <v>2.0357265583213309E-8</v>
      </c>
      <c r="AJ8" s="137">
        <v>3.5098733764160977E-8</v>
      </c>
      <c r="AK8" s="137">
        <v>2.5856024275606922E-7</v>
      </c>
      <c r="AL8" s="138">
        <v>2.7577385035853235E-7</v>
      </c>
      <c r="AM8" s="144">
        <v>1.0220787756483165E-15</v>
      </c>
      <c r="AN8" s="145">
        <v>1.0000000000000002</v>
      </c>
      <c r="AO8" s="132">
        <v>2.1991148575128575E-4</v>
      </c>
      <c r="AQ8" s="90">
        <v>7.3249519819979523E-4</v>
      </c>
      <c r="AS8" s="90">
        <f>SQRT(ROUND(AB8,10))*$AR$3</f>
        <v>7.0993388526989574E-4</v>
      </c>
    </row>
    <row r="9" spans="2:45">
      <c r="B9" s="125">
        <v>0</v>
      </c>
      <c r="C9" s="23">
        <v>0</v>
      </c>
      <c r="D9" s="23">
        <v>-206153.7200646798</v>
      </c>
      <c r="E9" s="23">
        <v>280598.11897692544</v>
      </c>
      <c r="F9" s="23">
        <v>-1228688.3530575251</v>
      </c>
      <c r="G9" s="23">
        <v>1453154.5011317134</v>
      </c>
      <c r="H9" s="23">
        <v>6377052.0806033146</v>
      </c>
      <c r="I9" s="23">
        <v>60080.069103766815</v>
      </c>
      <c r="J9" s="23">
        <v>-1392391.9154057975</v>
      </c>
      <c r="K9" s="23">
        <v>-1871079.3799337749</v>
      </c>
      <c r="L9" s="23">
        <v>-2467755.5804956895</v>
      </c>
      <c r="M9" s="23">
        <v>153229.9907167496</v>
      </c>
      <c r="N9" s="23">
        <v>0</v>
      </c>
      <c r="O9" s="23">
        <v>0</v>
      </c>
      <c r="P9" s="23">
        <v>-1082062.5115796223</v>
      </c>
      <c r="Q9" s="126">
        <v>-75983.299995380643</v>
      </c>
      <c r="R9" s="125">
        <v>1</v>
      </c>
      <c r="S9" s="23">
        <v>0</v>
      </c>
      <c r="T9" s="126">
        <v>-1905.4767206452602</v>
      </c>
      <c r="W9" s="136">
        <v>-4.5691406963425551E-23</v>
      </c>
      <c r="X9" s="137">
        <v>0</v>
      </c>
      <c r="Y9" s="137">
        <v>2.2845703481712775E-23</v>
      </c>
      <c r="Z9" s="137">
        <v>1.827656278537022E-22</v>
      </c>
      <c r="AA9" s="137">
        <v>-2.8557129352140972E-23</v>
      </c>
      <c r="AB9" s="137">
        <v>2.2845703481712775E-23</v>
      </c>
      <c r="AC9" s="137">
        <v>-4.2737398012782034E-24</v>
      </c>
      <c r="AD9" s="137">
        <v>0</v>
      </c>
      <c r="AE9" s="137">
        <v>2.2845703481712775E-23</v>
      </c>
      <c r="AF9" s="137">
        <v>-4.5691406963425551E-23</v>
      </c>
      <c r="AG9" s="137">
        <v>4.5691406963425551E-23</v>
      </c>
      <c r="AH9" s="137">
        <v>3.4268555222569163E-23</v>
      </c>
      <c r="AI9" s="137">
        <v>-9.1382813926851102E-23</v>
      </c>
      <c r="AJ9" s="137">
        <v>-2.0561133133541499E-22</v>
      </c>
      <c r="AK9" s="137">
        <v>2.2845703481712775E-23</v>
      </c>
      <c r="AL9" s="138">
        <v>-1.0423352213531454E-22</v>
      </c>
      <c r="AM9" s="144">
        <v>1.0000000000000002</v>
      </c>
      <c r="AN9" s="145">
        <v>-5.7968386322658098E-17</v>
      </c>
      <c r="AO9" s="132">
        <v>-5.6141611614328485E-20</v>
      </c>
      <c r="AQ9" s="90">
        <v>1.735257243726373E-20</v>
      </c>
      <c r="AS9" s="90">
        <f>SQRT(ROUND(AC9,10))*$AR$3</f>
        <v>0</v>
      </c>
    </row>
    <row r="10" spans="2:45">
      <c r="B10" s="125">
        <v>0</v>
      </c>
      <c r="C10" s="23">
        <v>0</v>
      </c>
      <c r="D10" s="23">
        <v>280598.11897692544</v>
      </c>
      <c r="E10" s="23">
        <v>-381925.21749637101</v>
      </c>
      <c r="F10" s="23">
        <v>-445656.71277180343</v>
      </c>
      <c r="G10" s="23">
        <v>-1670577.4059056763</v>
      </c>
      <c r="H10" s="23">
        <v>60080.069103766815</v>
      </c>
      <c r="I10" s="23">
        <v>5042162.4770097015</v>
      </c>
      <c r="J10" s="23">
        <v>206717.33386082284</v>
      </c>
      <c r="K10" s="23">
        <v>-1289173.0999804328</v>
      </c>
      <c r="L10" s="23">
        <v>419604.13171809318</v>
      </c>
      <c r="M10" s="23">
        <v>-1351047.3176757013</v>
      </c>
      <c r="N10" s="23">
        <v>0</v>
      </c>
      <c r="O10" s="23">
        <v>0</v>
      </c>
      <c r="P10" s="23">
        <v>-521342.94088780507</v>
      </c>
      <c r="Q10" s="126">
        <v>-349439.43595151976</v>
      </c>
      <c r="R10" s="125">
        <v>0</v>
      </c>
      <c r="S10" s="23">
        <v>1</v>
      </c>
      <c r="T10" s="126">
        <v>1105.1764979742509</v>
      </c>
      <c r="W10" s="136">
        <v>-2.9960928777893252E-23</v>
      </c>
      <c r="X10" s="137">
        <v>6.7412089750259811E-23</v>
      </c>
      <c r="Y10" s="137">
        <v>0</v>
      </c>
      <c r="Z10" s="137">
        <v>-2.9960928777893252E-23</v>
      </c>
      <c r="AA10" s="137">
        <v>-1.4980464388946626E-23</v>
      </c>
      <c r="AB10" s="137">
        <v>8.9882786333679756E-23</v>
      </c>
      <c r="AC10" s="137">
        <v>4.293976704037527E-24</v>
      </c>
      <c r="AD10" s="137">
        <v>0</v>
      </c>
      <c r="AE10" s="137">
        <v>-1.4980464388946626E-23</v>
      </c>
      <c r="AF10" s="137">
        <v>-1.4980464388946626E-23</v>
      </c>
      <c r="AG10" s="137">
        <v>-7.490232194473313E-24</v>
      </c>
      <c r="AH10" s="137">
        <v>2.9960928777893252E-23</v>
      </c>
      <c r="AI10" s="137">
        <v>0</v>
      </c>
      <c r="AJ10" s="137">
        <v>0</v>
      </c>
      <c r="AK10" s="137">
        <v>-1.4980464388946626E-23</v>
      </c>
      <c r="AL10" s="138">
        <v>-1.4980464388946626E-23</v>
      </c>
      <c r="AM10" s="144">
        <v>1.1128048212177356E-17</v>
      </c>
      <c r="AN10" s="145">
        <v>1</v>
      </c>
      <c r="AO10" s="132">
        <v>7.0109115846981798E-21</v>
      </c>
      <c r="AQ10" s="90">
        <v>-1.1657131590928142E-19</v>
      </c>
      <c r="AS10" s="90">
        <f>SQRT(ROUND(AD10,10))*$AR$3</f>
        <v>0</v>
      </c>
    </row>
    <row r="11" spans="2:45">
      <c r="B11" s="125">
        <v>0</v>
      </c>
      <c r="C11" s="23">
        <v>0</v>
      </c>
      <c r="D11" s="23">
        <v>0</v>
      </c>
      <c r="E11" s="23">
        <v>0</v>
      </c>
      <c r="F11" s="23">
        <v>0</v>
      </c>
      <c r="G11" s="23">
        <v>0</v>
      </c>
      <c r="H11" s="23">
        <v>-1392391.9154057975</v>
      </c>
      <c r="I11" s="23">
        <v>206717.33386082284</v>
      </c>
      <c r="J11" s="23">
        <v>1701793.3868240844</v>
      </c>
      <c r="K11" s="23">
        <v>7240.3260361686116</v>
      </c>
      <c r="L11" s="23">
        <v>-834516.91488046269</v>
      </c>
      <c r="M11" s="23">
        <v>-668089.34624797455</v>
      </c>
      <c r="N11" s="23">
        <v>333331.8231710103</v>
      </c>
      <c r="O11" s="23">
        <v>14175.26468405878</v>
      </c>
      <c r="P11" s="23">
        <v>191783.62029116554</v>
      </c>
      <c r="Q11" s="126">
        <v>439956.42166692443</v>
      </c>
      <c r="R11" s="125">
        <v>0</v>
      </c>
      <c r="S11" s="23">
        <v>0</v>
      </c>
      <c r="T11" s="126">
        <v>0</v>
      </c>
      <c r="W11" s="136">
        <v>-5.2969972152861119E-8</v>
      </c>
      <c r="X11" s="137">
        <v>6.7850240665555041E-9</v>
      </c>
      <c r="Y11" s="137">
        <v>-3.2546628002568972E-8</v>
      </c>
      <c r="Z11" s="137">
        <v>-6.8177416332106494E-8</v>
      </c>
      <c r="AA11" s="137">
        <v>3.1575849085020475E-8</v>
      </c>
      <c r="AB11" s="137">
        <v>-3.0826012862617716E-8</v>
      </c>
      <c r="AC11" s="137">
        <v>8.734343807401346E-24</v>
      </c>
      <c r="AD11" s="137">
        <v>0</v>
      </c>
      <c r="AE11" s="137">
        <v>6.6033256359993217E-7</v>
      </c>
      <c r="AF11" s="137">
        <v>1.8384597920602096E-8</v>
      </c>
      <c r="AG11" s="137">
        <v>7.5379900143775358E-8</v>
      </c>
      <c r="AH11" s="137">
        <v>7.2457265016259823E-8</v>
      </c>
      <c r="AI11" s="137">
        <v>2.311642008323828E-8</v>
      </c>
      <c r="AJ11" s="137">
        <v>3.9855896695238273E-8</v>
      </c>
      <c r="AK11" s="137">
        <v>-1.1109106741824053E-8</v>
      </c>
      <c r="AL11" s="138">
        <v>-4.2524287634474191E-8</v>
      </c>
      <c r="AM11" s="144">
        <v>1</v>
      </c>
      <c r="AN11" s="145">
        <v>1.2601776967525131E-16</v>
      </c>
      <c r="AO11" s="132">
        <v>-1.09955742875643E-4</v>
      </c>
      <c r="AQ11" s="90">
        <v>-1.5341973956530742E-5</v>
      </c>
      <c r="AS11" s="90">
        <f>SQRT(ROUND(AE11,10))*$AR$3</f>
        <v>7.5091183923426058E-4</v>
      </c>
    </row>
    <row r="12" spans="2:45">
      <c r="B12" s="125">
        <v>0</v>
      </c>
      <c r="C12" s="23">
        <v>0</v>
      </c>
      <c r="D12" s="23">
        <v>0</v>
      </c>
      <c r="E12" s="23">
        <v>0</v>
      </c>
      <c r="F12" s="23">
        <v>0</v>
      </c>
      <c r="G12" s="23">
        <v>0</v>
      </c>
      <c r="H12" s="23">
        <v>-1871079.3799337749</v>
      </c>
      <c r="I12" s="23">
        <v>-1289173.0999804328</v>
      </c>
      <c r="J12" s="23">
        <v>7240.3260361686116</v>
      </c>
      <c r="K12" s="23">
        <v>3931596.8471509041</v>
      </c>
      <c r="L12" s="23">
        <v>1048095.1029333562</v>
      </c>
      <c r="M12" s="23">
        <v>-1893001.5849928446</v>
      </c>
      <c r="N12" s="23">
        <v>156700.7037369154</v>
      </c>
      <c r="O12" s="23">
        <v>-571436.66811286635</v>
      </c>
      <c r="P12" s="23">
        <v>659043.24722733488</v>
      </c>
      <c r="Q12" s="126">
        <v>-177985.49406476028</v>
      </c>
      <c r="R12" s="125">
        <v>0</v>
      </c>
      <c r="S12" s="23">
        <v>0</v>
      </c>
      <c r="T12" s="126">
        <v>0</v>
      </c>
      <c r="W12" s="136">
        <v>-2.1385782171827004E-7</v>
      </c>
      <c r="X12" s="137">
        <v>1.2180243058513578E-7</v>
      </c>
      <c r="Y12" s="137">
        <v>-1.3030870274144739E-7</v>
      </c>
      <c r="Z12" s="137">
        <v>-4.362949284814629E-8</v>
      </c>
      <c r="AA12" s="137">
        <v>-5.1664133977253918E-8</v>
      </c>
      <c r="AB12" s="137">
        <v>-5.1702816251949048E-8</v>
      </c>
      <c r="AC12" s="137">
        <v>-1.2669869181523947E-25</v>
      </c>
      <c r="AD12" s="137">
        <v>0</v>
      </c>
      <c r="AE12" s="137">
        <v>1.8384597920602093E-8</v>
      </c>
      <c r="AF12" s="137">
        <v>4.3250519481084144E-7</v>
      </c>
      <c r="AG12" s="137">
        <v>-7.9505396518193836E-8</v>
      </c>
      <c r="AH12" s="137">
        <v>2.174546744406949E-7</v>
      </c>
      <c r="AI12" s="137">
        <v>1.1628424026824385E-7</v>
      </c>
      <c r="AJ12" s="137">
        <v>2.004900694280066E-7</v>
      </c>
      <c r="AK12" s="137">
        <v>-1.4671615525459979E-7</v>
      </c>
      <c r="AL12" s="138">
        <v>7.0567909795317934E-8</v>
      </c>
      <c r="AM12" s="144">
        <v>-5.272401647105788E-16</v>
      </c>
      <c r="AN12" s="145">
        <v>1.0000000000000004</v>
      </c>
      <c r="AO12" s="132">
        <v>-2.3561944901923459E-4</v>
      </c>
      <c r="AQ12" s="90">
        <v>1.0149921814856556E-3</v>
      </c>
      <c r="AS12" s="90">
        <f>SQRT(ROUND(AF12,10))*$AR$3</f>
        <v>6.0773095651083908E-4</v>
      </c>
    </row>
    <row r="13" spans="2:45">
      <c r="B13" s="125">
        <v>-60305.207298351786</v>
      </c>
      <c r="C13" s="23">
        <v>266347.99890105415</v>
      </c>
      <c r="D13" s="23">
        <v>0</v>
      </c>
      <c r="E13" s="23">
        <v>0</v>
      </c>
      <c r="F13" s="23">
        <v>-606699.84195809462</v>
      </c>
      <c r="G13" s="23">
        <v>-118960.75332511647</v>
      </c>
      <c r="H13" s="23">
        <v>-2467755.5804956895</v>
      </c>
      <c r="I13" s="23">
        <v>419604.13171809318</v>
      </c>
      <c r="J13" s="23">
        <v>-834516.91488046269</v>
      </c>
      <c r="K13" s="23">
        <v>1048095.1029333562</v>
      </c>
      <c r="L13" s="23">
        <v>7233417.6956599038</v>
      </c>
      <c r="M13" s="23">
        <v>183839.16970383108</v>
      </c>
      <c r="N13" s="23">
        <v>-641554.03692130232</v>
      </c>
      <c r="O13" s="23">
        <v>-1300053.589493115</v>
      </c>
      <c r="P13" s="23">
        <v>-2622586.1141060032</v>
      </c>
      <c r="Q13" s="126">
        <v>-498872.0604381031</v>
      </c>
      <c r="R13" s="125">
        <v>0</v>
      </c>
      <c r="S13" s="23">
        <v>0</v>
      </c>
      <c r="T13" s="126">
        <v>0</v>
      </c>
      <c r="W13" s="136">
        <v>1.8340733846479769E-7</v>
      </c>
      <c r="X13" s="137">
        <v>6.1089864341396626E-8</v>
      </c>
      <c r="Y13" s="137">
        <v>1.6896214643330664E-7</v>
      </c>
      <c r="Z13" s="137">
        <v>1.4097498370917425E-7</v>
      </c>
      <c r="AA13" s="137">
        <v>9.1816796877516507E-8</v>
      </c>
      <c r="AB13" s="137">
        <v>1.3311119465468965E-7</v>
      </c>
      <c r="AC13" s="137">
        <v>3.5774319890450356E-24</v>
      </c>
      <c r="AD13" s="137">
        <v>0</v>
      </c>
      <c r="AE13" s="137">
        <v>7.5379900143775252E-8</v>
      </c>
      <c r="AF13" s="137">
        <v>-7.9505396518193849E-8</v>
      </c>
      <c r="AG13" s="137">
        <v>2.518901634764191E-7</v>
      </c>
      <c r="AH13" s="137">
        <v>9.3777794751205005E-9</v>
      </c>
      <c r="AI13" s="137">
        <v>3.7897137734447081E-8</v>
      </c>
      <c r="AJ13" s="137">
        <v>6.5339892645598394E-8</v>
      </c>
      <c r="AK13" s="137">
        <v>1.7323402288991217E-7</v>
      </c>
      <c r="AL13" s="138">
        <v>9.5428646289534284E-8</v>
      </c>
      <c r="AM13" s="144">
        <v>1.0000000000000009</v>
      </c>
      <c r="AN13" s="145">
        <v>-1.0772049144337598E-18</v>
      </c>
      <c r="AO13" s="132">
        <v>1.6493361431346414E-4</v>
      </c>
      <c r="AQ13" s="90">
        <v>-3.4235774398921469E-4</v>
      </c>
      <c r="AS13" s="90">
        <f>SQRT(ROUND(AG13,10))*$AR$3</f>
        <v>4.6380175407856463E-4</v>
      </c>
    </row>
    <row r="14" spans="2:45">
      <c r="B14" s="125">
        <v>266347.99890105415</v>
      </c>
      <c r="C14" s="23">
        <v>-1176370.3284796574</v>
      </c>
      <c r="D14" s="23">
        <v>0</v>
      </c>
      <c r="E14" s="23">
        <v>0</v>
      </c>
      <c r="F14" s="23">
        <v>-118960.75332511647</v>
      </c>
      <c r="G14" s="23">
        <v>-23325.637906885557</v>
      </c>
      <c r="H14" s="23">
        <v>153229.9907167496</v>
      </c>
      <c r="I14" s="23">
        <v>-1351047.3176757013</v>
      </c>
      <c r="J14" s="23">
        <v>-668089.34624797455</v>
      </c>
      <c r="K14" s="23">
        <v>-1893001.5849928446</v>
      </c>
      <c r="L14" s="23">
        <v>183839.16970383108</v>
      </c>
      <c r="M14" s="23">
        <v>7842926.8281508982</v>
      </c>
      <c r="N14" s="23">
        <v>-227611.33802902643</v>
      </c>
      <c r="O14" s="23">
        <v>-2619099.022196786</v>
      </c>
      <c r="P14" s="23">
        <v>411244.27828048274</v>
      </c>
      <c r="Q14" s="126">
        <v>-780082.93689902383</v>
      </c>
      <c r="R14" s="125">
        <v>0</v>
      </c>
      <c r="S14" s="23">
        <v>0</v>
      </c>
      <c r="T14" s="126">
        <v>0</v>
      </c>
      <c r="W14" s="136">
        <v>-1.3557893629537334E-7</v>
      </c>
      <c r="X14" s="137">
        <v>2.2813556026701572E-7</v>
      </c>
      <c r="Y14" s="137">
        <v>-4.284447167989068E-8</v>
      </c>
      <c r="Z14" s="137">
        <v>4.0461408072912654E-8</v>
      </c>
      <c r="AA14" s="137">
        <v>-1.4390688193266589E-8</v>
      </c>
      <c r="AB14" s="137">
        <v>2.1377321173428937E-8</v>
      </c>
      <c r="AC14" s="137">
        <v>2.7540751843031946E-24</v>
      </c>
      <c r="AD14" s="137">
        <v>0</v>
      </c>
      <c r="AE14" s="137">
        <v>7.2457265016259651E-8</v>
      </c>
      <c r="AF14" s="137">
        <v>2.1745467444069474E-7</v>
      </c>
      <c r="AG14" s="137">
        <v>9.3777794751204641E-9</v>
      </c>
      <c r="AH14" s="137">
        <v>3.4482610257474107E-7</v>
      </c>
      <c r="AI14" s="137">
        <v>1.6764024881213766E-7</v>
      </c>
      <c r="AJ14" s="137">
        <v>2.8903491174506491E-7</v>
      </c>
      <c r="AK14" s="137">
        <v>-7.0681080139254753E-8</v>
      </c>
      <c r="AL14" s="138">
        <v>1.5205442596508501E-7</v>
      </c>
      <c r="AM14" s="144">
        <v>-8.3929667134861001E-17</v>
      </c>
      <c r="AN14" s="145">
        <v>1.0000000000000009</v>
      </c>
      <c r="AO14" s="132">
        <v>-1.8064157758141327E-4</v>
      </c>
      <c r="AQ14" s="90">
        <v>6.2969499776951597E-4</v>
      </c>
      <c r="AS14" s="90">
        <f>SQRT(ROUND(AH14,10))*$AR$3</f>
        <v>5.4262766477383598E-4</v>
      </c>
    </row>
    <row r="15" spans="2:45">
      <c r="B15" s="125">
        <v>-551395.99241820117</v>
      </c>
      <c r="C15" s="23">
        <v>497031.56705191021</v>
      </c>
      <c r="D15" s="23">
        <v>0</v>
      </c>
      <c r="E15" s="23">
        <v>0</v>
      </c>
      <c r="F15" s="23">
        <v>0</v>
      </c>
      <c r="G15" s="23">
        <v>0</v>
      </c>
      <c r="H15" s="23">
        <v>0</v>
      </c>
      <c r="I15" s="23">
        <v>0</v>
      </c>
      <c r="J15" s="23">
        <v>333331.8231710103</v>
      </c>
      <c r="K15" s="23">
        <v>156700.7037369154</v>
      </c>
      <c r="L15" s="23">
        <v>-641554.03692130232</v>
      </c>
      <c r="M15" s="23">
        <v>-227611.33802902643</v>
      </c>
      <c r="N15" s="23">
        <v>1603418.2072534848</v>
      </c>
      <c r="O15" s="23">
        <v>-541984.55080570292</v>
      </c>
      <c r="P15" s="23">
        <v>-743800.0010849915</v>
      </c>
      <c r="Q15" s="126">
        <v>115863.61804590373</v>
      </c>
      <c r="R15" s="125">
        <v>0</v>
      </c>
      <c r="S15" s="23">
        <v>0</v>
      </c>
      <c r="T15" s="126">
        <v>1905.4767206452602</v>
      </c>
      <c r="W15" s="136">
        <v>-1.2827386855433994E-7</v>
      </c>
      <c r="X15" s="137">
        <v>1.3788839722646856E-7</v>
      </c>
      <c r="Y15" s="137">
        <v>-3.8342344479267207E-8</v>
      </c>
      <c r="Z15" s="137">
        <v>2.2906047034355595E-8</v>
      </c>
      <c r="AA15" s="137">
        <v>4.5111617972910225E-9</v>
      </c>
      <c r="AB15" s="137">
        <v>2.0357265583213349E-8</v>
      </c>
      <c r="AC15" s="137">
        <v>-3.9483791133018565E-24</v>
      </c>
      <c r="AD15" s="137">
        <v>0</v>
      </c>
      <c r="AE15" s="137">
        <v>2.3116420083238346E-8</v>
      </c>
      <c r="AF15" s="137">
        <v>1.1628424026824372E-7</v>
      </c>
      <c r="AG15" s="137">
        <v>3.7897137734447134E-8</v>
      </c>
      <c r="AH15" s="137">
        <v>1.6764024881213756E-7</v>
      </c>
      <c r="AI15" s="137">
        <v>1.6554605803837241E-7</v>
      </c>
      <c r="AJ15" s="137">
        <v>2.8542423799719404E-7</v>
      </c>
      <c r="AK15" s="137">
        <v>-3.3501923286640651E-8</v>
      </c>
      <c r="AL15" s="138">
        <v>1.151035517081129E-7</v>
      </c>
      <c r="AM15" s="144">
        <v>1.0000000000000009</v>
      </c>
      <c r="AN15" s="145">
        <v>1.4595712888017E-16</v>
      </c>
      <c r="AO15" s="132">
        <v>3.9269908169872411E-4</v>
      </c>
      <c r="AQ15" s="90">
        <v>-1.8942142039426855E-4</v>
      </c>
      <c r="AS15" s="90">
        <f>SQRT(ROUND(AI15,10))*$AR$3</f>
        <v>3.7593893095109288E-4</v>
      </c>
    </row>
    <row r="16" spans="2:45">
      <c r="B16" s="125">
        <v>1785040.8203876393</v>
      </c>
      <c r="C16" s="23">
        <v>-1166911.190013903</v>
      </c>
      <c r="D16" s="23">
        <v>0</v>
      </c>
      <c r="E16" s="23">
        <v>0</v>
      </c>
      <c r="F16" s="23">
        <v>0</v>
      </c>
      <c r="G16" s="23">
        <v>0</v>
      </c>
      <c r="H16" s="23">
        <v>0</v>
      </c>
      <c r="I16" s="23">
        <v>0</v>
      </c>
      <c r="J16" s="23">
        <v>14175.26468405878</v>
      </c>
      <c r="K16" s="23">
        <v>-571436.66811286635</v>
      </c>
      <c r="L16" s="23">
        <v>-1300053.589493115</v>
      </c>
      <c r="M16" s="23">
        <v>-2619099.022196786</v>
      </c>
      <c r="N16" s="23">
        <v>-541984.55080570292</v>
      </c>
      <c r="O16" s="23">
        <v>5683020.4019816006</v>
      </c>
      <c r="P16" s="23">
        <v>42822.055227119708</v>
      </c>
      <c r="Q16" s="126">
        <v>-1325573.5216580448</v>
      </c>
      <c r="R16" s="125">
        <v>0</v>
      </c>
      <c r="S16" s="23">
        <v>0</v>
      </c>
      <c r="T16" s="126">
        <v>-1105.1764979742509</v>
      </c>
      <c r="W16" s="136">
        <v>-2.2116184233506899E-7</v>
      </c>
      <c r="X16" s="137">
        <v>2.3773861590770458E-7</v>
      </c>
      <c r="Y16" s="137">
        <v>-6.6107490481494888E-8</v>
      </c>
      <c r="Z16" s="137">
        <v>3.9493184541992581E-8</v>
      </c>
      <c r="AA16" s="137">
        <v>7.7778651677431096E-9</v>
      </c>
      <c r="AB16" s="137">
        <v>3.5098733764161076E-8</v>
      </c>
      <c r="AC16" s="137">
        <v>-1.9069056654762606E-24</v>
      </c>
      <c r="AD16" s="137">
        <v>0</v>
      </c>
      <c r="AE16" s="137">
        <v>3.9855896695238452E-8</v>
      </c>
      <c r="AF16" s="137">
        <v>2.0049006942800655E-7</v>
      </c>
      <c r="AG16" s="137">
        <v>6.5339892645598487E-8</v>
      </c>
      <c r="AH16" s="137">
        <v>2.8903491174506502E-7</v>
      </c>
      <c r="AI16" s="137">
        <v>2.8542423799719409E-7</v>
      </c>
      <c r="AJ16" s="137">
        <v>4.921107551675759E-7</v>
      </c>
      <c r="AK16" s="137">
        <v>-5.7761936701104514E-8</v>
      </c>
      <c r="AL16" s="138">
        <v>1.9845439949674666E-7</v>
      </c>
      <c r="AM16" s="144">
        <v>4.9730610480922466E-17</v>
      </c>
      <c r="AN16" s="145">
        <v>1.0000000000000011</v>
      </c>
      <c r="AO16" s="132">
        <v>-2.2776546738526021E-4</v>
      </c>
      <c r="AQ16" s="90">
        <v>-3.2658865585218631E-4</v>
      </c>
      <c r="AS16" s="90">
        <f>SQRT(ROUND(AJ16,10))*$AR$3</f>
        <v>6.4825367210296324E-4</v>
      </c>
    </row>
    <row r="17" spans="1:45">
      <c r="B17" s="125">
        <v>-2190966.5404966711</v>
      </c>
      <c r="C17" s="23">
        <v>700573.58129570296</v>
      </c>
      <c r="D17" s="23">
        <v>-744343.66647322965</v>
      </c>
      <c r="E17" s="23">
        <v>-39464.619138981216</v>
      </c>
      <c r="F17" s="23">
        <v>-1509651.600087069</v>
      </c>
      <c r="G17" s="23">
        <v>-1029589.156205278</v>
      </c>
      <c r="H17" s="23">
        <v>-1082062.5115796223</v>
      </c>
      <c r="I17" s="23">
        <v>-521342.94088780507</v>
      </c>
      <c r="J17" s="23">
        <v>191783.62029116554</v>
      </c>
      <c r="K17" s="23">
        <v>659043.24722733488</v>
      </c>
      <c r="L17" s="23">
        <v>-2622586.1141060032</v>
      </c>
      <c r="M17" s="23">
        <v>411244.27828048274</v>
      </c>
      <c r="N17" s="23">
        <v>-743800.0010849915</v>
      </c>
      <c r="O17" s="23">
        <v>42822.055227119708</v>
      </c>
      <c r="P17" s="23">
        <v>8701626.8135364205</v>
      </c>
      <c r="Q17" s="126">
        <v>-223286.44579857611</v>
      </c>
      <c r="R17" s="125">
        <v>0</v>
      </c>
      <c r="S17" s="23">
        <v>0</v>
      </c>
      <c r="T17" s="126">
        <v>0</v>
      </c>
      <c r="W17" s="136">
        <v>4.9816519425747631E-7</v>
      </c>
      <c r="X17" s="137">
        <v>8.2062481184186846E-8</v>
      </c>
      <c r="Y17" s="137">
        <v>4.0236917209235786E-7</v>
      </c>
      <c r="Z17" s="137">
        <v>3.0154082719108192E-7</v>
      </c>
      <c r="AA17" s="137">
        <v>1.1949720784484751E-7</v>
      </c>
      <c r="AB17" s="137">
        <v>2.5856024275606927E-7</v>
      </c>
      <c r="AC17" s="137">
        <v>4.8556680691919336E-25</v>
      </c>
      <c r="AD17" s="137">
        <v>0</v>
      </c>
      <c r="AE17" s="137">
        <v>-1.110910674182396E-8</v>
      </c>
      <c r="AF17" s="137">
        <v>-1.4671615525459987E-7</v>
      </c>
      <c r="AG17" s="137">
        <v>1.7323402288991222E-7</v>
      </c>
      <c r="AH17" s="137">
        <v>-7.0681080139254832E-8</v>
      </c>
      <c r="AI17" s="137">
        <v>-3.350192328664075E-8</v>
      </c>
      <c r="AJ17" s="137">
        <v>-5.7761936701104633E-8</v>
      </c>
      <c r="AK17" s="137">
        <v>3.8838352051087119E-7</v>
      </c>
      <c r="AL17" s="138">
        <v>1.2458864215517363E-7</v>
      </c>
      <c r="AM17" s="144">
        <v>1.0000000000000013</v>
      </c>
      <c r="AN17" s="145">
        <v>-3.5867569553961629E-16</v>
      </c>
      <c r="AO17" s="132">
        <v>3.4243359924128773E-4</v>
      </c>
      <c r="AQ17" s="90">
        <v>-5.8500552658593923E-5</v>
      </c>
      <c r="AS17" s="90">
        <f>SQRT(ROUND(AK17,10))*$AR$3</f>
        <v>5.7591436819479525E-4</v>
      </c>
    </row>
    <row r="18" spans="1:45">
      <c r="B18" s="127">
        <v>974149.92145825725</v>
      </c>
      <c r="C18" s="128">
        <v>-1200086.3052042355</v>
      </c>
      <c r="D18" s="128">
        <v>-404891.06186200911</v>
      </c>
      <c r="E18" s="128">
        <v>-3167112.6011221213</v>
      </c>
      <c r="F18" s="128">
        <v>-326937.09307701665</v>
      </c>
      <c r="G18" s="128">
        <v>-581242.709137636</v>
      </c>
      <c r="H18" s="128">
        <v>-75983.299995380643</v>
      </c>
      <c r="I18" s="128">
        <v>-349439.43595151976</v>
      </c>
      <c r="J18" s="128">
        <v>439956.42166692443</v>
      </c>
      <c r="K18" s="128">
        <v>-177985.49406476028</v>
      </c>
      <c r="L18" s="128">
        <v>-498872.0604381031</v>
      </c>
      <c r="M18" s="128">
        <v>-780082.93689902383</v>
      </c>
      <c r="N18" s="128">
        <v>115863.61804590373</v>
      </c>
      <c r="O18" s="128">
        <v>-1325573.5216580448</v>
      </c>
      <c r="P18" s="128">
        <v>-223286.44579857611</v>
      </c>
      <c r="Q18" s="129">
        <v>7581523.004037343</v>
      </c>
      <c r="R18" s="127">
        <v>0</v>
      </c>
      <c r="S18" s="128">
        <v>0</v>
      </c>
      <c r="T18" s="129">
        <v>0</v>
      </c>
      <c r="W18" s="139">
        <v>2.3757557005734171E-7</v>
      </c>
      <c r="X18" s="140">
        <v>2.8615567238158266E-7</v>
      </c>
      <c r="Y18" s="140">
        <v>2.3924857316185612E-7</v>
      </c>
      <c r="Z18" s="140">
        <v>4.4320725934391424E-7</v>
      </c>
      <c r="AA18" s="140">
        <v>-2.4740349424629022E-8</v>
      </c>
      <c r="AB18" s="140">
        <v>2.7577385035853245E-7</v>
      </c>
      <c r="AC18" s="140">
        <v>-3.4180089171885794E-24</v>
      </c>
      <c r="AD18" s="140">
        <v>0</v>
      </c>
      <c r="AE18" s="140">
        <v>-4.2524287634474191E-8</v>
      </c>
      <c r="AF18" s="140">
        <v>7.0567909795317736E-8</v>
      </c>
      <c r="AG18" s="140">
        <v>9.542864628953439E-8</v>
      </c>
      <c r="AH18" s="140">
        <v>1.5205442596508485E-7</v>
      </c>
      <c r="AI18" s="140">
        <v>1.1510355170811291E-7</v>
      </c>
      <c r="AJ18" s="140">
        <v>1.9845439949674639E-7</v>
      </c>
      <c r="AK18" s="140">
        <v>1.2458864215517385E-7</v>
      </c>
      <c r="AL18" s="141">
        <v>4.2732527097598709E-7</v>
      </c>
      <c r="AM18" s="146">
        <v>7.7571281315287235E-16</v>
      </c>
      <c r="AN18" s="147">
        <v>1.0000000000000002</v>
      </c>
      <c r="AO18" s="133">
        <v>2.827433388230811E-5</v>
      </c>
      <c r="AQ18" s="91">
        <v>1.0518508300609024E-3</v>
      </c>
      <c r="AS18" s="91">
        <f>SQRT(ROUND(AL18,10))*$AR$3</f>
        <v>6.0406649711244463E-4</v>
      </c>
    </row>
    <row r="19" spans="1:45" ht="29.75" customHeight="1">
      <c r="A19" s="260" t="s">
        <v>61</v>
      </c>
      <c r="B19" s="157">
        <f>IF(B$22=$B$49,IF(B$23="dx",1,0),0)</f>
        <v>0</v>
      </c>
      <c r="C19" s="158">
        <f t="shared" ref="C19:Q19" si="0">IF(C$22=$B$49,IF(C$23="dx",1,0),0)</f>
        <v>0</v>
      </c>
      <c r="D19" s="158">
        <f t="shared" si="0"/>
        <v>0</v>
      </c>
      <c r="E19" s="158">
        <f t="shared" si="0"/>
        <v>0</v>
      </c>
      <c r="F19" s="158">
        <f t="shared" si="0"/>
        <v>0</v>
      </c>
      <c r="G19" s="158">
        <f t="shared" si="0"/>
        <v>0</v>
      </c>
      <c r="H19" s="158">
        <f t="shared" si="0"/>
        <v>1</v>
      </c>
      <c r="I19" s="158">
        <f t="shared" si="0"/>
        <v>0</v>
      </c>
      <c r="J19" s="158">
        <f t="shared" si="0"/>
        <v>0</v>
      </c>
      <c r="K19" s="158">
        <f t="shared" si="0"/>
        <v>0</v>
      </c>
      <c r="L19" s="158">
        <f t="shared" si="0"/>
        <v>0</v>
      </c>
      <c r="M19" s="158">
        <f t="shared" si="0"/>
        <v>0</v>
      </c>
      <c r="N19" s="158">
        <f t="shared" si="0"/>
        <v>0</v>
      </c>
      <c r="O19" s="158">
        <f t="shared" si="0"/>
        <v>0</v>
      </c>
      <c r="P19" s="158">
        <f t="shared" si="0"/>
        <v>0</v>
      </c>
      <c r="Q19" s="159">
        <f t="shared" si="0"/>
        <v>0</v>
      </c>
      <c r="R19" s="23">
        <v>0</v>
      </c>
      <c r="S19" s="23">
        <v>0</v>
      </c>
      <c r="T19" s="23">
        <v>0</v>
      </c>
      <c r="V19" s="260" t="s">
        <v>69</v>
      </c>
      <c r="W19" s="142">
        <v>1.0000000000000007</v>
      </c>
      <c r="X19" s="143">
        <v>1.4210854715202006E-16</v>
      </c>
      <c r="Y19" s="143">
        <v>1.0000000000000007</v>
      </c>
      <c r="Z19" s="143">
        <v>8.5265128291212039E-16</v>
      </c>
      <c r="AA19" s="143">
        <v>0.99999999999999989</v>
      </c>
      <c r="AB19" s="143">
        <v>6.3948846218409024E-16</v>
      </c>
      <c r="AC19" s="143">
        <v>1</v>
      </c>
      <c r="AD19" s="143">
        <v>0</v>
      </c>
      <c r="AE19" s="143">
        <v>1</v>
      </c>
      <c r="AF19" s="143">
        <v>-2.8421709430404013E-16</v>
      </c>
      <c r="AG19" s="143">
        <v>1.0000000000000004</v>
      </c>
      <c r="AH19" s="143">
        <v>7.1054273576010032E-17</v>
      </c>
      <c r="AI19" s="143">
        <v>1</v>
      </c>
      <c r="AJ19" s="143">
        <v>2.131628207280301E-16</v>
      </c>
      <c r="AK19" s="143">
        <v>1.0000000000000002</v>
      </c>
      <c r="AL19" s="131">
        <v>4.9737991503207018E-16</v>
      </c>
      <c r="AM19" s="145">
        <v>1.3969838619232196E-9</v>
      </c>
      <c r="AN19" s="145">
        <v>8.3673512563109398E-10</v>
      </c>
      <c r="AO19" s="145">
        <v>3.9025625573950375E-13</v>
      </c>
    </row>
    <row r="20" spans="1:45">
      <c r="A20" s="261"/>
      <c r="B20" s="160">
        <f>IF(B$22=$B$49,IF(B$23="dy",1,0),0)</f>
        <v>0</v>
      </c>
      <c r="C20">
        <f t="shared" ref="C20:Q20" si="1">IF(C$22=$B$49,IF(C$23="dy",1,0),0)</f>
        <v>0</v>
      </c>
      <c r="D20">
        <f t="shared" si="1"/>
        <v>0</v>
      </c>
      <c r="E20">
        <f t="shared" si="1"/>
        <v>0</v>
      </c>
      <c r="F20">
        <f t="shared" si="1"/>
        <v>0</v>
      </c>
      <c r="G20">
        <f t="shared" si="1"/>
        <v>0</v>
      </c>
      <c r="H20">
        <f t="shared" si="1"/>
        <v>0</v>
      </c>
      <c r="I20">
        <f t="shared" si="1"/>
        <v>1</v>
      </c>
      <c r="J20">
        <f t="shared" si="1"/>
        <v>0</v>
      </c>
      <c r="K20">
        <f t="shared" si="1"/>
        <v>0</v>
      </c>
      <c r="L20">
        <f t="shared" si="1"/>
        <v>0</v>
      </c>
      <c r="M20">
        <f t="shared" si="1"/>
        <v>0</v>
      </c>
      <c r="N20">
        <f t="shared" si="1"/>
        <v>0</v>
      </c>
      <c r="O20">
        <f t="shared" si="1"/>
        <v>0</v>
      </c>
      <c r="P20">
        <f t="shared" si="1"/>
        <v>0</v>
      </c>
      <c r="Q20" s="161">
        <f t="shared" si="1"/>
        <v>0</v>
      </c>
      <c r="R20" s="23">
        <v>0</v>
      </c>
      <c r="S20" s="23">
        <v>0</v>
      </c>
      <c r="T20" s="23">
        <v>0</v>
      </c>
      <c r="V20" s="261"/>
      <c r="W20" s="144">
        <v>4.0112083029176454E-16</v>
      </c>
      <c r="X20" s="145">
        <v>1.0000000000000004</v>
      </c>
      <c r="Y20" s="145">
        <v>4.2316636039140877E-16</v>
      </c>
      <c r="Z20" s="145">
        <v>1.0000000000000002</v>
      </c>
      <c r="AA20" s="145">
        <v>1.4018347666150217E-16</v>
      </c>
      <c r="AB20" s="145">
        <v>1.0000000000000002</v>
      </c>
      <c r="AC20" s="145">
        <v>-8.7366628448772123E-33</v>
      </c>
      <c r="AD20" s="145">
        <v>1</v>
      </c>
      <c r="AE20" s="145">
        <v>2.0871177337116966E-17</v>
      </c>
      <c r="AF20" s="145">
        <v>0.99999999999999989</v>
      </c>
      <c r="AG20" s="145">
        <v>9.8292640947258107E-17</v>
      </c>
      <c r="AH20" s="145">
        <v>1.0000000000000004</v>
      </c>
      <c r="AI20" s="145">
        <v>3.1477145226120536E-16</v>
      </c>
      <c r="AJ20" s="145">
        <v>1.0000000000000004</v>
      </c>
      <c r="AK20" s="145">
        <v>1.9507306458116463E-16</v>
      </c>
      <c r="AL20" s="132">
        <v>1.0000000000000004</v>
      </c>
      <c r="AM20" s="145">
        <v>1.164153218269349E-9</v>
      </c>
      <c r="AN20" s="145">
        <v>1.7462298274040233E-9</v>
      </c>
      <c r="AO20" s="145">
        <v>-3.0355550144793711E-14</v>
      </c>
    </row>
    <row r="21" spans="1:45">
      <c r="A21" s="262"/>
      <c r="B21" s="162">
        <f>IF(B22=$B$49,IF(B23="dx",$H$49,$I$49),IF($B$50=B22,IF(B23="dx",-$H$49,-$I$49),0))</f>
        <v>0</v>
      </c>
      <c r="C21" s="163">
        <f t="shared" ref="C21:P21" si="2">IF(C22=$B$49,IF(C23="dx",$H$49,$I$49),IF($B$50=C22,IF(C23="dx",-$H$49,-$I$49),0))</f>
        <v>0</v>
      </c>
      <c r="D21" s="163">
        <f t="shared" si="2"/>
        <v>0</v>
      </c>
      <c r="E21" s="163">
        <f t="shared" si="2"/>
        <v>0</v>
      </c>
      <c r="F21" s="163">
        <f t="shared" si="2"/>
        <v>0</v>
      </c>
      <c r="G21" s="163">
        <f t="shared" si="2"/>
        <v>0</v>
      </c>
      <c r="H21" s="163">
        <f t="shared" si="2"/>
        <v>-1905.4767206452602</v>
      </c>
      <c r="I21" s="163">
        <f t="shared" si="2"/>
        <v>1105.1764979742509</v>
      </c>
      <c r="J21" s="163">
        <f>IF(J22=$B$49,IF(J23="dx",$H$49,$I$49),IF($B$50=J22,IF(J23="dx",-$H$49,-$I$49),0))</f>
        <v>0</v>
      </c>
      <c r="K21" s="163">
        <f t="shared" si="2"/>
        <v>0</v>
      </c>
      <c r="L21" s="163">
        <f t="shared" si="2"/>
        <v>0</v>
      </c>
      <c r="M21" s="163">
        <f t="shared" si="2"/>
        <v>0</v>
      </c>
      <c r="N21" s="163">
        <f t="shared" si="2"/>
        <v>1905.4767206452602</v>
      </c>
      <c r="O21" s="163">
        <f t="shared" si="2"/>
        <v>-1105.1764979742509</v>
      </c>
      <c r="P21" s="163">
        <f t="shared" si="2"/>
        <v>0</v>
      </c>
      <c r="Q21" s="164">
        <f>IF(Q22=$B$49,IF(Q23="dx",$H$49,$I$49),IF($B$50=Q22,IF(Q23="dx",-$H$49,-$I$49),0))</f>
        <v>0</v>
      </c>
      <c r="R21" s="23">
        <v>0</v>
      </c>
      <c r="S21" s="23">
        <v>0</v>
      </c>
      <c r="T21" s="23">
        <v>0</v>
      </c>
      <c r="V21" s="262"/>
      <c r="W21" s="146">
        <v>5.8119464091411187E-4</v>
      </c>
      <c r="X21" s="147">
        <v>-8.6393797973719475E-5</v>
      </c>
      <c r="Y21" s="147">
        <v>3.8484510006474981E-4</v>
      </c>
      <c r="Z21" s="147">
        <v>2.8274333882308137E-4</v>
      </c>
      <c r="AA21" s="147">
        <v>8.6393797973719394E-5</v>
      </c>
      <c r="AB21" s="147">
        <v>2.1991148575128559E-4</v>
      </c>
      <c r="AC21" s="147">
        <v>-1.0899589056276967E-20</v>
      </c>
      <c r="AD21" s="147">
        <v>0</v>
      </c>
      <c r="AE21" s="147">
        <v>-1.0995574287564277E-4</v>
      </c>
      <c r="AF21" s="147">
        <v>-2.3561944901923448E-4</v>
      </c>
      <c r="AG21" s="147">
        <v>1.6493361431346406E-4</v>
      </c>
      <c r="AH21" s="147">
        <v>-1.8064157758141319E-4</v>
      </c>
      <c r="AI21" s="147">
        <v>3.9269908169872389E-4</v>
      </c>
      <c r="AJ21" s="147">
        <v>-2.2776546738526016E-4</v>
      </c>
      <c r="AK21" s="147">
        <v>3.4243359924128746E-4</v>
      </c>
      <c r="AL21" s="133">
        <v>2.8274333882307971E-5</v>
      </c>
      <c r="AM21" s="145">
        <v>5.7236669851327647E-13</v>
      </c>
      <c r="AN21" s="145">
        <v>-3.1967045841486328E-13</v>
      </c>
      <c r="AO21" s="145">
        <v>2.1824206833451694E-16</v>
      </c>
    </row>
    <row r="22" spans="1:45">
      <c r="B22" s="446">
        <v>1</v>
      </c>
      <c r="C22" s="446">
        <v>1</v>
      </c>
      <c r="D22" s="446">
        <v>3</v>
      </c>
      <c r="E22" s="446">
        <v>3</v>
      </c>
      <c r="F22" s="446">
        <v>4</v>
      </c>
      <c r="G22" s="446">
        <v>4</v>
      </c>
      <c r="H22" s="446">
        <v>5</v>
      </c>
      <c r="I22" s="446">
        <v>5</v>
      </c>
      <c r="J22" s="446">
        <v>6</v>
      </c>
      <c r="K22" s="446">
        <v>6</v>
      </c>
      <c r="L22" s="446">
        <v>7</v>
      </c>
      <c r="M22" s="446">
        <v>7</v>
      </c>
      <c r="N22" s="446">
        <v>8</v>
      </c>
      <c r="O22" s="446">
        <v>8</v>
      </c>
      <c r="P22" s="446">
        <v>9</v>
      </c>
      <c r="Q22" s="156">
        <v>9</v>
      </c>
    </row>
    <row r="23" spans="1:45">
      <c r="B23" s="156" t="s">
        <v>43</v>
      </c>
      <c r="C23" s="156" t="s">
        <v>44</v>
      </c>
      <c r="D23" s="156" t="s">
        <v>43</v>
      </c>
      <c r="E23" s="156" t="s">
        <v>44</v>
      </c>
      <c r="F23" s="156" t="s">
        <v>43</v>
      </c>
      <c r="G23" s="156" t="s">
        <v>44</v>
      </c>
      <c r="H23" s="156" t="s">
        <v>43</v>
      </c>
      <c r="I23" s="156" t="s">
        <v>44</v>
      </c>
      <c r="J23" s="156" t="s">
        <v>43</v>
      </c>
      <c r="K23" s="156" t="s">
        <v>44</v>
      </c>
      <c r="L23" s="156" t="s">
        <v>43</v>
      </c>
      <c r="M23" s="156" t="s">
        <v>44</v>
      </c>
      <c r="N23" s="156" t="s">
        <v>43</v>
      </c>
      <c r="O23" s="156" t="s">
        <v>44</v>
      </c>
      <c r="P23" s="156" t="s">
        <v>43</v>
      </c>
      <c r="Q23" s="156" t="s">
        <v>44</v>
      </c>
    </row>
    <row r="25" spans="2:45">
      <c r="B25" s="433" t="s">
        <v>86</v>
      </c>
      <c r="C25" s="434"/>
      <c r="D25" s="434"/>
      <c r="E25" s="434"/>
      <c r="F25" s="434"/>
      <c r="G25" s="434"/>
      <c r="H25" s="434"/>
      <c r="I25" s="434"/>
      <c r="J25" s="434"/>
      <c r="K25" s="434"/>
      <c r="L25" s="434"/>
      <c r="M25" s="434"/>
      <c r="N25" s="434"/>
      <c r="O25" s="434"/>
      <c r="P25" s="434"/>
      <c r="Q25" s="271"/>
      <c r="R25" s="257" t="s">
        <v>49</v>
      </c>
      <c r="S25" s="258"/>
      <c r="T25" s="259"/>
      <c r="V25" s="411"/>
      <c r="W25" s="433" t="s">
        <v>63</v>
      </c>
      <c r="X25" s="434"/>
      <c r="Y25" s="434"/>
      <c r="Z25" s="434"/>
      <c r="AA25" s="434"/>
      <c r="AB25" s="434"/>
      <c r="AC25" s="434"/>
      <c r="AD25" s="434"/>
      <c r="AE25" s="434"/>
      <c r="AF25" s="434"/>
      <c r="AG25" s="434"/>
      <c r="AH25" s="434"/>
      <c r="AI25" s="434"/>
      <c r="AJ25" s="434"/>
      <c r="AK25" s="434"/>
      <c r="AL25" s="435"/>
      <c r="AM25" s="436" t="s">
        <v>64</v>
      </c>
      <c r="AN25" s="437"/>
      <c r="AO25" s="438"/>
      <c r="AP25" s="411"/>
      <c r="AQ25" s="445" t="s">
        <v>52</v>
      </c>
      <c r="AR25" s="443" t="s">
        <v>85</v>
      </c>
      <c r="AS25" s="445" t="s">
        <v>65</v>
      </c>
    </row>
    <row r="26" spans="1:45">
      <c r="B26" s="142" cm="1">
        <f t="array" ref="B26:Q41">_xlfn.ANCHORARRAY('Wyrównanie wstępne - aktualny'!B110)</f>
        <v>3781646.9419155456</v>
      </c>
      <c r="C26" s="143">
        <v>-1452438.9423782346</v>
      </c>
      <c r="D26" s="143">
        <v>-2172492.4140480189</v>
      </c>
      <c r="E26" s="143">
        <v>-940496.29497446935</v>
      </c>
      <c r="F26" s="143">
        <v>0</v>
      </c>
      <c r="G26" s="143">
        <v>0</v>
      </c>
      <c r="H26" s="143">
        <v>0</v>
      </c>
      <c r="I26" s="143">
        <v>0</v>
      </c>
      <c r="J26" s="143">
        <v>0</v>
      </c>
      <c r="K26" s="143">
        <v>0</v>
      </c>
      <c r="L26" s="143">
        <v>-60305.752639714628</v>
      </c>
      <c r="M26" s="143">
        <v>266350.40749207337</v>
      </c>
      <c r="N26" s="143">
        <v>-551394.90356975817</v>
      </c>
      <c r="O26" s="143">
        <v>1785039.3685897156</v>
      </c>
      <c r="P26" s="143">
        <v>-997453.8716580536</v>
      </c>
      <c r="Q26" s="131">
        <v>341545.461270915</v>
      </c>
      <c r="R26" s="124" cm="1">
        <f t="array" ref="R26:T41">TRANSPOSE(B42:Q44)</f>
        <v>0</v>
      </c>
      <c r="S26" s="122">
        <v>0</v>
      </c>
      <c r="T26" s="123">
        <v>0</v>
      </c>
      <c r="W26" s="142" cm="1">
        <f t="array" ref="W26:AO44">MINVERSE(B26:T44)</f>
        <v>1.0256463869854918E-6</v>
      </c>
      <c r="X26" s="143">
        <v>3.006499691275319E-7</v>
      </c>
      <c r="Y26" s="143">
        <v>6.7088644458094079E-7</v>
      </c>
      <c r="Z26" s="143">
        <v>4.965894313601217E-7</v>
      </c>
      <c r="AA26" s="143">
        <v>1.2676422916909272E-8</v>
      </c>
      <c r="AB26" s="143">
        <v>4.0977229622485735E-7</v>
      </c>
      <c r="AC26" s="143">
        <v>0</v>
      </c>
      <c r="AD26" s="143">
        <v>0</v>
      </c>
      <c r="AE26" s="143">
        <v>-4.648155538006903E-8</v>
      </c>
      <c r="AF26" s="143">
        <v>-1.4248015550849288E-7</v>
      </c>
      <c r="AG26" s="143">
        <v>1.467543717382261E-7</v>
      </c>
      <c r="AH26" s="143">
        <v>-7.1980386511283974E-8</v>
      </c>
      <c r="AI26" s="143">
        <v>-7.7016247069144559E-8</v>
      </c>
      <c r="AJ26" s="143">
        <v>-1.327866328778354E-7</v>
      </c>
      <c r="AK26" s="143">
        <v>3.8049614329573158E-7</v>
      </c>
      <c r="AL26" s="131">
        <v>2.4796676401950212E-7</v>
      </c>
      <c r="AM26" s="142">
        <v>0.99999999999999922</v>
      </c>
      <c r="AN26" s="143">
        <v>-1.1698030771700523E-15</v>
      </c>
      <c r="AO26" s="131">
        <v>5.8119464091411122E-4</v>
      </c>
      <c r="AQ26" s="89" cm="1">
        <f t="array" ref="AQ26:AQ41">-MMULT(W26:AL41,_xlfn.ANCHORARRAY('Wyrównanie wstępne - aktualny'!V110))</f>
        <v>1.1161184783004059E-2</v>
      </c>
      <c r="AR26" s="189">
        <f>'Wyrównanie wstępne - aktualny'!AB131</f>
        <v>1.0011057563684223</v>
      </c>
      <c r="AS26" s="190">
        <f>SQRT(ROUND(W26,10))*$AR$26</f>
        <v>1.0138389327013937E-3</v>
      </c>
    </row>
    <row r="27" spans="1:45">
      <c r="B27" s="144">
        <v>-1452438.9423782346</v>
      </c>
      <c r="C27" s="145">
        <v>2870935.2926965696</v>
      </c>
      <c r="D27" s="145">
        <v>561691.44153463398</v>
      </c>
      <c r="E27" s="145">
        <v>368638.02651990624</v>
      </c>
      <c r="F27" s="145">
        <v>0</v>
      </c>
      <c r="G27" s="145">
        <v>0</v>
      </c>
      <c r="H27" s="145">
        <v>0</v>
      </c>
      <c r="I27" s="145">
        <v>0</v>
      </c>
      <c r="J27" s="145">
        <v>0</v>
      </c>
      <c r="K27" s="145">
        <v>0</v>
      </c>
      <c r="L27" s="145">
        <v>266350.40749207337</v>
      </c>
      <c r="M27" s="145">
        <v>-1176380.9664233257</v>
      </c>
      <c r="N27" s="145">
        <v>497030.11525398609</v>
      </c>
      <c r="O27" s="145">
        <v>-1166909.2542833376</v>
      </c>
      <c r="P27" s="145">
        <v>127366.9780975412</v>
      </c>
      <c r="Q27" s="132">
        <v>-896283.09850981273</v>
      </c>
      <c r="R27" s="125">
        <v>0</v>
      </c>
      <c r="S27" s="23">
        <v>0</v>
      </c>
      <c r="T27" s="126">
        <v>0</v>
      </c>
      <c r="W27" s="144">
        <v>3.0064996912753217E-7</v>
      </c>
      <c r="X27" s="145">
        <v>6.9198013414602513E-7</v>
      </c>
      <c r="Y27" s="145">
        <v>1.6440884887742158E-7</v>
      </c>
      <c r="Z27" s="145">
        <v>2.2906753627569171E-7</v>
      </c>
      <c r="AA27" s="145">
        <v>-1.9882289191160968E-8</v>
      </c>
      <c r="AB27" s="145">
        <v>1.8955750414814361E-7</v>
      </c>
      <c r="AC27" s="145">
        <v>0</v>
      </c>
      <c r="AD27" s="145">
        <v>0</v>
      </c>
      <c r="AE27" s="145">
        <v>6.964689381884695E-9</v>
      </c>
      <c r="AF27" s="145">
        <v>1.2733610114503046E-7</v>
      </c>
      <c r="AG27" s="145">
        <v>5.9566595092652838E-8</v>
      </c>
      <c r="AH27" s="145">
        <v>2.3469379922792218E-7</v>
      </c>
      <c r="AI27" s="145">
        <v>1.4220968579403597E-7</v>
      </c>
      <c r="AJ27" s="145">
        <v>2.4518911343799306E-7</v>
      </c>
      <c r="AK27" s="145">
        <v>7.7075744699584502E-8</v>
      </c>
      <c r="AL27" s="132">
        <v>2.910985806448881E-7</v>
      </c>
      <c r="AM27" s="144">
        <v>2.4702835794925021E-16</v>
      </c>
      <c r="AN27" s="145">
        <v>1.0000000000000002</v>
      </c>
      <c r="AO27" s="132">
        <v>-8.6393797973719516E-5</v>
      </c>
      <c r="AQ27" s="90">
        <v>5.6701107354157638E-3</v>
      </c>
      <c r="AS27" s="191">
        <f>SQRT(ROUND(X27,10))*AR26</f>
        <v>8.3278521415808152E-4</v>
      </c>
    </row>
    <row r="28" spans="1:45">
      <c r="B28" s="144">
        <v>-2172492.4140480189</v>
      </c>
      <c r="C28" s="145">
        <v>561691.44153463398</v>
      </c>
      <c r="D28" s="145">
        <v>4685409.6382794194</v>
      </c>
      <c r="E28" s="145">
        <v>1492344.1218479071</v>
      </c>
      <c r="F28" s="145">
        <v>1037902.7809815664</v>
      </c>
      <c r="G28" s="145">
        <v>-889687.47101225727</v>
      </c>
      <c r="H28" s="145">
        <v>0</v>
      </c>
      <c r="I28" s="145">
        <v>0</v>
      </c>
      <c r="J28" s="145">
        <v>0</v>
      </c>
      <c r="K28" s="145">
        <v>0</v>
      </c>
      <c r="L28" s="145">
        <v>0</v>
      </c>
      <c r="M28" s="145">
        <v>0</v>
      </c>
      <c r="N28" s="145">
        <v>-547057.66865349526</v>
      </c>
      <c r="O28" s="145">
        <v>221150.97243439182</v>
      </c>
      <c r="P28" s="145">
        <v>-3003762.3365594717</v>
      </c>
      <c r="Q28" s="132">
        <v>-1385499.0648046758</v>
      </c>
      <c r="R28" s="125">
        <v>0</v>
      </c>
      <c r="S28" s="23">
        <v>0</v>
      </c>
      <c r="T28" s="126">
        <v>0</v>
      </c>
      <c r="W28" s="144">
        <v>6.7088644458094068E-7</v>
      </c>
      <c r="X28" s="145">
        <v>1.6440884887742137E-7</v>
      </c>
      <c r="Y28" s="145">
        <v>7.8561752498796661E-7</v>
      </c>
      <c r="Z28" s="145">
        <v>2.4956127690176212E-7</v>
      </c>
      <c r="AA28" s="145">
        <v>-1.0080786257418601E-8</v>
      </c>
      <c r="AB28" s="145">
        <v>3.6018675759658123E-7</v>
      </c>
      <c r="AC28" s="145">
        <v>0</v>
      </c>
      <c r="AD28" s="145">
        <v>0</v>
      </c>
      <c r="AE28" s="145">
        <v>-3.6424523047936421E-8</v>
      </c>
      <c r="AF28" s="145">
        <v>-1.138146495395172E-7</v>
      </c>
      <c r="AG28" s="145">
        <v>1.4882206519064674E-7</v>
      </c>
      <c r="AH28" s="145">
        <v>-4.3047180277460524E-8</v>
      </c>
      <c r="AI28" s="145">
        <v>-2.7327166984529847E-8</v>
      </c>
      <c r="AJ28" s="145">
        <v>-4.7115805145741055E-8</v>
      </c>
      <c r="AK28" s="145">
        <v>3.4698771754228811E-7</v>
      </c>
      <c r="AL28" s="132">
        <v>2.3065135119545721E-7</v>
      </c>
      <c r="AM28" s="144">
        <v>0.99999999999999933</v>
      </c>
      <c r="AN28" s="145">
        <v>-8.7143664321805268E-16</v>
      </c>
      <c r="AO28" s="132">
        <v>5.4192473274423882E-4</v>
      </c>
      <c r="AQ28" s="90">
        <v>-2.9893330327921612E-3</v>
      </c>
      <c r="AS28" s="191">
        <f>SQRT(ROUND(Y28,10))*AR26</f>
        <v>8.8732086922203249E-4</v>
      </c>
    </row>
    <row r="29" spans="1:45">
      <c r="B29" s="144">
        <v>-940496.29497446935</v>
      </c>
      <c r="C29" s="145">
        <v>368638.02651990624</v>
      </c>
      <c r="D29" s="145">
        <v>1492344.1218479071</v>
      </c>
      <c r="E29" s="145">
        <v>2295146.8114516018</v>
      </c>
      <c r="F29" s="145">
        <v>498233.78327704128</v>
      </c>
      <c r="G29" s="145">
        <v>-1027454.2873142996</v>
      </c>
      <c r="H29" s="145">
        <v>0</v>
      </c>
      <c r="I29" s="145">
        <v>0</v>
      </c>
      <c r="J29" s="145">
        <v>0</v>
      </c>
      <c r="K29" s="145">
        <v>0</v>
      </c>
      <c r="L29" s="145">
        <v>0</v>
      </c>
      <c r="M29" s="145">
        <v>0</v>
      </c>
      <c r="N29" s="145">
        <v>221150.97243439182</v>
      </c>
      <c r="O29" s="145">
        <v>-89401.456941562705</v>
      </c>
      <c r="P29" s="145">
        <v>-1271232.582584871</v>
      </c>
      <c r="Q29" s="132">
        <v>-1546929.0937156454</v>
      </c>
      <c r="R29" s="125">
        <v>0</v>
      </c>
      <c r="S29" s="23">
        <v>0</v>
      </c>
      <c r="T29" s="126">
        <v>0</v>
      </c>
      <c r="W29" s="144">
        <v>4.9658943136012244E-7</v>
      </c>
      <c r="X29" s="145">
        <v>2.2906753627569181E-7</v>
      </c>
      <c r="Y29" s="145">
        <v>2.4956127690176302E-7</v>
      </c>
      <c r="Z29" s="145">
        <v>1.1133598989552135E-6</v>
      </c>
      <c r="AA29" s="145">
        <v>-4.3061832642727692E-8</v>
      </c>
      <c r="AB29" s="145">
        <v>5.1523617602884052E-7</v>
      </c>
      <c r="AC29" s="145">
        <v>0</v>
      </c>
      <c r="AD29" s="145">
        <v>0</v>
      </c>
      <c r="AE29" s="145">
        <v>-5.7524173369550752E-8</v>
      </c>
      <c r="AF29" s="145">
        <v>-1.4466104899826619E-8</v>
      </c>
      <c r="AG29" s="145">
        <v>1.3845174364260448E-7</v>
      </c>
      <c r="AH29" s="145">
        <v>6.9957589988528863E-8</v>
      </c>
      <c r="AI29" s="145">
        <v>5.4883487942254157E-8</v>
      </c>
      <c r="AJ29" s="145">
        <v>9.4626703348714106E-8</v>
      </c>
      <c r="AK29" s="145">
        <v>2.5445002324260112E-7</v>
      </c>
      <c r="AL29" s="132">
        <v>4.3604735809242992E-7</v>
      </c>
      <c r="AM29" s="144">
        <v>1.8330341152210341E-16</v>
      </c>
      <c r="AN29" s="145">
        <v>0.99999999999999889</v>
      </c>
      <c r="AO29" s="132">
        <v>1.4137166941154039E-4</v>
      </c>
      <c r="AQ29" s="90">
        <v>3.6007983318283253E-3</v>
      </c>
      <c r="AS29" s="191">
        <f>SQRT(ROUND(Z29,10))*AR26</f>
        <v>1.0563444796240502E-3</v>
      </c>
    </row>
    <row r="30" spans="1:45">
      <c r="B30" s="144">
        <v>0</v>
      </c>
      <c r="C30" s="145">
        <v>0</v>
      </c>
      <c r="D30" s="145">
        <v>1037902.7809815664</v>
      </c>
      <c r="E30" s="145">
        <v>498233.78327704128</v>
      </c>
      <c r="F30" s="145">
        <v>3185003.418114882</v>
      </c>
      <c r="G30" s="145">
        <v>-71985.691457216162</v>
      </c>
      <c r="H30" s="145">
        <v>-1228679.7045486527</v>
      </c>
      <c r="I30" s="145">
        <v>-445660.11040028895</v>
      </c>
      <c r="J30" s="145">
        <v>0</v>
      </c>
      <c r="K30" s="145">
        <v>0</v>
      </c>
      <c r="L30" s="145">
        <v>-606688.38092563325</v>
      </c>
      <c r="M30" s="145">
        <v>-118958.50606384952</v>
      </c>
      <c r="N30" s="145">
        <v>0</v>
      </c>
      <c r="O30" s="145">
        <v>0</v>
      </c>
      <c r="P30" s="145">
        <v>-2387538.113622162</v>
      </c>
      <c r="Q30" s="132">
        <v>138370.52464431326</v>
      </c>
      <c r="R30" s="125">
        <v>0</v>
      </c>
      <c r="S30" s="23">
        <v>0</v>
      </c>
      <c r="T30" s="126">
        <v>0</v>
      </c>
      <c r="W30" s="144">
        <v>1.26764229169091E-8</v>
      </c>
      <c r="X30" s="145">
        <v>-1.9882289191161031E-8</v>
      </c>
      <c r="Y30" s="145">
        <v>-1.0080786257418928E-8</v>
      </c>
      <c r="Z30" s="145">
        <v>-4.3061832642727685E-8</v>
      </c>
      <c r="AA30" s="145">
        <v>4.3273014280370268E-7</v>
      </c>
      <c r="AB30" s="145">
        <v>-2.1286315634623839E-9</v>
      </c>
      <c r="AC30" s="145">
        <v>0</v>
      </c>
      <c r="AD30" s="145">
        <v>0</v>
      </c>
      <c r="AE30" s="145">
        <v>3.4986002838065436E-8</v>
      </c>
      <c r="AF30" s="145">
        <v>-5.488461592216398E-8</v>
      </c>
      <c r="AG30" s="145">
        <v>9.1132801880189991E-8</v>
      </c>
      <c r="AH30" s="145">
        <v>-1.8449966588453219E-8</v>
      </c>
      <c r="AI30" s="145">
        <v>2.4793067648862157E-9</v>
      </c>
      <c r="AJ30" s="145">
        <v>4.2746668360107694E-9</v>
      </c>
      <c r="AK30" s="145">
        <v>1.2033014833746664E-7</v>
      </c>
      <c r="AL30" s="132">
        <v>-4.4050076164282072E-8</v>
      </c>
      <c r="AM30" s="144">
        <v>0.99999999999999944</v>
      </c>
      <c r="AN30" s="145">
        <v>-6.9768898081952229E-17</v>
      </c>
      <c r="AO30" s="132">
        <v>8.6393797973719245E-5</v>
      </c>
      <c r="AQ30" s="90">
        <v>7.8724888224102983E-3</v>
      </c>
      <c r="AS30" s="191">
        <f>SQRT(ROUND(AA30,10))*AR26</f>
        <v>6.585267273408786E-4</v>
      </c>
    </row>
    <row r="31" spans="1:45">
      <c r="B31" s="144">
        <v>0</v>
      </c>
      <c r="C31" s="145">
        <v>0</v>
      </c>
      <c r="D31" s="145">
        <v>-889687.47101225727</v>
      </c>
      <c r="E31" s="145">
        <v>-1027454.2873142996</v>
      </c>
      <c r="F31" s="145">
        <v>-71985.691457216162</v>
      </c>
      <c r="G31" s="145">
        <v>3650863.5955685787</v>
      </c>
      <c r="H31" s="145">
        <v>1453151.1035032282</v>
      </c>
      <c r="I31" s="145">
        <v>-1670576.071123057</v>
      </c>
      <c r="J31" s="145">
        <v>0</v>
      </c>
      <c r="K31" s="145">
        <v>0</v>
      </c>
      <c r="L31" s="145">
        <v>-118958.50606384952</v>
      </c>
      <c r="M31" s="145">
        <v>-23325.197267421452</v>
      </c>
      <c r="N31" s="145">
        <v>0</v>
      </c>
      <c r="O31" s="145">
        <v>0</v>
      </c>
      <c r="P31" s="145">
        <v>-372519.4349699053</v>
      </c>
      <c r="Q31" s="132">
        <v>-929508.03986380098</v>
      </c>
      <c r="R31" s="125">
        <v>0</v>
      </c>
      <c r="S31" s="23">
        <v>0</v>
      </c>
      <c r="T31" s="126">
        <v>0</v>
      </c>
      <c r="W31" s="144">
        <v>4.0977229622485767E-7</v>
      </c>
      <c r="X31" s="145">
        <v>1.8955750414814361E-7</v>
      </c>
      <c r="Y31" s="145">
        <v>3.6018675759658133E-7</v>
      </c>
      <c r="Z31" s="145">
        <v>5.1523617602884031E-7</v>
      </c>
      <c r="AA31" s="145">
        <v>-2.1286315634623136E-9</v>
      </c>
      <c r="AB31" s="145">
        <v>6.1431091097075637E-7</v>
      </c>
      <c r="AC31" s="145">
        <v>0</v>
      </c>
      <c r="AD31" s="145">
        <v>0</v>
      </c>
      <c r="AE31" s="145">
        <v>-3.4882065815014617E-8</v>
      </c>
      <c r="AF31" s="145">
        <v>-2.4536990241575266E-8</v>
      </c>
      <c r="AG31" s="145">
        <v>1.2524251119602564E-7</v>
      </c>
      <c r="AH31" s="145">
        <v>4.9240926408362148E-8</v>
      </c>
      <c r="AI31" s="145">
        <v>4.1895989182404839E-8</v>
      </c>
      <c r="AJ31" s="145">
        <v>7.2234464107594571E-8</v>
      </c>
      <c r="AK31" s="145">
        <v>2.2670225409343362E-7</v>
      </c>
      <c r="AL31" s="132">
        <v>3.1477414313931738E-7</v>
      </c>
      <c r="AM31" s="144">
        <v>-5.1174574530326796E-17</v>
      </c>
      <c r="AN31" s="145">
        <v>0.99999999999999944</v>
      </c>
      <c r="AO31" s="132">
        <v>2.1991148575128521E-4</v>
      </c>
      <c r="AQ31" s="90">
        <v>-3.1758414178991827E-3</v>
      </c>
      <c r="AS31" s="191">
        <f>SQRT(ROUND(AB31,10))*AR26</f>
        <v>7.8463958820410061E-4</v>
      </c>
    </row>
    <row r="32" spans="1:45">
      <c r="B32" s="144">
        <v>0</v>
      </c>
      <c r="C32" s="145">
        <v>0</v>
      </c>
      <c r="D32" s="145">
        <v>0</v>
      </c>
      <c r="E32" s="145">
        <v>0</v>
      </c>
      <c r="F32" s="145">
        <v>-1228679.7045486527</v>
      </c>
      <c r="G32" s="145">
        <v>1453151.1035032282</v>
      </c>
      <c r="H32" s="145">
        <v>6170884.7826881204</v>
      </c>
      <c r="I32" s="145">
        <v>340680.37661482044</v>
      </c>
      <c r="J32" s="145">
        <v>-1392389.5296808735</v>
      </c>
      <c r="K32" s="145">
        <v>-1871080.4932720729</v>
      </c>
      <c r="L32" s="145">
        <v>-2467753.0368789718</v>
      </c>
      <c r="M32" s="145">
        <v>153232.31314940497</v>
      </c>
      <c r="N32" s="145">
        <v>0</v>
      </c>
      <c r="O32" s="145">
        <v>0</v>
      </c>
      <c r="P32" s="145">
        <v>-1082062.5115796223</v>
      </c>
      <c r="Q32" s="132">
        <v>-75983.299995380643</v>
      </c>
      <c r="R32" s="125">
        <v>1</v>
      </c>
      <c r="S32" s="23">
        <v>0</v>
      </c>
      <c r="T32" s="126">
        <v>-1905.4767206452602</v>
      </c>
      <c r="W32" s="144">
        <v>4.7938408019762018E-23</v>
      </c>
      <c r="X32" s="145">
        <v>-3.5953806014821512E-23</v>
      </c>
      <c r="Y32" s="145">
        <v>-9.5876816039524036E-23</v>
      </c>
      <c r="Z32" s="145">
        <v>1.1984602004940504E-22</v>
      </c>
      <c r="AA32" s="145">
        <v>1.7976903007410756E-23</v>
      </c>
      <c r="AB32" s="145">
        <v>2.3969204009881009E-23</v>
      </c>
      <c r="AC32" s="145">
        <v>0</v>
      </c>
      <c r="AD32" s="145">
        <v>0</v>
      </c>
      <c r="AE32" s="145">
        <v>4.7938408019762018E-23</v>
      </c>
      <c r="AF32" s="145">
        <v>-4.7938408019762018E-23</v>
      </c>
      <c r="AG32" s="145">
        <v>-1.1984602004940504E-23</v>
      </c>
      <c r="AH32" s="145">
        <v>-5.9923010024702518E-23</v>
      </c>
      <c r="AI32" s="145">
        <v>-4.7938408019762018E-23</v>
      </c>
      <c r="AJ32" s="145">
        <v>-3.5953806014821512E-23</v>
      </c>
      <c r="AK32" s="145">
        <v>-9.5876816039524036E-23</v>
      </c>
      <c r="AL32" s="132">
        <v>1.0037104179137672E-22</v>
      </c>
      <c r="AM32" s="144">
        <v>1</v>
      </c>
      <c r="AN32" s="145">
        <v>-2.1253293860171006E-16</v>
      </c>
      <c r="AO32" s="132">
        <v>5.9946500846060393E-21</v>
      </c>
      <c r="AQ32" s="90">
        <v>7.720297569542413E-18</v>
      </c>
      <c r="AS32" s="191">
        <f>SQRT(ROUND(AC32,10))*AR26</f>
        <v>0</v>
      </c>
    </row>
    <row r="33" spans="1:45">
      <c r="B33" s="144">
        <v>0</v>
      </c>
      <c r="C33" s="145">
        <v>0</v>
      </c>
      <c r="D33" s="145">
        <v>0</v>
      </c>
      <c r="E33" s="145">
        <v>0</v>
      </c>
      <c r="F33" s="145">
        <v>-445660.11040028895</v>
      </c>
      <c r="G33" s="145">
        <v>-1670576.071123057</v>
      </c>
      <c r="H33" s="145">
        <v>340680.37661482044</v>
      </c>
      <c r="I33" s="145">
        <v>4660233.2846908486</v>
      </c>
      <c r="J33" s="145">
        <v>206716.22052252485</v>
      </c>
      <c r="K33" s="145">
        <v>-1289172.5804225607</v>
      </c>
      <c r="L33" s="145">
        <v>419606.45415074856</v>
      </c>
      <c r="M33" s="145">
        <v>-1351045.1971937111</v>
      </c>
      <c r="N33" s="145">
        <v>0</v>
      </c>
      <c r="O33" s="145">
        <v>0</v>
      </c>
      <c r="P33" s="145">
        <v>-521342.94088780507</v>
      </c>
      <c r="Q33" s="132">
        <v>-349439.43595151976</v>
      </c>
      <c r="R33" s="125">
        <v>0</v>
      </c>
      <c r="S33" s="23">
        <v>1</v>
      </c>
      <c r="T33" s="126">
        <v>1105.1764979742509</v>
      </c>
      <c r="W33" s="144">
        <v>3.0433750992881524E-23</v>
      </c>
      <c r="X33" s="145">
        <v>1.1412656622330571E-22</v>
      </c>
      <c r="Y33" s="145">
        <v>3.0433750992881524E-23</v>
      </c>
      <c r="Z33" s="145">
        <v>-5.3259064237542662E-23</v>
      </c>
      <c r="AA33" s="145">
        <v>-2.2825313244661141E-23</v>
      </c>
      <c r="AB33" s="145">
        <v>0</v>
      </c>
      <c r="AC33" s="145">
        <v>0</v>
      </c>
      <c r="AD33" s="145">
        <v>0</v>
      </c>
      <c r="AE33" s="145">
        <v>-2.2825313244661141E-23</v>
      </c>
      <c r="AF33" s="145">
        <v>4.5650626489322283E-23</v>
      </c>
      <c r="AG33" s="145">
        <v>0</v>
      </c>
      <c r="AH33" s="145">
        <v>3.0433750992881524E-23</v>
      </c>
      <c r="AI33" s="145">
        <v>3.0433750992881524E-23</v>
      </c>
      <c r="AJ33" s="145">
        <v>6.0867501985763048E-23</v>
      </c>
      <c r="AK33" s="145">
        <v>-3.0433750992881524E-23</v>
      </c>
      <c r="AL33" s="132">
        <v>1.1032234734919551E-22</v>
      </c>
      <c r="AM33" s="144">
        <v>-1.1206470534837473E-17</v>
      </c>
      <c r="AN33" s="145">
        <v>1.0000000000000002</v>
      </c>
      <c r="AO33" s="132">
        <v>3.1235731300595579E-21</v>
      </c>
      <c r="AQ33" s="90">
        <v>1.987432689052976E-18</v>
      </c>
      <c r="AS33" s="191">
        <f>SQRT(ROUND(AD33,10))*AR26</f>
        <v>0</v>
      </c>
    </row>
    <row r="34" spans="1:45">
      <c r="B34" s="144">
        <v>0</v>
      </c>
      <c r="C34" s="145">
        <v>0</v>
      </c>
      <c r="D34" s="145">
        <v>0</v>
      </c>
      <c r="E34" s="145">
        <v>0</v>
      </c>
      <c r="F34" s="145">
        <v>0</v>
      </c>
      <c r="G34" s="145">
        <v>0</v>
      </c>
      <c r="H34" s="145">
        <v>-1392389.5296808735</v>
      </c>
      <c r="I34" s="145">
        <v>206716.22052252485</v>
      </c>
      <c r="J34" s="145">
        <v>1701791.306568916</v>
      </c>
      <c r="K34" s="145">
        <v>7241.3595319320448</v>
      </c>
      <c r="L34" s="145">
        <v>-834516.79267869215</v>
      </c>
      <c r="M34" s="145">
        <v>-668089.95725682611</v>
      </c>
      <c r="N34" s="145">
        <v>333331.82385013549</v>
      </c>
      <c r="O34" s="145">
        <v>14175.221220043233</v>
      </c>
      <c r="P34" s="145">
        <v>191783.19194051466</v>
      </c>
      <c r="Q34" s="132">
        <v>439957.15598232596</v>
      </c>
      <c r="R34" s="125">
        <v>0</v>
      </c>
      <c r="S34" s="23">
        <v>0</v>
      </c>
      <c r="T34" s="126">
        <v>0</v>
      </c>
      <c r="W34" s="144">
        <v>-4.6481555380068672E-8</v>
      </c>
      <c r="X34" s="145">
        <v>6.964689381884729E-9</v>
      </c>
      <c r="Y34" s="145">
        <v>-3.6424523047936215E-8</v>
      </c>
      <c r="Z34" s="145">
        <v>-5.7524173369550382E-8</v>
      </c>
      <c r="AA34" s="145">
        <v>3.4986002838065668E-8</v>
      </c>
      <c r="AB34" s="145">
        <v>-3.4882065815014359E-8</v>
      </c>
      <c r="AC34" s="145">
        <v>0</v>
      </c>
      <c r="AD34" s="145">
        <v>0</v>
      </c>
      <c r="AE34" s="145">
        <v>6.6145568294524293E-7</v>
      </c>
      <c r="AF34" s="145">
        <v>1.4209577656562993E-8</v>
      </c>
      <c r="AG34" s="145">
        <v>7.656622275715711E-8</v>
      </c>
      <c r="AH34" s="145">
        <v>6.8389709883860135E-8</v>
      </c>
      <c r="AI34" s="145">
        <v>1.9948669925578662E-8</v>
      </c>
      <c r="AJ34" s="145">
        <v>3.439425849237697E-8</v>
      </c>
      <c r="AK34" s="145">
        <v>-5.9005309424640178E-9</v>
      </c>
      <c r="AL34" s="132">
        <v>-5.0417638113369615E-8</v>
      </c>
      <c r="AM34" s="144">
        <v>0.99999999999999956</v>
      </c>
      <c r="AN34" s="145">
        <v>2.9870638895050881E-16</v>
      </c>
      <c r="AO34" s="132">
        <v>-1.0995574287564282E-4</v>
      </c>
      <c r="AQ34" s="90">
        <v>-1.2223154607668852E-4</v>
      </c>
      <c r="AS34" s="191">
        <f>SQRT(ROUND(AE34,10))*AR26</f>
        <v>8.142258436635286E-4</v>
      </c>
    </row>
    <row r="35" spans="1:45">
      <c r="B35" s="144">
        <v>0</v>
      </c>
      <c r="C35" s="145">
        <v>0</v>
      </c>
      <c r="D35" s="145">
        <v>0</v>
      </c>
      <c r="E35" s="145">
        <v>0</v>
      </c>
      <c r="F35" s="145">
        <v>0</v>
      </c>
      <c r="G35" s="145">
        <v>0</v>
      </c>
      <c r="H35" s="145">
        <v>-1871080.4932720729</v>
      </c>
      <c r="I35" s="145">
        <v>-1289172.5804225607</v>
      </c>
      <c r="J35" s="145">
        <v>7241.3595319320448</v>
      </c>
      <c r="K35" s="145">
        <v>3931591.7496781815</v>
      </c>
      <c r="L35" s="145">
        <v>1048094.4919245047</v>
      </c>
      <c r="M35" s="145">
        <v>-1892998.5299485871</v>
      </c>
      <c r="N35" s="145">
        <v>156700.66027289984</v>
      </c>
      <c r="O35" s="145">
        <v>-571433.88641587133</v>
      </c>
      <c r="P35" s="145">
        <v>659043.98154273641</v>
      </c>
      <c r="Q35" s="132">
        <v>-177986.75289116288</v>
      </c>
      <c r="R35" s="125">
        <v>0</v>
      </c>
      <c r="S35" s="23">
        <v>0</v>
      </c>
      <c r="T35" s="126">
        <v>0</v>
      </c>
      <c r="W35" s="144">
        <v>-1.4248015550849275E-7</v>
      </c>
      <c r="X35" s="145">
        <v>1.2733610114503056E-7</v>
      </c>
      <c r="Y35" s="145">
        <v>-1.1381464953951707E-7</v>
      </c>
      <c r="Z35" s="145">
        <v>-1.446610489982648E-8</v>
      </c>
      <c r="AA35" s="145">
        <v>-5.4884615922163993E-8</v>
      </c>
      <c r="AB35" s="145">
        <v>-2.4536990241575166E-8</v>
      </c>
      <c r="AC35" s="145">
        <v>0</v>
      </c>
      <c r="AD35" s="145">
        <v>0</v>
      </c>
      <c r="AE35" s="145">
        <v>1.4209577656563008E-8</v>
      </c>
      <c r="AF35" s="145">
        <v>4.1505699996505987E-7</v>
      </c>
      <c r="AG35" s="145">
        <v>-6.8243182476564105E-8</v>
      </c>
      <c r="AH35" s="145">
        <v>2.0327549510502559E-7</v>
      </c>
      <c r="AI35" s="145">
        <v>1.0449508107502818E-7</v>
      </c>
      <c r="AJ35" s="145">
        <v>1.8016393288797959E-7</v>
      </c>
      <c r="AK35" s="145">
        <v>-1.1302305500661094E-7</v>
      </c>
      <c r="AL35" s="132">
        <v>8.1733970194621999E-8</v>
      </c>
      <c r="AM35" s="144">
        <v>3.2420771328012774E-16</v>
      </c>
      <c r="AN35" s="145">
        <v>1.0000000000000007</v>
      </c>
      <c r="AO35" s="132">
        <v>-2.3561944901923432E-4</v>
      </c>
      <c r="AQ35" s="90">
        <v>-4.3597981344995667E-4</v>
      </c>
      <c r="AS35" s="191">
        <f>SQRT(ROUND(AF35,10))*AR26</f>
        <v>6.4499496624287659E-4</v>
      </c>
    </row>
    <row r="36" spans="1:45">
      <c r="B36" s="144">
        <v>-60305.752639714628</v>
      </c>
      <c r="C36" s="145">
        <v>266350.40749207337</v>
      </c>
      <c r="D36" s="145">
        <v>0</v>
      </c>
      <c r="E36" s="145">
        <v>0</v>
      </c>
      <c r="F36" s="145">
        <v>-606688.38092563325</v>
      </c>
      <c r="G36" s="145">
        <v>-118958.50606384952</v>
      </c>
      <c r="H36" s="145">
        <v>-2467753.0368789718</v>
      </c>
      <c r="I36" s="145">
        <v>419606.45415074856</v>
      </c>
      <c r="J36" s="145">
        <v>-834516.79267869215</v>
      </c>
      <c r="K36" s="145">
        <v>1048094.4919245047</v>
      </c>
      <c r="L36" s="145">
        <v>7233404.8046960104</v>
      </c>
      <c r="M36" s="145">
        <v>183833.69565698656</v>
      </c>
      <c r="N36" s="145">
        <v>-641554.2973373814</v>
      </c>
      <c r="O36" s="145">
        <v>-1300054.8481708304</v>
      </c>
      <c r="P36" s="145">
        <v>-2622586.5442356179</v>
      </c>
      <c r="Q36" s="132">
        <v>-498871.69498963346</v>
      </c>
      <c r="R36" s="125">
        <v>0</v>
      </c>
      <c r="S36" s="23">
        <v>0</v>
      </c>
      <c r="T36" s="126">
        <v>0</v>
      </c>
      <c r="W36" s="144">
        <v>1.4675437173822629E-7</v>
      </c>
      <c r="X36" s="145">
        <v>5.9566595092652752E-8</v>
      </c>
      <c r="Y36" s="145">
        <v>1.4882206519064679E-7</v>
      </c>
      <c r="Z36" s="145">
        <v>1.3845174364260437E-7</v>
      </c>
      <c r="AA36" s="145">
        <v>9.1132801880190071E-8</v>
      </c>
      <c r="AB36" s="145">
        <v>1.2524251119602556E-7</v>
      </c>
      <c r="AC36" s="145">
        <v>0</v>
      </c>
      <c r="AD36" s="145">
        <v>0</v>
      </c>
      <c r="AE36" s="145">
        <v>7.6566222757156965E-8</v>
      </c>
      <c r="AF36" s="145">
        <v>-6.8243182476564171E-8</v>
      </c>
      <c r="AG36" s="145">
        <v>2.4568746287509158E-7</v>
      </c>
      <c r="AH36" s="145">
        <v>1.9069115090763915E-8</v>
      </c>
      <c r="AI36" s="145">
        <v>4.560969018813019E-8</v>
      </c>
      <c r="AJ36" s="145">
        <v>7.8637396876086599E-8</v>
      </c>
      <c r="AK36" s="145">
        <v>1.5356141791388265E-7</v>
      </c>
      <c r="AL36" s="132">
        <v>9.5909967113914446E-8</v>
      </c>
      <c r="AM36" s="144">
        <v>0.99999999999999956</v>
      </c>
      <c r="AN36" s="145">
        <v>-2.8868984987370282E-16</v>
      </c>
      <c r="AO36" s="132">
        <v>1.6493361431346392E-4</v>
      </c>
      <c r="AQ36" s="90">
        <v>-2.890538045496497E-3</v>
      </c>
      <c r="AS36" s="191">
        <f>SQRT(ROUND(AG36,10))*AR26</f>
        <v>4.9622945206439692E-4</v>
      </c>
    </row>
    <row r="37" spans="1:45">
      <c r="B37" s="144">
        <v>266350.40749207337</v>
      </c>
      <c r="C37" s="145">
        <v>-1176380.9664233257</v>
      </c>
      <c r="D37" s="145">
        <v>0</v>
      </c>
      <c r="E37" s="145">
        <v>0</v>
      </c>
      <c r="F37" s="145">
        <v>-118958.50606384952</v>
      </c>
      <c r="G37" s="145">
        <v>-23325.197267421452</v>
      </c>
      <c r="H37" s="145">
        <v>153232.31314940497</v>
      </c>
      <c r="I37" s="145">
        <v>-1351045.1971937111</v>
      </c>
      <c r="J37" s="145">
        <v>-668089.95725682611</v>
      </c>
      <c r="K37" s="145">
        <v>-1892998.5299485871</v>
      </c>
      <c r="L37" s="145">
        <v>183833.69565698656</v>
      </c>
      <c r="M37" s="145">
        <v>7842938.2440316249</v>
      </c>
      <c r="N37" s="145">
        <v>-227612.59670674187</v>
      </c>
      <c r="O37" s="145">
        <v>-2619105.105805744</v>
      </c>
      <c r="P37" s="145">
        <v>411244.64372895239</v>
      </c>
      <c r="Q37" s="132">
        <v>-780083.24739283626</v>
      </c>
      <c r="R37" s="125">
        <v>0</v>
      </c>
      <c r="S37" s="23">
        <v>0</v>
      </c>
      <c r="T37" s="126">
        <v>0</v>
      </c>
      <c r="W37" s="144">
        <v>-7.1980386511283868E-8</v>
      </c>
      <c r="X37" s="145">
        <v>2.3469379922792236E-7</v>
      </c>
      <c r="Y37" s="145">
        <v>-4.3047180277460398E-8</v>
      </c>
      <c r="Z37" s="145">
        <v>6.9957589988528982E-8</v>
      </c>
      <c r="AA37" s="145">
        <v>-1.8449966588453203E-8</v>
      </c>
      <c r="AB37" s="145">
        <v>4.9240926408362254E-8</v>
      </c>
      <c r="AC37" s="145">
        <v>0</v>
      </c>
      <c r="AD37" s="145">
        <v>0</v>
      </c>
      <c r="AE37" s="145">
        <v>6.8389709883860149E-8</v>
      </c>
      <c r="AF37" s="145">
        <v>2.0327549510502575E-7</v>
      </c>
      <c r="AG37" s="145">
        <v>1.9069115090763988E-8</v>
      </c>
      <c r="AH37" s="145">
        <v>3.3365796575660012E-7</v>
      </c>
      <c r="AI37" s="145">
        <v>1.5807315136519546E-7</v>
      </c>
      <c r="AJ37" s="145">
        <v>2.7253991614688869E-7</v>
      </c>
      <c r="AK37" s="145">
        <v>-4.213176462477366E-8</v>
      </c>
      <c r="AL37" s="132">
        <v>1.6477983373918789E-7</v>
      </c>
      <c r="AM37" s="144">
        <v>4.413029736928242E-16</v>
      </c>
      <c r="AN37" s="145">
        <v>1.0000000000000007</v>
      </c>
      <c r="AO37" s="132">
        <v>-1.8064157758141311E-4</v>
      </c>
      <c r="AQ37" s="90">
        <v>-4.3591218258740684E-3</v>
      </c>
      <c r="AS37" s="191">
        <f>SQRT(ROUND(AH37,10))*AR26</f>
        <v>5.7830648432671296E-4</v>
      </c>
    </row>
    <row r="38" spans="1:45">
      <c r="B38" s="144">
        <v>-551394.90356975817</v>
      </c>
      <c r="C38" s="145">
        <v>497030.11525398609</v>
      </c>
      <c r="D38" s="145">
        <v>-547057.66865349526</v>
      </c>
      <c r="E38" s="145">
        <v>221150.97243439182</v>
      </c>
      <c r="F38" s="145">
        <v>0</v>
      </c>
      <c r="G38" s="145">
        <v>0</v>
      </c>
      <c r="H38" s="145">
        <v>0</v>
      </c>
      <c r="I38" s="145">
        <v>0</v>
      </c>
      <c r="J38" s="145">
        <v>333331.82385013549</v>
      </c>
      <c r="K38" s="145">
        <v>156700.66027289984</v>
      </c>
      <c r="L38" s="145">
        <v>-641554.2973373814</v>
      </c>
      <c r="M38" s="145">
        <v>-227612.59670674187</v>
      </c>
      <c r="N38" s="145">
        <v>2150471.7677460173</v>
      </c>
      <c r="O38" s="145">
        <v>-763133.41304021364</v>
      </c>
      <c r="P38" s="145">
        <v>-743796.72203551815</v>
      </c>
      <c r="Q38" s="132">
        <v>115864.26178567765</v>
      </c>
      <c r="R38" s="125">
        <v>0</v>
      </c>
      <c r="S38" s="23">
        <v>0</v>
      </c>
      <c r="T38" s="126">
        <v>1905.4767206452602</v>
      </c>
      <c r="W38" s="144">
        <v>-7.7016247069144519E-8</v>
      </c>
      <c r="X38" s="145">
        <v>1.4220968579403592E-7</v>
      </c>
      <c r="Y38" s="145">
        <v>-2.7327166984529903E-8</v>
      </c>
      <c r="Z38" s="145">
        <v>5.4883487942254091E-8</v>
      </c>
      <c r="AA38" s="145">
        <v>2.4793067648862628E-9</v>
      </c>
      <c r="AB38" s="145">
        <v>4.18959891824048E-8</v>
      </c>
      <c r="AC38" s="145">
        <v>0</v>
      </c>
      <c r="AD38" s="145">
        <v>0</v>
      </c>
      <c r="AE38" s="145">
        <v>1.9948669925578646E-8</v>
      </c>
      <c r="AF38" s="145">
        <v>1.0449508107502811E-7</v>
      </c>
      <c r="AG38" s="145">
        <v>4.5609690188130249E-8</v>
      </c>
      <c r="AH38" s="145">
        <v>1.5807315136519538E-7</v>
      </c>
      <c r="AI38" s="145">
        <v>1.5739517144009023E-7</v>
      </c>
      <c r="AJ38" s="145">
        <v>2.7137098524153494E-7</v>
      </c>
      <c r="AK38" s="145">
        <v>-1.0643110372265905E-8</v>
      </c>
      <c r="AL38" s="132">
        <v>1.2431570535309773E-7</v>
      </c>
      <c r="AM38" s="144">
        <v>1.0000000000000007</v>
      </c>
      <c r="AN38" s="145">
        <v>1.5566304605509443E-16</v>
      </c>
      <c r="AO38" s="132">
        <v>3.9269908169872405E-4</v>
      </c>
      <c r="AQ38" s="90">
        <v>-2.5122236558509405E-3</v>
      </c>
      <c r="AS38" s="191">
        <f>SQRT(ROUND(AI38,10))*AR26</f>
        <v>3.9717538261744038E-4</v>
      </c>
    </row>
    <row r="39" spans="1:45">
      <c r="B39" s="144">
        <v>1785039.3685897156</v>
      </c>
      <c r="C39" s="145">
        <v>-1166909.2542833376</v>
      </c>
      <c r="D39" s="145">
        <v>221150.97243439182</v>
      </c>
      <c r="E39" s="145">
        <v>-89401.456941562705</v>
      </c>
      <c r="F39" s="145">
        <v>0</v>
      </c>
      <c r="G39" s="145">
        <v>0</v>
      </c>
      <c r="H39" s="145">
        <v>0</v>
      </c>
      <c r="I39" s="145">
        <v>0</v>
      </c>
      <c r="J39" s="145">
        <v>14175.221220043233</v>
      </c>
      <c r="K39" s="145">
        <v>-571433.88641587133</v>
      </c>
      <c r="L39" s="145">
        <v>-1300054.8481708304</v>
      </c>
      <c r="M39" s="145">
        <v>-2619105.105805744</v>
      </c>
      <c r="N39" s="145">
        <v>-763133.41304021364</v>
      </c>
      <c r="O39" s="145">
        <v>5772423.0987262009</v>
      </c>
      <c r="P39" s="145">
        <v>42822.698966893367</v>
      </c>
      <c r="Q39" s="132">
        <v>-1325573.3952796846</v>
      </c>
      <c r="R39" s="125">
        <v>0</v>
      </c>
      <c r="S39" s="23">
        <v>0</v>
      </c>
      <c r="T39" s="126">
        <v>-1105.1764979742509</v>
      </c>
      <c r="W39" s="144">
        <v>-1.3278663287783533E-7</v>
      </c>
      <c r="X39" s="145">
        <v>2.4518911343799311E-7</v>
      </c>
      <c r="Y39" s="145">
        <v>-4.7115805145740996E-8</v>
      </c>
      <c r="Z39" s="145">
        <v>9.4626703348714146E-8</v>
      </c>
      <c r="AA39" s="145">
        <v>4.2746668360107636E-9</v>
      </c>
      <c r="AB39" s="145">
        <v>7.2234464107594598E-8</v>
      </c>
      <c r="AC39" s="145">
        <v>0</v>
      </c>
      <c r="AD39" s="145">
        <v>0</v>
      </c>
      <c r="AE39" s="145">
        <v>3.4394258492376943E-8</v>
      </c>
      <c r="AF39" s="145">
        <v>1.8016393288797962E-7</v>
      </c>
      <c r="AG39" s="145">
        <v>7.8637396876086652E-8</v>
      </c>
      <c r="AH39" s="145">
        <v>2.7253991614688853E-7</v>
      </c>
      <c r="AI39" s="145">
        <v>2.7137098524153494E-7</v>
      </c>
      <c r="AJ39" s="145">
        <v>4.678810090371293E-7</v>
      </c>
      <c r="AK39" s="145">
        <v>-1.8350190297010147E-8</v>
      </c>
      <c r="AL39" s="132">
        <v>2.1433742302258269E-7</v>
      </c>
      <c r="AM39" s="144">
        <v>5.2690941656303245E-16</v>
      </c>
      <c r="AN39" s="145">
        <v>1.0000000000000007</v>
      </c>
      <c r="AO39" s="132">
        <v>-2.2776546738526E-4</v>
      </c>
      <c r="AQ39" s="90">
        <v>-4.3314200962947212E-3</v>
      </c>
      <c r="AS39" s="191">
        <f>SQRT(ROUND(AJ39,10))*AR26</f>
        <v>6.8478853590693556E-4</v>
      </c>
    </row>
    <row r="40" spans="1:45">
      <c r="B40" s="144">
        <v>-997453.8716580536</v>
      </c>
      <c r="C40" s="145">
        <v>127366.9780975412</v>
      </c>
      <c r="D40" s="145">
        <v>-3003762.3365594717</v>
      </c>
      <c r="E40" s="145">
        <v>-1271232.582584871</v>
      </c>
      <c r="F40" s="145">
        <v>-2387538.113622162</v>
      </c>
      <c r="G40" s="145">
        <v>-372519.4349699053</v>
      </c>
      <c r="H40" s="145">
        <v>-1082062.5115796223</v>
      </c>
      <c r="I40" s="145">
        <v>-521342.94088780507</v>
      </c>
      <c r="J40" s="145">
        <v>191783.19194051466</v>
      </c>
      <c r="K40" s="145">
        <v>659043.98154273641</v>
      </c>
      <c r="L40" s="145">
        <v>-2622586.5442356179</v>
      </c>
      <c r="M40" s="145">
        <v>411244.64372895239</v>
      </c>
      <c r="N40" s="145">
        <v>-743796.72203551815</v>
      </c>
      <c r="O40" s="145">
        <v>42822.698966893367</v>
      </c>
      <c r="P40" s="145">
        <v>10645416.907749932</v>
      </c>
      <c r="Q40" s="132">
        <v>924616.65610645735</v>
      </c>
      <c r="R40" s="125">
        <v>0</v>
      </c>
      <c r="S40" s="23">
        <v>0</v>
      </c>
      <c r="T40" s="126">
        <v>0</v>
      </c>
      <c r="W40" s="144">
        <v>3.8049614329573164E-7</v>
      </c>
      <c r="X40" s="145">
        <v>7.7075744699584383E-8</v>
      </c>
      <c r="Y40" s="145">
        <v>3.4698771754228795E-7</v>
      </c>
      <c r="Z40" s="145">
        <v>2.5445002324260081E-7</v>
      </c>
      <c r="AA40" s="145">
        <v>1.2033014833746682E-7</v>
      </c>
      <c r="AB40" s="145">
        <v>2.2670225409343343E-7</v>
      </c>
      <c r="AC40" s="145">
        <v>0</v>
      </c>
      <c r="AD40" s="145">
        <v>0</v>
      </c>
      <c r="AE40" s="145">
        <v>-5.9005309424640939E-9</v>
      </c>
      <c r="AF40" s="145">
        <v>-1.1302305500661101E-7</v>
      </c>
      <c r="AG40" s="145">
        <v>1.5356141791388265E-7</v>
      </c>
      <c r="AH40" s="145">
        <v>-4.2131764624773719E-8</v>
      </c>
      <c r="AI40" s="145">
        <v>-1.0643110372265946E-8</v>
      </c>
      <c r="AJ40" s="145">
        <v>-1.8350190297010194E-8</v>
      </c>
      <c r="AK40" s="145">
        <v>3.2753578598687416E-7</v>
      </c>
      <c r="AL40" s="132">
        <v>1.1786064199756543E-7</v>
      </c>
      <c r="AM40" s="144">
        <v>0.99999999999999922</v>
      </c>
      <c r="AN40" s="145">
        <v>-5.3037399866024109E-16</v>
      </c>
      <c r="AO40" s="132">
        <v>3.4243359924128713E-4</v>
      </c>
      <c r="AQ40" s="90">
        <v>5.1064711792436811E-5</v>
      </c>
      <c r="AS40" s="191">
        <f>SQRT(ROUND(AK40,10))*AR26</f>
        <v>5.7290895511820383E-4</v>
      </c>
    </row>
    <row r="41" spans="1:45">
      <c r="B41" s="146">
        <v>341545.461270915</v>
      </c>
      <c r="C41" s="147">
        <v>-896283.09850981273</v>
      </c>
      <c r="D41" s="147">
        <v>-1385499.0648046758</v>
      </c>
      <c r="E41" s="147">
        <v>-1546929.0937156454</v>
      </c>
      <c r="F41" s="147">
        <v>138370.52464431326</v>
      </c>
      <c r="G41" s="147">
        <v>-929508.03986380098</v>
      </c>
      <c r="H41" s="147">
        <v>-75983.299995380643</v>
      </c>
      <c r="I41" s="147">
        <v>-349439.43595151976</v>
      </c>
      <c r="J41" s="147">
        <v>439957.15598232596</v>
      </c>
      <c r="K41" s="147">
        <v>-177986.75289116288</v>
      </c>
      <c r="L41" s="147">
        <v>-498871.69498963346</v>
      </c>
      <c r="M41" s="147">
        <v>-780083.24739283626</v>
      </c>
      <c r="N41" s="147">
        <v>115864.26178567765</v>
      </c>
      <c r="O41" s="147">
        <v>-1325573.3952796846</v>
      </c>
      <c r="P41" s="147">
        <v>924616.65610645735</v>
      </c>
      <c r="Q41" s="133">
        <v>6005803.0636044648</v>
      </c>
      <c r="R41" s="127">
        <v>0</v>
      </c>
      <c r="S41" s="128">
        <v>0</v>
      </c>
      <c r="T41" s="129">
        <v>0</v>
      </c>
      <c r="W41" s="146">
        <v>2.4796676401950249E-7</v>
      </c>
      <c r="X41" s="147">
        <v>2.9109858064488805E-7</v>
      </c>
      <c r="Y41" s="147">
        <v>2.3065135119545774E-7</v>
      </c>
      <c r="Z41" s="147">
        <v>4.3604735809242981E-7</v>
      </c>
      <c r="AA41" s="147">
        <v>-4.4050076164282111E-8</v>
      </c>
      <c r="AB41" s="147">
        <v>3.1477414313931744E-7</v>
      </c>
      <c r="AC41" s="147">
        <v>0</v>
      </c>
      <c r="AD41" s="147">
        <v>0</v>
      </c>
      <c r="AE41" s="147">
        <v>-5.04176381133699E-8</v>
      </c>
      <c r="AF41" s="147">
        <v>8.1733970194621747E-8</v>
      </c>
      <c r="AG41" s="147">
        <v>9.5909967113914539E-8</v>
      </c>
      <c r="AH41" s="147">
        <v>1.6477983373918765E-7</v>
      </c>
      <c r="AI41" s="147">
        <v>1.2431570535309786E-7</v>
      </c>
      <c r="AJ41" s="147">
        <v>2.1433742302258255E-7</v>
      </c>
      <c r="AK41" s="147">
        <v>1.1786064199756566E-7</v>
      </c>
      <c r="AL41" s="133">
        <v>4.7335134626748517E-7</v>
      </c>
      <c r="AM41" s="146">
        <v>4.4251234178370526E-16</v>
      </c>
      <c r="AN41" s="147">
        <v>0.99999999999999944</v>
      </c>
      <c r="AO41" s="133">
        <v>2.8274333882307931E-5</v>
      </c>
      <c r="AQ41" s="91">
        <v>1.3085689750604295E-4</v>
      </c>
      <c r="AS41" s="91">
        <f>SQRT(ROUND(AL41,10))*AR26</f>
        <v>6.8880150185263915E-4</v>
      </c>
    </row>
    <row r="42" spans="1:45">
      <c r="A42" s="260" t="s">
        <v>61</v>
      </c>
      <c r="B42" s="157">
        <f>IF(B$45=$B$49,IF(B$46="dx",1,0),0)</f>
        <v>0</v>
      </c>
      <c r="C42" s="158">
        <f t="shared" ref="C42:Q42" si="3">IF(C$45=$B$49,IF(C$46="dx",1,0),0)</f>
        <v>0</v>
      </c>
      <c r="D42" s="158">
        <f t="shared" si="3"/>
        <v>0</v>
      </c>
      <c r="E42" s="158">
        <f t="shared" si="3"/>
        <v>0</v>
      </c>
      <c r="F42" s="158">
        <f t="shared" si="3"/>
        <v>0</v>
      </c>
      <c r="G42" s="158">
        <f t="shared" si="3"/>
        <v>0</v>
      </c>
      <c r="H42" s="158">
        <f t="shared" si="3"/>
        <v>1</v>
      </c>
      <c r="I42" s="158">
        <f t="shared" si="3"/>
        <v>0</v>
      </c>
      <c r="J42" s="158">
        <f t="shared" si="3"/>
        <v>0</v>
      </c>
      <c r="K42" s="158">
        <f t="shared" si="3"/>
        <v>0</v>
      </c>
      <c r="L42" s="158">
        <f t="shared" si="3"/>
        <v>0</v>
      </c>
      <c r="M42" s="158">
        <f t="shared" si="3"/>
        <v>0</v>
      </c>
      <c r="N42" s="158">
        <f t="shared" si="3"/>
        <v>0</v>
      </c>
      <c r="O42" s="158">
        <f t="shared" si="3"/>
        <v>0</v>
      </c>
      <c r="P42" s="158">
        <f t="shared" si="3"/>
        <v>0</v>
      </c>
      <c r="Q42" s="159">
        <f t="shared" si="3"/>
        <v>0</v>
      </c>
      <c r="R42" s="23">
        <v>0</v>
      </c>
      <c r="S42" s="23">
        <v>0</v>
      </c>
      <c r="T42" s="23">
        <v>0</v>
      </c>
      <c r="V42" s="260" t="s">
        <v>69</v>
      </c>
      <c r="W42" s="142">
        <v>0.99999999999999911</v>
      </c>
      <c r="X42" s="143">
        <v>-3.338714168256812E-17</v>
      </c>
      <c r="Y42" s="143">
        <v>0.99999999999999922</v>
      </c>
      <c r="Z42" s="143">
        <v>-9.3483996711190728E-16</v>
      </c>
      <c r="AA42" s="143">
        <v>1.0000000000000002</v>
      </c>
      <c r="AB42" s="143">
        <v>-4.6741998355595364E-16</v>
      </c>
      <c r="AC42" s="143">
        <v>1</v>
      </c>
      <c r="AD42" s="143">
        <v>0</v>
      </c>
      <c r="AE42" s="143">
        <v>0.99999999999999989</v>
      </c>
      <c r="AF42" s="143">
        <v>4.0064570019081741E-16</v>
      </c>
      <c r="AG42" s="143">
        <v>0.99999999999999978</v>
      </c>
      <c r="AH42" s="143">
        <v>4.0064570019081741E-16</v>
      </c>
      <c r="AI42" s="143">
        <v>1.0000000000000002</v>
      </c>
      <c r="AJ42" s="143">
        <v>4.6741998355595364E-16</v>
      </c>
      <c r="AK42" s="143">
        <v>0.99999999999999944</v>
      </c>
      <c r="AL42" s="131">
        <v>-2.0032285009540871E-16</v>
      </c>
      <c r="AM42" s="145">
        <v>-3.0850060284137689E-9</v>
      </c>
      <c r="AN42" s="145">
        <v>3.4924596548080512E-10</v>
      </c>
      <c r="AO42" s="145">
        <v>-6.8885155057492316E-13</v>
      </c>
    </row>
    <row r="43" spans="1:45">
      <c r="A43" s="261"/>
      <c r="B43" s="160">
        <f>IF(B$45=$B$49,IF(B$46="dy",1,0),0)</f>
        <v>0</v>
      </c>
      <c r="C43">
        <f t="shared" ref="C43:Q43" si="4">IF(C$45=$B$49,IF(C$46="dy",1,0),0)</f>
        <v>0</v>
      </c>
      <c r="D43">
        <f t="shared" si="4"/>
        <v>0</v>
      </c>
      <c r="E43">
        <f t="shared" si="4"/>
        <v>0</v>
      </c>
      <c r="F43">
        <f t="shared" si="4"/>
        <v>0</v>
      </c>
      <c r="G43">
        <f t="shared" si="4"/>
        <v>0</v>
      </c>
      <c r="H43">
        <f t="shared" si="4"/>
        <v>0</v>
      </c>
      <c r="I43">
        <f t="shared" si="4"/>
        <v>1</v>
      </c>
      <c r="J43">
        <f t="shared" si="4"/>
        <v>0</v>
      </c>
      <c r="K43">
        <f t="shared" si="4"/>
        <v>0</v>
      </c>
      <c r="L43">
        <f t="shared" si="4"/>
        <v>0</v>
      </c>
      <c r="M43">
        <f t="shared" si="4"/>
        <v>0</v>
      </c>
      <c r="N43">
        <f t="shared" si="4"/>
        <v>0</v>
      </c>
      <c r="O43">
        <f t="shared" si="4"/>
        <v>0</v>
      </c>
      <c r="P43">
        <f t="shared" si="4"/>
        <v>0</v>
      </c>
      <c r="Q43" s="161">
        <f t="shared" si="4"/>
        <v>0</v>
      </c>
      <c r="R43" s="23">
        <v>0</v>
      </c>
      <c r="S43" s="23">
        <v>0</v>
      </c>
      <c r="T43" s="23">
        <v>0</v>
      </c>
      <c r="V43" s="261"/>
      <c r="W43" s="144">
        <v>-7.3717264556548776E-16</v>
      </c>
      <c r="X43" s="145">
        <v>1.0000000000000004</v>
      </c>
      <c r="Y43" s="145">
        <v>-3.6925103780074833E-16</v>
      </c>
      <c r="Z43" s="145">
        <v>0.99999999999999922</v>
      </c>
      <c r="AA43" s="145">
        <v>3.1558279936951133E-17</v>
      </c>
      <c r="AB43" s="145">
        <v>0.99999999999999956</v>
      </c>
      <c r="AC43" s="145">
        <v>0</v>
      </c>
      <c r="AD43" s="145">
        <v>1</v>
      </c>
      <c r="AE43" s="145">
        <v>3.8615315051734203E-16</v>
      </c>
      <c r="AF43" s="145">
        <v>1.0000000000000009</v>
      </c>
      <c r="AG43" s="145">
        <v>1.2158728953475164E-16</v>
      </c>
      <c r="AH43" s="145">
        <v>1.0000000000000007</v>
      </c>
      <c r="AI43" s="145">
        <v>5.038961493980141E-16</v>
      </c>
      <c r="AJ43" s="145">
        <v>1.0000000000000009</v>
      </c>
      <c r="AK43" s="145">
        <v>-2.5588483197661416E-16</v>
      </c>
      <c r="AL43" s="132">
        <v>0.99999999999999967</v>
      </c>
      <c r="AM43" s="145">
        <v>1.4551915228366844E-9</v>
      </c>
      <c r="AN43" s="145">
        <v>9.31322574615481E-10</v>
      </c>
      <c r="AO43" s="145">
        <v>-4.4381277229767444E-13</v>
      </c>
    </row>
    <row r="44" spans="1:45">
      <c r="A44" s="262"/>
      <c r="B44" s="162">
        <f>IF(B45=$B$49,IF(B46="dx",$H$49,$I$49),IF($B$50=B45,IF(B46="dx",-$H$49,-$I$49),0))</f>
        <v>0</v>
      </c>
      <c r="C44" s="163">
        <f t="shared" ref="C44:Q44" si="5">IF(C45=$B$49,IF(C46="dx",$H$49,$I$49),IF($B$50=C45,IF(C46="dx",-$H$49,-$I$49),0))</f>
        <v>0</v>
      </c>
      <c r="D44" s="163">
        <f t="shared" si="5"/>
        <v>0</v>
      </c>
      <c r="E44" s="163">
        <f t="shared" si="5"/>
        <v>0</v>
      </c>
      <c r="F44" s="163">
        <f t="shared" si="5"/>
        <v>0</v>
      </c>
      <c r="G44" s="163">
        <f t="shared" si="5"/>
        <v>0</v>
      </c>
      <c r="H44" s="163">
        <f t="shared" si="5"/>
        <v>-1905.4767206452602</v>
      </c>
      <c r="I44" s="163">
        <f t="shared" si="5"/>
        <v>1105.1764979742509</v>
      </c>
      <c r="J44" s="163">
        <f t="shared" si="5"/>
        <v>0</v>
      </c>
      <c r="K44" s="163">
        <f t="shared" si="5"/>
        <v>0</v>
      </c>
      <c r="L44" s="163">
        <f t="shared" si="5"/>
        <v>0</v>
      </c>
      <c r="M44" s="163">
        <f t="shared" si="5"/>
        <v>0</v>
      </c>
      <c r="N44" s="163">
        <f t="shared" si="5"/>
        <v>1905.4767206452602</v>
      </c>
      <c r="O44" s="163">
        <f t="shared" si="5"/>
        <v>-1105.1764979742509</v>
      </c>
      <c r="P44" s="163">
        <f t="shared" si="5"/>
        <v>0</v>
      </c>
      <c r="Q44" s="164">
        <f t="shared" si="5"/>
        <v>0</v>
      </c>
      <c r="R44" s="23">
        <v>0</v>
      </c>
      <c r="S44" s="23">
        <v>0</v>
      </c>
      <c r="T44" s="23">
        <v>0</v>
      </c>
      <c r="V44" s="262"/>
      <c r="W44" s="146">
        <v>5.8119464091411122E-4</v>
      </c>
      <c r="X44" s="147">
        <v>-8.6393797973719679E-5</v>
      </c>
      <c r="Y44" s="147">
        <v>5.4192473274423882E-4</v>
      </c>
      <c r="Z44" s="147">
        <v>1.4137166941153998E-4</v>
      </c>
      <c r="AA44" s="147">
        <v>8.639379797371938E-5</v>
      </c>
      <c r="AB44" s="147">
        <v>2.199114857512851E-4</v>
      </c>
      <c r="AC44" s="147">
        <v>0</v>
      </c>
      <c r="AD44" s="147">
        <v>0</v>
      </c>
      <c r="AE44" s="147">
        <v>-1.0995574287564288E-4</v>
      </c>
      <c r="AF44" s="147">
        <v>-2.3561944901923445E-4</v>
      </c>
      <c r="AG44" s="147">
        <v>1.6493361431346379E-4</v>
      </c>
      <c r="AH44" s="147">
        <v>-1.8064157758141317E-4</v>
      </c>
      <c r="AI44" s="147">
        <v>3.9269908169872395E-4</v>
      </c>
      <c r="AJ44" s="147">
        <v>-2.2776546738526013E-4</v>
      </c>
      <c r="AK44" s="147">
        <v>3.4243359924128713E-4</v>
      </c>
      <c r="AL44" s="133">
        <v>2.8274333882307707E-5</v>
      </c>
      <c r="AM44" s="145">
        <v>-6.8254271635808325E-13</v>
      </c>
      <c r="AN44" s="145">
        <v>-6.9991486854938111E-13</v>
      </c>
      <c r="AO44" s="145">
        <v>-1.567630272444368E-16</v>
      </c>
    </row>
    <row r="45" spans="1:45">
      <c r="B45" s="446">
        <v>1</v>
      </c>
      <c r="C45" s="446">
        <v>1</v>
      </c>
      <c r="D45" s="446">
        <v>3</v>
      </c>
      <c r="E45" s="446">
        <v>3</v>
      </c>
      <c r="F45" s="446">
        <v>4</v>
      </c>
      <c r="G45" s="446">
        <v>4</v>
      </c>
      <c r="H45" s="446">
        <v>5</v>
      </c>
      <c r="I45" s="446">
        <v>5</v>
      </c>
      <c r="J45" s="446">
        <v>6</v>
      </c>
      <c r="K45" s="446">
        <v>6</v>
      </c>
      <c r="L45" s="446">
        <v>7</v>
      </c>
      <c r="M45" s="446">
        <v>7</v>
      </c>
      <c r="N45" s="446">
        <v>8</v>
      </c>
      <c r="O45" s="446">
        <v>8</v>
      </c>
      <c r="P45" s="446">
        <v>9</v>
      </c>
      <c r="Q45" s="156">
        <v>9</v>
      </c>
    </row>
    <row r="46" spans="1:45">
      <c r="B46" s="156" t="s">
        <v>43</v>
      </c>
      <c r="C46" s="156" t="s">
        <v>44</v>
      </c>
      <c r="D46" s="156" t="s">
        <v>43</v>
      </c>
      <c r="E46" s="156" t="s">
        <v>44</v>
      </c>
      <c r="F46" s="156" t="s">
        <v>43</v>
      </c>
      <c r="G46" s="156" t="s">
        <v>44</v>
      </c>
      <c r="H46" s="156" t="s">
        <v>43</v>
      </c>
      <c r="I46" s="156" t="s">
        <v>44</v>
      </c>
      <c r="J46" s="156" t="s">
        <v>43</v>
      </c>
      <c r="K46" s="156" t="s">
        <v>44</v>
      </c>
      <c r="L46" s="156" t="s">
        <v>43</v>
      </c>
      <c r="M46" s="156" t="s">
        <v>44</v>
      </c>
      <c r="N46" s="156" t="s">
        <v>43</v>
      </c>
      <c r="O46" s="156" t="s">
        <v>44</v>
      </c>
      <c r="P46" s="156" t="s">
        <v>43</v>
      </c>
      <c r="Q46" s="156" t="s">
        <v>44</v>
      </c>
    </row>
    <row r="47" x14ac:dyDescent="0.2" spans="2:8">
      <c r="B47" s="411"/>
      <c r="C47" s="411"/>
      <c r="D47" s="411"/>
      <c r="E47" s="411"/>
      <c r="F47" s="411"/>
      <c r="G47" s="411"/>
      <c r="H47" s="411"/>
    </row>
    <row r="48" spans="1:45">
      <c r="B48" s="152" t="s">
        <v>51</v>
      </c>
      <c r="C48" s="153" t="s">
        <v>52</v>
      </c>
      <c r="D48" s="153" t="s">
        <v>53</v>
      </c>
      <c r="E48" s="154" t="s">
        <v>54</v>
      </c>
      <c r="F48" s="154" t="s">
        <v>55</v>
      </c>
      <c r="G48" s="153" t="s">
        <v>56</v>
      </c>
      <c r="H48" s="153" t="s">
        <v>45</v>
      </c>
      <c r="I48" s="155" t="s">
        <v>57</v>
      </c>
    </row>
    <row r="49" spans="1:9">
      <c r="A49" s="149" t="s">
        <v>58</v>
      </c>
      <c r="B49" s="151">
        <v>5</v>
      </c>
      <c r="C49" s="35">
        <f>VLOOKUP(B49,'Wyrównanie wstępne - wyjściowy'!P5:R13,2,FALSE)</f>
        <v>295</v>
      </c>
      <c r="D49" s="35">
        <f>VLOOKUP(B49,'Wyrównanie wstępne - wyjściowy'!P5:R13,3,FALSE)</f>
        <v>490</v>
      </c>
      <c r="E49" s="35">
        <f>C50-C49</f>
        <v>-145</v>
      </c>
      <c r="F49" s="35">
        <f>D50-D49</f>
        <v>-250</v>
      </c>
      <c r="G49" s="35">
        <f>E49^2+F49^2</f>
        <v>83525</v>
      </c>
      <c r="H49" s="111">
        <f>F49/G49*(200/PI()*10000)</f>
        <v>-1905.4767206452602</v>
      </c>
      <c r="I49" s="111">
        <f>-E49/G49*200/PI()*10000</f>
        <v>1105.1764979742509</v>
      </c>
    </row>
    <row r="50" spans="1:9">
      <c r="A50" s="150" t="s">
        <v>59</v>
      </c>
      <c r="B50" s="148">
        <v>8</v>
      </c>
      <c r="C50" s="1">
        <f>VLOOKUP(B50,'Wyrównanie wstępne - wyjściowy'!P5:R13,2,FALSE)</f>
        <v>150</v>
      </c>
      <c r="D50" s="1">
        <f>VLOOKUP(B50,'Wyrównanie wstępne - wyjściowy'!P5:R13,3,FALSE)</f>
        <v>240</v>
      </c>
    </row>
    <row r="53" spans="2:11">
      <c r="B53" s="439" t="s">
        <v>87</v>
      </c>
      <c r="C53" s="440" t="s">
        <v>88</v>
      </c>
      <c r="E53" s="439" t="s">
        <v>89</v>
      </c>
      <c r="F53" s="440" t="s">
        <v>90</v>
      </c>
      <c r="H53" s="441" t="s">
        <v>91</v>
      </c>
      <c r="I53" s="441"/>
      <c r="K53" s="411"/>
    </row>
    <row r="54" spans="1:9">
      <c r="A54" s="288">
        <v>5</v>
      </c>
      <c r="B54" s="145">
        <f>AQ9</f>
        <v>1.735257243726373E-20</v>
      </c>
      <c r="C54" s="169">
        <f>AQ32</f>
        <v>7.720297569542413E-18</v>
      </c>
      <c r="E54" s="168">
        <f>AS9</f>
        <v>0</v>
      </c>
      <c r="F54" s="169">
        <f>AS32</f>
        <v>0</v>
      </c>
      <c r="H54" s="35">
        <v>2.5</v>
      </c>
    </row>
    <row r="55" spans="1:9">
      <c r="A55" s="286"/>
      <c r="B55" s="184">
        <f>AQ10</f>
        <v>-1.1657131590928142E-19</v>
      </c>
      <c r="C55" s="111">
        <f>AQ33</f>
        <v>1.987432689052976E-18</v>
      </c>
      <c r="E55" s="167">
        <f>AS10</f>
        <v>0</v>
      </c>
      <c r="F55" s="111">
        <f>AS33</f>
        <v>0</v>
      </c>
    </row>
    <row r="56" spans="1:9">
      <c r="A56" s="286">
        <v>6</v>
      </c>
      <c r="B56" s="183">
        <f t="shared" ref="B56:B63" si="6">AQ11</f>
        <v>-1.5341973956530742E-5</v>
      </c>
      <c r="C56" s="166">
        <f t="shared" ref="C56:C63" si="7">AQ34</f>
        <v>-1.2223154607668852E-4</v>
      </c>
      <c r="E56" s="165">
        <f t="shared" ref="E56:E63" si="8">AS11</f>
        <v>7.5091183923426058E-4</v>
      </c>
      <c r="F56" s="166">
        <f t="shared" ref="F56:F63" si="9">AS34</f>
        <v>8.142258436635286E-4</v>
      </c>
    </row>
    <row r="57" spans="1:9">
      <c r="A57" s="286"/>
      <c r="B57" s="184">
        <f t="shared" si="6"/>
        <v>1.0149921814856556E-3</v>
      </c>
      <c r="C57" s="111">
        <f t="shared" si="7"/>
        <v>-4.3597981344995667E-4</v>
      </c>
      <c r="E57" s="167">
        <f t="shared" si="8"/>
        <v>6.0773095651083908E-4</v>
      </c>
      <c r="F57" s="111">
        <f t="shared" si="9"/>
        <v>6.4499496624287659E-4</v>
      </c>
    </row>
    <row r="58" spans="1:9">
      <c r="A58" s="286">
        <v>7</v>
      </c>
      <c r="B58" s="183">
        <f t="shared" si="6"/>
        <v>-3.4235774398921469E-4</v>
      </c>
      <c r="C58" s="166">
        <f t="shared" si="7"/>
        <v>-2.890538045496497E-3</v>
      </c>
      <c r="E58" s="165">
        <f t="shared" si="8"/>
        <v>4.6380175407856463E-4</v>
      </c>
      <c r="F58" s="166">
        <f t="shared" si="9"/>
        <v>4.9622945206439692E-4</v>
      </c>
    </row>
    <row r="59" spans="1:9">
      <c r="A59" s="286"/>
      <c r="B59" s="184">
        <f t="shared" si="6"/>
        <v>6.2969499776951597E-4</v>
      </c>
      <c r="C59" s="111">
        <f t="shared" si="7"/>
        <v>-4.3591218258740684E-3</v>
      </c>
      <c r="E59" s="167">
        <f t="shared" si="8"/>
        <v>5.4262766477383598E-4</v>
      </c>
      <c r="F59" s="111">
        <f t="shared" si="9"/>
        <v>5.7830648432671296E-4</v>
      </c>
    </row>
    <row r="60" spans="1:9">
      <c r="A60" s="286">
        <v>8</v>
      </c>
      <c r="B60" s="183">
        <f t="shared" si="6"/>
        <v>-1.8942142039426855E-4</v>
      </c>
      <c r="C60" s="166">
        <f t="shared" si="7"/>
        <v>-2.5122236558509405E-3</v>
      </c>
      <c r="E60" s="165">
        <f t="shared" si="8"/>
        <v>3.7593893095109288E-4</v>
      </c>
      <c r="F60" s="166">
        <f t="shared" si="9"/>
        <v>3.9717538261744038E-4</v>
      </c>
    </row>
    <row r="61" spans="1:9">
      <c r="A61" s="286"/>
      <c r="B61" s="184">
        <f t="shared" si="6"/>
        <v>-3.2658865585218631E-4</v>
      </c>
      <c r="C61" s="111">
        <f t="shared" si="7"/>
        <v>-4.3314200962947212E-3</v>
      </c>
      <c r="E61" s="167">
        <f t="shared" si="8"/>
        <v>6.4825367210296324E-4</v>
      </c>
      <c r="F61" s="111">
        <f t="shared" si="9"/>
        <v>6.8478853590693556E-4</v>
      </c>
    </row>
    <row r="62" spans="1:9">
      <c r="A62" s="286">
        <v>9</v>
      </c>
      <c r="B62" s="183">
        <f t="shared" si="6"/>
        <v>-5.8500552658593923E-5</v>
      </c>
      <c r="C62" s="166">
        <f t="shared" si="7"/>
        <v>5.1064711792436811E-5</v>
      </c>
      <c r="E62" s="165">
        <f t="shared" si="8"/>
        <v>5.7591436819479525E-4</v>
      </c>
      <c r="F62" s="166">
        <f t="shared" si="9"/>
        <v>5.7290895511820383E-4</v>
      </c>
    </row>
    <row r="63" spans="1:9">
      <c r="A63" s="287"/>
      <c r="B63" s="184">
        <f t="shared" si="6"/>
        <v>1.0518508300609024E-3</v>
      </c>
      <c r="C63" s="111">
        <f t="shared" si="7"/>
        <v>1.3085689750604295E-4</v>
      </c>
      <c r="E63" s="167">
        <f t="shared" si="8"/>
        <v>6.0406649711244463E-4</v>
      </c>
      <c r="F63" s="111">
        <f t="shared" si="9"/>
        <v>6.8880150185263915E-4</v>
      </c>
      <c r="H63" s="170"/>
    </row>
    <row r="64" spans="1:9">
      <c r="H64" s="170"/>
    </row>
    <row r="66" spans="1:8">
      <c r="A66" s="283" t="s">
        <v>92</v>
      </c>
      <c r="B66" s="284"/>
      <c r="C66" s="285"/>
      <c r="D66" s="185">
        <v>5</v>
      </c>
      <c r="E66" s="171">
        <v>9</v>
      </c>
      <c r="G66" s="172"/>
      <c r="H66" s="170"/>
    </row>
    <row r="68" spans="1:8">
      <c r="A68" s="175" t="s">
        <v>51</v>
      </c>
      <c r="B68" s="154" t="s">
        <v>54</v>
      </c>
      <c r="C68" s="176" t="s">
        <v>93</v>
      </c>
      <c r="D68" s="177" t="s">
        <v>94</v>
      </c>
      <c r="E68" s="154" t="s">
        <v>55</v>
      </c>
      <c r="F68" s="176" t="s">
        <v>95</v>
      </c>
      <c r="G68" s="177" t="s">
        <v>96</v>
      </c>
      <c r="H68" s="178" t="s">
        <v>97</v>
      </c>
    </row>
    <row r="69" spans="1:8">
      <c r="A69" s="149">
        <v>5</v>
      </c>
      <c r="B69" s="179">
        <v>5.984199479645396E-19</v>
      </c>
      <c r="C69" s="111">
        <v>0</v>
      </c>
      <c r="D69" s="174" t="s">
        <v>98</v>
      </c>
      <c r="E69" s="111">
        <v>4.6627096318662453E-18</v>
      </c>
      <c r="F69" s="111">
        <v>0</v>
      </c>
      <c r="G69" s="174" t="s">
        <v>98</v>
      </c>
      <c r="H69" s="35" t="s">
        <v>99</v>
      </c>
    </row>
    <row r="70" spans="1:8">
      <c r="A70" s="181">
        <v>6</v>
      </c>
      <c r="B70" s="180">
        <v>3.6436083363396037E-3</v>
      </c>
      <c r="C70" s="26">
        <v>2.769163155607008E-3</v>
      </c>
      <c r="D70" s="173" t="s">
        <v>100</v>
      </c>
      <c r="E70" s="26">
        <v>4.0520988863474282E-3</v>
      </c>
      <c r="F70" s="26">
        <v>2.1929491543826235E-3</v>
      </c>
      <c r="G70" s="173" t="s">
        <v>100</v>
      </c>
      <c r="H70" s="1" t="s">
        <v>101</v>
      </c>
    </row>
    <row r="71" spans="1:8">
      <c r="A71" s="181">
        <v>7</v>
      </c>
      <c r="B71" s="180">
        <v>-1.5394506465442755E-3</v>
      </c>
      <c r="C71" s="26">
        <v>1.3843438483690711E-3</v>
      </c>
      <c r="D71" s="173" t="s">
        <v>100</v>
      </c>
      <c r="E71" s="26">
        <v>-5.4594479039445955E-6</v>
      </c>
      <c r="F71" s="26">
        <v>2.1046917349698464E-3</v>
      </c>
      <c r="G71" s="173" t="s">
        <v>98</v>
      </c>
      <c r="H71" s="1" t="s">
        <v>101</v>
      </c>
    </row>
    <row r="72" spans="1:8">
      <c r="A72" s="181">
        <v>8</v>
      </c>
      <c r="B72" s="180">
        <v>-3.5840664837418043E-3</v>
      </c>
      <c r="C72" s="26">
        <v>2.7450773784919971E-3</v>
      </c>
      <c r="D72" s="173" t="s">
        <v>100</v>
      </c>
      <c r="E72" s="26">
        <v>1.7532475841439956E-3</v>
      </c>
      <c r="F72" s="26">
        <v>2.6223742625709387E-3</v>
      </c>
      <c r="G72" s="173" t="s">
        <v>98</v>
      </c>
      <c r="H72" s="1" t="s">
        <v>101</v>
      </c>
    </row>
    <row r="73" spans="1:8">
      <c r="A73" s="182">
        <v>9</v>
      </c>
      <c r="B73" s="180">
        <v>-2.2719890883914282E-4</v>
      </c>
      <c r="C73" s="26">
        <v>1.8898997266356311E-4</v>
      </c>
      <c r="D73" s="173" t="s">
        <v>100</v>
      </c>
      <c r="E73" s="26">
        <v>2.6187663703037922E-3</v>
      </c>
      <c r="F73" s="26">
        <v>2.1834540574955899E-3</v>
      </c>
      <c r="G73" s="173" t="s">
        <v>100</v>
      </c>
      <c r="H73" s="1" t="s">
        <v>101</v>
      </c>
    </row>
    <row r="75" spans="1:8">
      <c r="A75" s="283" t="s">
        <v>92</v>
      </c>
      <c r="B75" s="284"/>
      <c r="C75" s="285"/>
      <c r="D75" s="185">
        <v>6</v>
      </c>
      <c r="E75" s="171">
        <v>9</v>
      </c>
      <c r="G75" s="172"/>
      <c r="H75" s="170"/>
    </row>
    <row r="77" spans="1:8">
      <c r="A77" s="175" t="s">
        <v>51</v>
      </c>
      <c r="B77" s="154" t="s">
        <v>54</v>
      </c>
      <c r="C77" s="176" t="s">
        <v>93</v>
      </c>
      <c r="D77" s="177" t="s">
        <v>94</v>
      </c>
      <c r="E77" s="154" t="s">
        <v>55</v>
      </c>
      <c r="F77" s="176" t="s">
        <v>95</v>
      </c>
      <c r="G77" s="177" t="s">
        <v>96</v>
      </c>
      <c r="H77" s="178" t="s">
        <v>97</v>
      </c>
    </row>
    <row r="78" spans="1:8">
      <c r="A78" s="149">
        <v>5</v>
      </c>
      <c r="B78" s="179">
        <v>-2.7936703067294793E-3</v>
      </c>
      <c r="C78" s="111">
        <v>2.25786E-3</v>
      </c>
      <c r="D78" s="174" t="s">
        <v>100</v>
      </c>
      <c r="E78" s="111">
        <v>-2.2308031086114436E-3</v>
      </c>
      <c r="F78" s="111">
        <v>2.1101719754434939E-3</v>
      </c>
      <c r="G78" s="174" t="s">
        <v>100</v>
      </c>
      <c r="H78" s="35" t="s">
        <v>101</v>
      </c>
    </row>
    <row r="79" spans="1:8">
      <c r="A79" s="181">
        <v>6</v>
      </c>
      <c r="B79" s="180">
        <v>-2.2914144225173129E-18</v>
      </c>
      <c r="C79" s="26">
        <v>0</v>
      </c>
      <c r="D79" s="173" t="s">
        <v>98</v>
      </c>
      <c r="E79" s="26">
        <v>1.1510717752045266E-18</v>
      </c>
      <c r="F79" s="26">
        <v>0</v>
      </c>
      <c r="G79" s="173" t="s">
        <v>98</v>
      </c>
      <c r="H79" s="1" t="s">
        <v>99</v>
      </c>
    </row>
    <row r="80" spans="1:8">
      <c r="A80" s="181">
        <v>7</v>
      </c>
      <c r="B80" s="180">
        <v>-3.0582139088585671E-3</v>
      </c>
      <c r="C80" s="26">
        <v>1.7886175607339078E-3</v>
      </c>
      <c r="D80" s="173" t="s">
        <v>100</v>
      </c>
      <c r="E80" s="26">
        <v>-3.6325893194463074E-3</v>
      </c>
      <c r="F80" s="26">
        <v>1.8894848714489773E-3</v>
      </c>
      <c r="G80" s="173" t="s">
        <v>100</v>
      </c>
      <c r="H80" s="1" t="s">
        <v>101</v>
      </c>
    </row>
    <row r="81" spans="1:8">
      <c r="A81" s="181">
        <v>8</v>
      </c>
      <c r="B81" s="180">
        <v>-3.3422438275779727E-3</v>
      </c>
      <c r="C81" s="26">
        <v>2.9814070747778143E-3</v>
      </c>
      <c r="D81" s="173" t="s">
        <v>100</v>
      </c>
      <c r="E81" s="26">
        <v>-2.2381414429455582E-3</v>
      </c>
      <c r="F81" s="26">
        <v>2.3935888640850139E-3</v>
      </c>
      <c r="G81" s="173" t="s">
        <v>98</v>
      </c>
      <c r="H81" s="1" t="s">
        <v>101</v>
      </c>
    </row>
    <row r="82" spans="1:8">
      <c r="A82" s="182">
        <v>9</v>
      </c>
      <c r="B82" s="180">
        <v>-3.6177738007408405E-4</v>
      </c>
      <c r="C82" s="26">
        <v>1.2249399378049107E-3</v>
      </c>
      <c r="D82" s="173" t="s">
        <v>98</v>
      </c>
      <c r="E82" s="26">
        <v>6.1866072687224484E-4</v>
      </c>
      <c r="F82" s="26">
        <v>2.0943712491773457E-3</v>
      </c>
      <c r="G82" s="173" t="s">
        <v>98</v>
      </c>
      <c r="H82" s="1" t="s">
        <v>99</v>
      </c>
    </row>
    <row r="84" spans="1:8">
      <c r="A84" s="283" t="s">
        <v>92</v>
      </c>
      <c r="B84" s="284"/>
      <c r="C84" s="285"/>
      <c r="D84" s="185">
        <v>7</v>
      </c>
      <c r="E84" s="171">
        <v>9</v>
      </c>
      <c r="G84" s="172"/>
      <c r="H84" s="170"/>
    </row>
    <row r="86" spans="1:8">
      <c r="A86" s="175" t="s">
        <v>51</v>
      </c>
      <c r="B86" s="154" t="s">
        <v>54</v>
      </c>
      <c r="C86" s="176" t="s">
        <v>93</v>
      </c>
      <c r="D86" s="177" t="s">
        <v>94</v>
      </c>
      <c r="E86" s="154" t="s">
        <v>55</v>
      </c>
      <c r="F86" s="176" t="s">
        <v>95</v>
      </c>
      <c r="G86" s="177" t="s">
        <v>96</v>
      </c>
      <c r="H86" s="178" t="s">
        <v>97</v>
      </c>
    </row>
    <row r="87" spans="1:8">
      <c r="A87" s="149">
        <v>5</v>
      </c>
      <c r="B87" s="179">
        <v>3.2398419156872511E-3</v>
      </c>
      <c r="C87" s="111">
        <v>2.1526100000000001E-3</v>
      </c>
      <c r="D87" s="174" t="s">
        <v>100</v>
      </c>
      <c r="E87" s="111">
        <v>-1.8568738468716936E-3</v>
      </c>
      <c r="F87" s="111">
        <v>1.8506498702012108E-3</v>
      </c>
      <c r="G87" s="174" t="s">
        <v>100</v>
      </c>
      <c r="H87" s="35" t="s">
        <v>101</v>
      </c>
    </row>
    <row r="88" spans="1:8">
      <c r="A88" s="181">
        <v>6</v>
      </c>
      <c r="B88" s="180">
        <v>8.0170444314555042E-3</v>
      </c>
      <c r="C88" s="26">
        <v>3.234341711683685E-3</v>
      </c>
      <c r="D88" s="173" t="s">
        <v>100</v>
      </c>
      <c r="E88" s="26">
        <v>4.6243554239656986E-3</v>
      </c>
      <c r="F88" s="26">
        <v>2.0549472740610747E-3</v>
      </c>
      <c r="G88" s="173" t="s">
        <v>100</v>
      </c>
      <c r="H88" s="1" t="s">
        <v>101</v>
      </c>
    </row>
    <row r="89" spans="1:8">
      <c r="A89" s="181">
        <v>7</v>
      </c>
      <c r="B89" s="180">
        <v>1.6167697315085668E-18</v>
      </c>
      <c r="C89" s="26">
        <v>0</v>
      </c>
      <c r="D89" s="173" t="s">
        <v>98</v>
      </c>
      <c r="E89" s="26">
        <v>5.6246472859849962E-19</v>
      </c>
      <c r="F89" s="26">
        <v>0</v>
      </c>
      <c r="G89" s="173" t="s">
        <v>98</v>
      </c>
      <c r="H89" s="1" t="s">
        <v>99</v>
      </c>
    </row>
    <row r="90" spans="1:8">
      <c r="A90" s="181">
        <v>8</v>
      </c>
      <c r="B90" s="180">
        <v>-4.3927752088711537E-3</v>
      </c>
      <c r="C90" s="26">
        <v>2.9659122146715768E-3</v>
      </c>
      <c r="D90" s="173" t="s">
        <v>100</v>
      </c>
      <c r="E90" s="26">
        <v>2.2445331089459386E-3</v>
      </c>
      <c r="F90" s="26">
        <v>1.7997286512354215E-3</v>
      </c>
      <c r="G90" s="173" t="s">
        <v>100</v>
      </c>
      <c r="H90" s="1" t="s">
        <v>101</v>
      </c>
    </row>
    <row r="91" spans="1:8">
      <c r="A91" s="182">
        <v>9</v>
      </c>
      <c r="B91" s="180">
        <v>-5.3388735450723946E-4</v>
      </c>
      <c r="C91" s="26">
        <v>1.3128373654877938E-3</v>
      </c>
      <c r="D91" s="173" t="s">
        <v>98</v>
      </c>
      <c r="E91" s="26">
        <v>4.5420267473003932E-4</v>
      </c>
      <c r="F91" s="26">
        <v>1.1168034044697812E-3</v>
      </c>
      <c r="G91" s="173" t="s">
        <v>98</v>
      </c>
      <c r="H91" s="1" t="s">
        <v>99</v>
      </c>
    </row>
    <row r="93" spans="1:8">
      <c r="A93" s="283" t="s">
        <v>92</v>
      </c>
      <c r="B93" s="284"/>
      <c r="C93" s="285"/>
      <c r="D93" s="185">
        <v>8</v>
      </c>
      <c r="E93" s="171">
        <v>9</v>
      </c>
      <c r="G93" s="172"/>
      <c r="H93" s="170"/>
    </row>
    <row r="95" spans="1:8">
      <c r="A95" s="175" t="s">
        <v>51</v>
      </c>
      <c r="B95" s="154" t="s">
        <v>54</v>
      </c>
      <c r="C95" s="176" t="s">
        <v>93</v>
      </c>
      <c r="D95" s="177" t="s">
        <v>94</v>
      </c>
      <c r="E95" s="154" t="s">
        <v>55</v>
      </c>
      <c r="F95" s="176" t="s">
        <v>95</v>
      </c>
      <c r="G95" s="177" t="s">
        <v>96</v>
      </c>
      <c r="H95" s="178" t="s">
        <v>97</v>
      </c>
    </row>
    <row r="96" spans="1:8">
      <c r="A96" s="149">
        <v>5</v>
      </c>
      <c r="B96" s="179">
        <v>3.9240365640467977E-3</v>
      </c>
      <c r="C96" s="111">
        <v>3.9942299999999997E-3</v>
      </c>
      <c r="D96" s="174" t="s">
        <v>98</v>
      </c>
      <c r="E96" s="111">
        <v>-1.9504302307208885E-3</v>
      </c>
      <c r="F96" s="111">
        <v>2.1632822465446396E-3</v>
      </c>
      <c r="G96" s="174" t="s">
        <v>98</v>
      </c>
      <c r="H96" s="35" t="s">
        <v>99</v>
      </c>
    </row>
    <row r="97" spans="1:8">
      <c r="A97" s="181">
        <v>6</v>
      </c>
      <c r="B97" s="180">
        <v>7.6628365228718093E-3</v>
      </c>
      <c r="C97" s="26">
        <v>5.2035234478223138E-3</v>
      </c>
      <c r="D97" s="173" t="s">
        <v>100</v>
      </c>
      <c r="E97" s="26">
        <v>2.3056507038095352E-3</v>
      </c>
      <c r="F97" s="26">
        <v>2.4303889724070818E-3</v>
      </c>
      <c r="G97" s="173" t="s">
        <v>98</v>
      </c>
      <c r="H97" s="1" t="s">
        <v>101</v>
      </c>
    </row>
    <row r="98" spans="1:8">
      <c r="A98" s="181">
        <v>7</v>
      </c>
      <c r="B98" s="180">
        <v>2.2417984837744325E-3</v>
      </c>
      <c r="C98" s="26">
        <v>3.0590144165666649E-3</v>
      </c>
      <c r="D98" s="173" t="s">
        <v>98</v>
      </c>
      <c r="E98" s="26">
        <v>-1.7995034416845397E-3</v>
      </c>
      <c r="F98" s="26">
        <v>1.5782883564650831E-3</v>
      </c>
      <c r="G98" s="173" t="s">
        <v>100</v>
      </c>
      <c r="H98" s="1" t="s">
        <v>101</v>
      </c>
    </row>
    <row r="99" spans="1:8">
      <c r="A99" s="181">
        <v>8</v>
      </c>
      <c r="B99" s="180">
        <v>4.3498301241999547E-18</v>
      </c>
      <c r="C99" s="26">
        <v>0</v>
      </c>
      <c r="D99" s="173" t="s">
        <v>98</v>
      </c>
      <c r="E99" s="26">
        <v>1.3865301954250527E-18</v>
      </c>
      <c r="F99" s="26">
        <v>0</v>
      </c>
      <c r="G99" s="173" t="s">
        <v>98</v>
      </c>
      <c r="H99" s="1" t="s">
        <v>99</v>
      </c>
    </row>
    <row r="100" spans="1:8">
      <c r="A100" s="182">
        <v>9</v>
      </c>
      <c r="B100" s="180">
        <v>3.3990238648604894E-3</v>
      </c>
      <c r="C100" s="26">
        <v>2.6942954654942922E-3</v>
      </c>
      <c r="D100" s="173" t="s">
        <v>100</v>
      </c>
      <c r="E100" s="26">
        <v>6.4249841347972781E-4</v>
      </c>
      <c r="F100" s="26">
        <v>5.0957753387561883E-4</v>
      </c>
      <c r="G100" s="173" t="s">
        <v>100</v>
      </c>
      <c r="H100" s="1" t="s">
        <v>101</v>
      </c>
    </row>
    <row r="102" spans="1:8">
      <c r="A102" s="283" t="s">
        <v>92</v>
      </c>
      <c r="B102" s="284"/>
      <c r="C102" s="285"/>
      <c r="D102" s="185">
        <v>5</v>
      </c>
      <c r="E102" s="171">
        <v>6</v>
      </c>
      <c r="G102" s="172"/>
      <c r="H102" s="170"/>
    </row>
    <row r="104" spans="1:8">
      <c r="A104" s="175" t="s">
        <v>51</v>
      </c>
      <c r="B104" s="154" t="s">
        <v>54</v>
      </c>
      <c r="C104" s="176" t="s">
        <v>93</v>
      </c>
      <c r="D104" s="177" t="s">
        <v>94</v>
      </c>
      <c r="E104" s="154" t="s">
        <v>55</v>
      </c>
      <c r="F104" s="176" t="s">
        <v>95</v>
      </c>
      <c r="G104" s="177" t="s">
        <v>96</v>
      </c>
      <c r="H104" s="178" t="s">
        <v>97</v>
      </c>
    </row>
    <row r="105" spans="1:8">
      <c r="A105" s="149">
        <v>5</v>
      </c>
      <c r="B105" s="179">
        <v>1.5374661953258376E-17</v>
      </c>
      <c r="C105" s="111">
        <v>0</v>
      </c>
      <c r="D105" s="174" t="s">
        <v>98</v>
      </c>
      <c r="E105" s="111">
        <v>-6.0228716409163796E-18</v>
      </c>
      <c r="F105" s="111">
        <v>0</v>
      </c>
      <c r="G105" s="174" t="s">
        <v>98</v>
      </c>
      <c r="H105" s="35" t="s">
        <v>99</v>
      </c>
    </row>
    <row r="106" spans="1:8">
      <c r="A106" s="181">
        <v>6</v>
      </c>
      <c r="B106" s="180">
        <v>1.4392025277735134E-3</v>
      </c>
      <c r="C106" s="26">
        <v>2.3502868033733076E-3</v>
      </c>
      <c r="D106" s="173" t="s">
        <v>98</v>
      </c>
      <c r="E106" s="26">
        <v>-6.7162784629428102E-4</v>
      </c>
      <c r="F106" s="26">
        <v>1.0965213268472763E-3</v>
      </c>
      <c r="G106" s="173" t="s">
        <v>98</v>
      </c>
      <c r="H106" s="1" t="s">
        <v>99</v>
      </c>
    </row>
    <row r="107" spans="1:8">
      <c r="A107" s="181">
        <v>7</v>
      </c>
      <c r="B107" s="180">
        <v>1.7671580663049262E-3</v>
      </c>
      <c r="C107" s="26">
        <v>2.1012256880440392E-3</v>
      </c>
      <c r="D107" s="173" t="s">
        <v>98</v>
      </c>
      <c r="E107" s="26">
        <v>-3.6269832762625873E-3</v>
      </c>
      <c r="F107" s="26">
        <v>1.7121962535547731E-3</v>
      </c>
      <c r="G107" s="173" t="s">
        <v>100</v>
      </c>
      <c r="H107" s="1" t="s">
        <v>101</v>
      </c>
    </row>
    <row r="108" spans="1:8">
      <c r="A108" s="181">
        <v>8</v>
      </c>
      <c r="B108" s="180">
        <v>4.2888114039943571E-3</v>
      </c>
      <c r="C108" s="26">
        <v>4.1876607721740922E-3</v>
      </c>
      <c r="D108" s="173" t="s">
        <v>100</v>
      </c>
      <c r="E108" s="26">
        <v>-2.8130215907429942E-3</v>
      </c>
      <c r="F108" s="26">
        <v>2.3961585181336634E-3</v>
      </c>
      <c r="G108" s="173" t="s">
        <v>100</v>
      </c>
      <c r="H108" s="1" t="s">
        <v>101</v>
      </c>
    </row>
    <row r="109" spans="1:8">
      <c r="A109" s="182">
        <v>9</v>
      </c>
      <c r="B109" s="180">
        <v>6.6694421208177493E-3</v>
      </c>
      <c r="C109" s="26">
        <v>3.115753445019959E-3</v>
      </c>
      <c r="D109" s="173" t="s">
        <v>100</v>
      </c>
      <c r="E109" s="26">
        <v>3.2171050897717318E-3</v>
      </c>
      <c r="F109" s="26">
        <v>2.2887194245268189E-3</v>
      </c>
      <c r="G109" s="173" t="s">
        <v>100</v>
      </c>
      <c r="H109" s="1" t="s">
        <v>101</v>
      </c>
    </row>
    <row r="111" spans="1:8">
      <c r="A111" s="283" t="s">
        <v>92</v>
      </c>
      <c r="B111" s="284"/>
      <c r="C111" s="285"/>
      <c r="D111" s="185">
        <v>5</v>
      </c>
      <c r="E111" s="171">
        <v>8</v>
      </c>
      <c r="F111"/>
      <c r="G111" s="172"/>
      <c r="H111" s="170"/>
    </row>
    <row r="112" spans="1:8">
      <c r="A112"/>
      <c r="B112"/>
      <c r="C112"/>
      <c r="D112"/>
      <c r="E112"/>
      <c r="F112"/>
      <c r="G112"/>
      <c r="H112"/>
    </row>
    <row r="113" spans="1:8">
      <c r="A113" s="175" t="s">
        <v>51</v>
      </c>
      <c r="B113" s="154" t="s">
        <v>54</v>
      </c>
      <c r="C113" s="176" t="s">
        <v>93</v>
      </c>
      <c r="D113" s="177" t="s">
        <v>94</v>
      </c>
      <c r="E113" s="154" t="s">
        <v>55</v>
      </c>
      <c r="F113" s="176" t="s">
        <v>95</v>
      </c>
      <c r="G113" s="177" t="s">
        <v>96</v>
      </c>
      <c r="H113" s="178" t="s">
        <v>97</v>
      </c>
    </row>
    <row r="114" spans="1:8">
      <c r="A114" s="149">
        <v>5</v>
      </c>
      <c r="B114" s="247">
        <v>0</v>
      </c>
      <c r="C114" s="249">
        <v>0</v>
      </c>
      <c r="D114" s="174" t="s">
        <v>98</v>
      </c>
      <c r="E114" s="249">
        <v>0</v>
      </c>
      <c r="F114" s="249">
        <v>0</v>
      </c>
      <c r="G114" s="174" t="s">
        <v>98</v>
      </c>
      <c r="H114" s="35" t="s">
        <v>99</v>
      </c>
    </row>
    <row r="115" spans="1:8">
      <c r="A115" s="181">
        <v>6</v>
      </c>
      <c r="B115" s="248">
        <v>-1E-4</v>
      </c>
      <c r="C115" s="250">
        <v>2.8E-3</v>
      </c>
      <c r="D115" s="173" t="str">
        <f t="shared" ref="D115:D118" si="10">IF(ABS(ROUND(B115,8))&lt;=C115,"SPEŁNIA","NIESPEŁNIA")</f>
        <v>SPEŁNIA</v>
      </c>
      <c r="E115" s="250">
        <v>-1.5E-3</v>
      </c>
      <c r="F115" s="250">
        <v>2.2000000000000001E-3</v>
      </c>
      <c r="G115" s="173" t="str">
        <f t="shared" ref="G115:G118" si="11">IF(ABS(ROUND(E115,8))&lt;=F115,"SPEŁNIA","NIESPEŁNIA")</f>
        <v>SPEŁNIA</v>
      </c>
      <c r="H115" s="1" t="str">
        <f t="shared" ref="H115:H118" si="12">IF(AND(D115="SPEŁNIA",G115="SPEŁNIA"),"SPEŁNIONY","NIESPEŁNIONY")</f>
        <v>SPEŁNIONY</v>
      </c>
    </row>
    <row r="116" spans="1:8">
      <c r="A116" s="181">
        <v>7</v>
      </c>
      <c r="B116" s="248">
        <v>-2.5000000000000001E-3</v>
      </c>
      <c r="C116" s="250">
        <v>1.6999999999999999E-3</v>
      </c>
      <c r="D116" s="173" t="str">
        <f t="shared" si="10"/>
        <v>NIESPEŁNIA</v>
      </c>
      <c r="E116" s="250">
        <v>-5.0000000000000001E-3</v>
      </c>
      <c r="F116" s="250">
        <v>2E-3</v>
      </c>
      <c r="G116" s="173" t="str">
        <f t="shared" si="11"/>
        <v>NIESPEŁNIA</v>
      </c>
      <c r="H116" s="1" t="str">
        <f t="shared" si="12"/>
        <v>NIESPEŁNIONY</v>
      </c>
    </row>
    <row r="117" spans="1:8">
      <c r="A117" s="181">
        <v>8</v>
      </c>
      <c r="B117" s="248">
        <v>-2.3E-3</v>
      </c>
      <c r="C117" s="250">
        <v>1.4E-3</v>
      </c>
      <c r="D117" s="173" t="str">
        <f t="shared" si="10"/>
        <v>NIESPEŁNIA</v>
      </c>
      <c r="E117" s="250">
        <v>-4.0000000000000001E-3</v>
      </c>
      <c r="F117" s="250">
        <v>2.3999999999999998E-3</v>
      </c>
      <c r="G117" s="173" t="str">
        <f t="shared" si="11"/>
        <v>NIESPEŁNIA</v>
      </c>
      <c r="H117" s="1" t="str">
        <f t="shared" si="12"/>
        <v>NIESPEŁNIONY</v>
      </c>
    </row>
    <row r="118" spans="1:8">
      <c r="A118" s="182">
        <v>9</v>
      </c>
      <c r="B118" s="248">
        <v>1E-4</v>
      </c>
      <c r="C118" s="250">
        <v>2E-3</v>
      </c>
      <c r="D118" s="173" t="str">
        <f t="shared" si="10"/>
        <v>SPEŁNIA</v>
      </c>
      <c r="E118" s="250">
        <v>-8.9999999999999998E-4</v>
      </c>
      <c r="F118" s="250">
        <v>2.3E-3</v>
      </c>
      <c r="G118" s="173" t="str">
        <f t="shared" si="11"/>
        <v>SPEŁNIA</v>
      </c>
      <c r="H118" s="1" t="str">
        <f t="shared" si="12"/>
        <v>SPEŁNIONY</v>
      </c>
    </row>
  </sheetData>
  <mergeCells count="23">
    <mergeCell ref="B2:Q2"/>
    <mergeCell ref="B25:Q25"/>
    <mergeCell ref="R2:T2"/>
    <mergeCell ref="A19:A21"/>
    <mergeCell ref="R25:T25"/>
    <mergeCell ref="V19:V21"/>
    <mergeCell ref="AM2:AO2"/>
    <mergeCell ref="W2:AL2"/>
    <mergeCell ref="W25:AL25"/>
    <mergeCell ref="AM25:AO25"/>
    <mergeCell ref="V42:V44"/>
    <mergeCell ref="A54:A55"/>
    <mergeCell ref="A56:A57"/>
    <mergeCell ref="A58:A59"/>
    <mergeCell ref="A60:A61"/>
    <mergeCell ref="A42:A44"/>
    <mergeCell ref="A93:C93"/>
    <mergeCell ref="A102:C102"/>
    <mergeCell ref="A62:A63"/>
    <mergeCell ref="A111:C111"/>
    <mergeCell ref="A66:C66"/>
    <mergeCell ref="A75:C75"/>
    <mergeCell ref="A84:C8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mc="http://schemas.openxmlformats.org/markup-compatibility/2006" xmlns:x14ac="http://schemas.microsoft.com/office/spreadsheetml/2009/9/ac" xmlns:xr="http://schemas.microsoft.com/office/spreadsheetml/2014/revision" mc:Ignorable="x14ac xr xr2 xr3" xr:uid="{00000000-0001-0000-0400-000000000000}">
  <dimension ref="A3:BT221"/>
  <sheetViews>
    <sheetView workbookViewId="0"/>
  </sheetViews>
  <sheetFormatPr baseColWidth="10" defaultColWidth="8.83203125" defaultRowHeight="15"/>
  <cols>
    <col min="1" max="1" width="5" customWidth="1"/>
    <col min="2" max="4" width="10" customWidth="1"/>
    <col min="5" max="5" width="12" customWidth="1"/>
    <col min="6" max="7" width="10" customWidth="1"/>
    <col min="8" max="13" width="11" customWidth="1"/>
    <col min="14" max="16" width="12" customWidth="1"/>
    <col min="17" max="23" width="11" customWidth="1"/>
  </cols>
  <sheetData>
    <row r="3" spans="2:18" ht="18" customHeight="1">
      <c r="B3" s="408" t="s">
        <v>4</v>
      </c>
      <c r="C3" s="409" t="s">
        <v>5</v>
      </c>
      <c r="D3" s="409" t="s">
        <v>6</v>
      </c>
      <c r="E3" s="409" t="s">
        <v>16</v>
      </c>
      <c r="F3" s="409" t="s">
        <v>17</v>
      </c>
      <c r="G3" s="409" t="s">
        <v>18</v>
      </c>
      <c r="H3" s="409" t="s">
        <v>19</v>
      </c>
      <c r="I3" s="409" t="s">
        <v>20</v>
      </c>
      <c r="J3" s="409" t="s">
        <v>21</v>
      </c>
      <c r="K3" s="409" t="s">
        <v>22</v>
      </c>
      <c r="L3" s="409" t="s">
        <v>23</v>
      </c>
      <c r="M3" s="410" t="s">
        <v>24</v>
      </c>
      <c r="N3" s="411"/>
      <c r="O3" s="411"/>
      <c r="P3" s="412" t="s">
        <v>3</v>
      </c>
      <c r="Q3" s="255"/>
      <c r="R3" s="256"/>
    </row>
    <row r="4" spans="2:18">
      <c r="B4" s="34">
        <f>Dane!B5</f>
        <v>7</v>
      </c>
      <c r="C4" s="35">
        <f>Dane!C5</f>
        <v>1</v>
      </c>
      <c r="D4" s="35">
        <f>Dane!D5</f>
        <v>0</v>
      </c>
      <c r="E4" s="35">
        <f>Dane!E5</f>
        <v>271.70620000000002</v>
      </c>
      <c r="F4" s="35">
        <f>Dane!M5-Dane!M11</f>
        <v>60</v>
      </c>
      <c r="G4" s="35">
        <f>Dane!N5-Dane!N11</f>
        <v>-265</v>
      </c>
      <c r="H4" s="36">
        <f>SQRT(F4^2+G4^2)</f>
        <v>271.70756338387048</v>
      </c>
      <c r="I4" s="35">
        <f>IF(ATAN2(F4,G4)*200/PI()&lt;0,ATAN2(F4,G4)*200/PI()+400)</f>
        <v>314.17503573430741</v>
      </c>
      <c r="J4" s="35">
        <f>SIN(I4*PI()/200)</f>
        <v>-0.97531329897359553</v>
      </c>
      <c r="K4" s="35">
        <f>COS(I4*PI()/200)</f>
        <v>0.22082565259779471</v>
      </c>
      <c r="L4" s="35">
        <f>0.001+0.000001*E4</f>
        <v>1.2717062000000001E-3</v>
      </c>
      <c r="M4" s="38">
        <f>H4-E4</f>
        <v>1.3633838704549817E-3</v>
      </c>
      <c r="N4" s="413"/>
      <c r="O4" s="413"/>
      <c r="P4" s="414" t="s">
        <v>8</v>
      </c>
      <c r="Q4" s="6" t="s">
        <v>9</v>
      </c>
      <c r="R4" s="7" t="s">
        <v>10</v>
      </c>
    </row>
    <row r="5" spans="2:18">
      <c r="B5" s="11">
        <f>Dane!B6</f>
        <v>7</v>
      </c>
      <c r="C5" s="1">
        <f>Dane!C6</f>
        <v>5</v>
      </c>
      <c r="D5" s="1">
        <f>Dane!D6</f>
        <v>0</v>
      </c>
      <c r="E5" s="1">
        <f>Dane!E6</f>
        <v>155.7243</v>
      </c>
      <c r="F5" s="1">
        <f>Dane!M9-Dane!M11</f>
        <v>115</v>
      </c>
      <c r="G5" s="1">
        <f>Dane!N9-Dane!N11</f>
        <v>105</v>
      </c>
      <c r="H5" s="24">
        <f t="shared" ref="H5:H23" si="0">SQRT(F5^2+G5^2)</f>
        <v>155.72411502397438</v>
      </c>
      <c r="I5" s="1">
        <f>IF(ATAN2(F5,G5)*200/PI()&lt;0,ATAN2(F5,G5)*200/PI()+400,ATAN2(F5,G5)*200/PI())</f>
        <v>47.108264219444663</v>
      </c>
      <c r="J5" s="1">
        <f t="shared" ref="J5:J23" si="1">SIN(I5*PI()/200)</f>
        <v>0.67426936402133231</v>
      </c>
      <c r="K5" s="1">
        <f t="shared" ref="K5:K23" si="2">COS(I5*PI()/200)</f>
        <v>0.7384854939281259</v>
      </c>
      <c r="L5" s="1">
        <f t="shared" ref="L5:L23" si="3">0.001+0.000001*E5</f>
        <v>1.1557243E-3</v>
      </c>
      <c r="M5" s="30">
        <f t="shared" ref="M5:M23" si="4">H5-E5</f>
        <v>-1.8497602562206339E-4</v>
      </c>
      <c r="P5" s="8">
        <v>1</v>
      </c>
      <c r="Q5" s="9">
        <v>240</v>
      </c>
      <c r="R5" s="10">
        <v>120</v>
      </c>
    </row>
    <row r="6" spans="2:18">
      <c r="B6" s="11">
        <f>Dane!B7</f>
        <v>7</v>
      </c>
      <c r="C6" s="1">
        <f>Dane!C7</f>
        <v>6</v>
      </c>
      <c r="D6" s="1">
        <f>Dane!D7</f>
        <v>0</v>
      </c>
      <c r="E6" s="1">
        <f>Dane!E7</f>
        <v>178.4659</v>
      </c>
      <c r="F6" s="1">
        <f>Dane!M10-Dane!M11</f>
        <v>-35</v>
      </c>
      <c r="G6" s="1">
        <f>Dane!N10-Dane!N11</f>
        <v>175</v>
      </c>
      <c r="H6" s="24">
        <f t="shared" si="0"/>
        <v>178.46568297574746</v>
      </c>
      <c r="I6" s="1">
        <f>IF(ATAN2(F6,G6)*200/PI()&lt;0,ATAN2(F6,G6)*200/PI()+400,ATAN2(F6,G6)*200/PI())</f>
        <v>112.56659163780024</v>
      </c>
      <c r="J6" s="1">
        <f t="shared" si="1"/>
        <v>0.98058067569092011</v>
      </c>
      <c r="K6" s="1">
        <f t="shared" si="2"/>
        <v>-0.1961161351381841</v>
      </c>
      <c r="L6" s="1">
        <f t="shared" si="3"/>
        <v>1.1784658999999999E-3</v>
      </c>
      <c r="M6" s="30">
        <f t="shared" si="4"/>
        <v>-2.1702425254943591E-4</v>
      </c>
      <c r="P6" s="11">
        <v>2</v>
      </c>
      <c r="Q6" s="1">
        <v>385</v>
      </c>
      <c r="R6" s="12">
        <v>145</v>
      </c>
    </row>
    <row r="7" spans="2:18">
      <c r="B7" s="11">
        <f>Dane!B8</f>
        <v>7</v>
      </c>
      <c r="C7" s="1">
        <f>Dane!C8</f>
        <v>8</v>
      </c>
      <c r="D7" s="1">
        <f>Dane!D8</f>
        <v>0</v>
      </c>
      <c r="E7" s="1">
        <f>Dane!E8</f>
        <v>148.07169999999999</v>
      </c>
      <c r="F7" s="1">
        <f>Dane!M12-Dane!M11</f>
        <v>-30</v>
      </c>
      <c r="G7" s="1">
        <f>Dane!N12-Dane!N11</f>
        <v>-145</v>
      </c>
      <c r="H7" s="24">
        <f t="shared" si="0"/>
        <v>148.07092894960846</v>
      </c>
      <c r="I7" s="1">
        <f t="shared" ref="I7:I23" si="5">IF(ATAN2(F7,G7)*200/PI()&lt;0,ATAN2(F7,G7)*200/PI()+400)</f>
        <v>287.01181202728981</v>
      </c>
      <c r="J7" s="1">
        <f t="shared" si="1"/>
        <v>-0.97926041950710285</v>
      </c>
      <c r="K7" s="1">
        <f t="shared" si="2"/>
        <v>-0.20260560403595176</v>
      </c>
      <c r="L7" s="1">
        <f t="shared" si="3"/>
        <v>1.1480717000000001E-3</v>
      </c>
      <c r="M7" s="30">
        <f t="shared" si="4"/>
        <v>-7.7105039153479993E-4</v>
      </c>
      <c r="P7" s="11">
        <v>3</v>
      </c>
      <c r="Q7" s="1">
        <v>475</v>
      </c>
      <c r="R7" s="12">
        <v>245</v>
      </c>
    </row>
    <row r="8" spans="2:18">
      <c r="B8" s="11">
        <f>Dane!B9</f>
        <v>7</v>
      </c>
      <c r="C8" s="1">
        <f>Dane!C9</f>
        <v>9</v>
      </c>
      <c r="D8" s="1">
        <f>Dane!D9</f>
        <v>0</v>
      </c>
      <c r="E8" s="1">
        <f>Dane!E9</f>
        <v>174.52260000000001</v>
      </c>
      <c r="F8" s="1">
        <f>Dane!M13-Dane!M11</f>
        <v>133</v>
      </c>
      <c r="G8" s="1">
        <f>Dane!N13-Dane!N11</f>
        <v>-113</v>
      </c>
      <c r="H8" s="24">
        <f t="shared" si="0"/>
        <v>174.52220489095365</v>
      </c>
      <c r="I8" s="1">
        <f t="shared" si="5"/>
        <v>355.16441187931889</v>
      </c>
      <c r="J8" s="1">
        <f t="shared" si="1"/>
        <v>-0.64748207868795626</v>
      </c>
      <c r="K8" s="1">
        <f t="shared" si="2"/>
        <v>0.76208067668582391</v>
      </c>
      <c r="L8" s="1">
        <f t="shared" si="3"/>
        <v>1.1745226000000001E-3</v>
      </c>
      <c r="M8" s="30">
        <f t="shared" si="4"/>
        <v>-3.9510904636586019E-4</v>
      </c>
      <c r="P8" s="11">
        <v>4</v>
      </c>
      <c r="Q8" s="1">
        <v>435</v>
      </c>
      <c r="R8" s="12">
        <v>435</v>
      </c>
    </row>
    <row r="9" spans="2:18">
      <c r="B9" s="11">
        <f>Dane!B10</f>
        <v>8</v>
      </c>
      <c r="C9" s="1">
        <f>Dane!C10</f>
        <v>1</v>
      </c>
      <c r="D9" s="1">
        <f>Dane!D10</f>
        <v>0</v>
      </c>
      <c r="E9" s="1">
        <f>Dane!E10</f>
        <v>149.9983</v>
      </c>
      <c r="F9" s="1">
        <f>Dane!M5-Dane!M12</f>
        <v>90</v>
      </c>
      <c r="G9" s="1">
        <f>Dane!N5-Dane!N12</f>
        <v>-120</v>
      </c>
      <c r="H9" s="24">
        <f t="shared" si="0"/>
        <v>150</v>
      </c>
      <c r="I9" s="1">
        <f t="shared" si="5"/>
        <v>340.96655293982667</v>
      </c>
      <c r="J9" s="1">
        <f t="shared" si="1"/>
        <v>-0.80000000000000016</v>
      </c>
      <c r="K9" s="1">
        <f t="shared" si="2"/>
        <v>0.59999999999999976</v>
      </c>
      <c r="L9" s="1">
        <f t="shared" si="3"/>
        <v>1.1499983000000001E-3</v>
      </c>
      <c r="M9" s="30">
        <f t="shared" si="4"/>
        <v>1.6999999999995907E-3</v>
      </c>
      <c r="P9" s="11">
        <v>5</v>
      </c>
      <c r="Q9" s="1">
        <v>295</v>
      </c>
      <c r="R9" s="12">
        <v>490</v>
      </c>
    </row>
    <row r="10" spans="2:18">
      <c r="B10" s="11">
        <f>Dane!B11</f>
        <v>8</v>
      </c>
      <c r="C10" s="1">
        <f>Dane!C11</f>
        <v>9</v>
      </c>
      <c r="D10" s="1">
        <f>Dane!D11</f>
        <v>0</v>
      </c>
      <c r="E10" s="1">
        <f>Dane!E11</f>
        <v>166.11179999999999</v>
      </c>
      <c r="F10" s="1">
        <f>Dane!M13-Dane!M12</f>
        <v>163</v>
      </c>
      <c r="G10" s="1">
        <f>Dane!N13-Dane!N12</f>
        <v>32</v>
      </c>
      <c r="H10" s="24">
        <f t="shared" si="0"/>
        <v>166.11140839809889</v>
      </c>
      <c r="I10" s="1">
        <f>IF(ATAN2(F10,G10)*200/PI()&lt;0,ATAN2(F10,G10)*200/PI()+400,ATAN2(F10,G10)*200/PI())</f>
        <v>12.341107419302547</v>
      </c>
      <c r="J10" s="1">
        <f t="shared" si="1"/>
        <v>0.19264179569960369</v>
      </c>
      <c r="K10" s="1">
        <f t="shared" si="2"/>
        <v>0.98126914684485633</v>
      </c>
      <c r="L10" s="1">
        <f t="shared" si="3"/>
        <v>1.1661117999999999E-3</v>
      </c>
      <c r="M10" s="30">
        <f t="shared" si="4"/>
        <v>-3.9160190110010262E-4</v>
      </c>
      <c r="P10" s="11">
        <v>6</v>
      </c>
      <c r="Q10" s="1">
        <v>145</v>
      </c>
      <c r="R10" s="12">
        <v>560</v>
      </c>
    </row>
    <row r="11" spans="2:18">
      <c r="B11" s="11">
        <f>Dane!B12</f>
        <v>8</v>
      </c>
      <c r="C11" s="1">
        <f>Dane!C12</f>
        <v>7</v>
      </c>
      <c r="D11" s="1">
        <f>Dane!D12</f>
        <v>0</v>
      </c>
      <c r="E11" s="1">
        <f>Dane!E12</f>
        <v>148.07320000000001</v>
      </c>
      <c r="F11" s="1">
        <f>Dane!M11-Dane!M12</f>
        <v>30</v>
      </c>
      <c r="G11" s="1">
        <f>Dane!N11-Dane!N12</f>
        <v>145</v>
      </c>
      <c r="H11" s="24">
        <f t="shared" si="0"/>
        <v>148.07092894960846</v>
      </c>
      <c r="I11" s="1">
        <f t="shared" ref="I11:I19" si="6">IF(ATAN2(F11,G11)*200/PI()&lt;0,ATAN2(F11,G11)*200/PI()+400,ATAN2(F11,G11)*200/PI())</f>
        <v>87.011812027289793</v>
      </c>
      <c r="J11" s="1">
        <f t="shared" si="1"/>
        <v>0.97926041950710274</v>
      </c>
      <c r="K11" s="1">
        <f t="shared" si="2"/>
        <v>0.20260560403595229</v>
      </c>
      <c r="L11" s="1">
        <f t="shared" si="3"/>
        <v>1.1480732E-3</v>
      </c>
      <c r="M11" s="30">
        <f t="shared" si="4"/>
        <v>-2.2710503915561731E-3</v>
      </c>
      <c r="P11" s="11">
        <v>7</v>
      </c>
      <c r="Q11" s="1">
        <v>180</v>
      </c>
      <c r="R11" s="12">
        <v>385</v>
      </c>
    </row>
    <row r="12" spans="2:18">
      <c r="B12" s="11">
        <f>Dane!B13</f>
        <v>8</v>
      </c>
      <c r="C12" s="1">
        <f>Dane!C13</f>
        <v>6</v>
      </c>
      <c r="D12" s="1">
        <f>Dane!D13</f>
        <v>0</v>
      </c>
      <c r="E12" s="1">
        <f>Dane!E13</f>
        <v>320.04129999999998</v>
      </c>
      <c r="F12" s="1">
        <f>Dane!M10-Dane!M12</f>
        <v>-5</v>
      </c>
      <c r="G12" s="1">
        <f>Dane!N10-Dane!N12</f>
        <v>320</v>
      </c>
      <c r="H12" s="24">
        <f t="shared" si="0"/>
        <v>320.03906011610519</v>
      </c>
      <c r="I12" s="1">
        <f t="shared" si="6"/>
        <v>100.99463745579008</v>
      </c>
      <c r="J12" s="1">
        <f t="shared" si="1"/>
        <v>0.99987795203469532</v>
      </c>
      <c r="K12" s="1">
        <f t="shared" si="2"/>
        <v>-1.5623093000542007E-2</v>
      </c>
      <c r="L12" s="1">
        <f t="shared" si="3"/>
        <v>1.3200413E-3</v>
      </c>
      <c r="M12" s="30">
        <f t="shared" si="4"/>
        <v>-2.2398838947879085E-3</v>
      </c>
      <c r="P12" s="11">
        <v>8</v>
      </c>
      <c r="Q12" s="1">
        <v>150</v>
      </c>
      <c r="R12" s="12">
        <v>240</v>
      </c>
    </row>
    <row r="13" spans="2:18">
      <c r="B13" s="11">
        <f>Dane!B14</f>
        <v>1</v>
      </c>
      <c r="C13" s="1">
        <f>Dane!C14</f>
        <v>3</v>
      </c>
      <c r="D13" s="1">
        <f>Dane!D14</f>
        <v>0</v>
      </c>
      <c r="E13" s="1">
        <f>Dane!E14</f>
        <v>266.17559999999997</v>
      </c>
      <c r="F13" s="1">
        <f>Dane!M7-Dane!M5</f>
        <v>235</v>
      </c>
      <c r="G13" s="1">
        <f>Dane!N7-Dane!N5</f>
        <v>125</v>
      </c>
      <c r="H13" s="24">
        <f t="shared" si="0"/>
        <v>266.1766330841233</v>
      </c>
      <c r="I13" s="1">
        <f t="shared" si="6"/>
        <v>31.121307453348706</v>
      </c>
      <c r="J13" s="1">
        <f t="shared" si="1"/>
        <v>0.46961297297834037</v>
      </c>
      <c r="K13" s="1">
        <f t="shared" si="2"/>
        <v>0.88287238919927979</v>
      </c>
      <c r="L13" s="1">
        <f t="shared" si="3"/>
        <v>1.2661756E-3</v>
      </c>
      <c r="M13" s="30">
        <f t="shared" si="4"/>
        <v>1.0330841233212595E-3</v>
      </c>
      <c r="P13" s="13">
        <v>9</v>
      </c>
      <c r="Q13" s="14">
        <v>314</v>
      </c>
      <c r="R13" s="15">
        <v>271</v>
      </c>
    </row>
    <row r="14" spans="2:18">
      <c r="B14" s="11">
        <f>Dane!B15</f>
        <v>1</v>
      </c>
      <c r="C14" s="1">
        <f>Dane!C15</f>
        <v>9</v>
      </c>
      <c r="D14" s="1">
        <f>Dane!D15</f>
        <v>0</v>
      </c>
      <c r="E14" s="1">
        <f>Dane!E15</f>
        <v>168.6215</v>
      </c>
      <c r="F14" s="1">
        <f>Dane!M13-Dane!M5</f>
        <v>73</v>
      </c>
      <c r="G14" s="1">
        <f>Dane!N13-Dane!N5</f>
        <v>152</v>
      </c>
      <c r="H14" s="24">
        <f t="shared" si="0"/>
        <v>168.62087652482418</v>
      </c>
      <c r="I14" s="1">
        <f t="shared" si="6"/>
        <v>71.496378905738268</v>
      </c>
      <c r="J14" s="1">
        <f t="shared" si="1"/>
        <v>0.90143049385479113</v>
      </c>
      <c r="K14" s="1">
        <f t="shared" si="2"/>
        <v>0.43292385560131397</v>
      </c>
      <c r="L14" s="1">
        <f t="shared" si="3"/>
        <v>1.1686215000000001E-3</v>
      </c>
      <c r="M14" s="30">
        <f t="shared" si="4"/>
        <v>-6.2347517581429202E-4</v>
      </c>
    </row>
    <row r="15" spans="2:18">
      <c r="B15" s="11">
        <f>Dane!B16</f>
        <v>1</v>
      </c>
      <c r="C15" s="1">
        <f>Dane!C16</f>
        <v>7</v>
      </c>
      <c r="D15" s="1">
        <f>Dane!D16</f>
        <v>0</v>
      </c>
      <c r="E15" s="1">
        <f>Dane!E16</f>
        <v>271.7081</v>
      </c>
      <c r="F15" s="1">
        <f>Dane!M11-Dane!M5</f>
        <v>-60</v>
      </c>
      <c r="G15" s="1">
        <f>Dane!N11-Dane!N5</f>
        <v>265</v>
      </c>
      <c r="H15" s="24">
        <f t="shared" si="0"/>
        <v>271.70756338387048</v>
      </c>
      <c r="I15" s="1">
        <f t="shared" si="6"/>
        <v>114.17503573430741</v>
      </c>
      <c r="J15" s="1">
        <f t="shared" si="1"/>
        <v>0.97531329897359542</v>
      </c>
      <c r="K15" s="1">
        <f t="shared" si="2"/>
        <v>-0.22082565259779505</v>
      </c>
      <c r="L15" s="1">
        <f t="shared" si="3"/>
        <v>1.2717080999999999E-3</v>
      </c>
      <c r="M15" s="30">
        <f t="shared" si="4"/>
        <v>-5.3661612952282667E-4</v>
      </c>
    </row>
    <row r="16" spans="2:18">
      <c r="B16" s="11">
        <f>Dane!B17</f>
        <v>3</v>
      </c>
      <c r="C16" s="1">
        <f>Dane!C17</f>
        <v>5</v>
      </c>
      <c r="D16" s="1">
        <f>Dane!D17</f>
        <v>0</v>
      </c>
      <c r="E16" s="1">
        <f>Dane!E17</f>
        <v>304.0138</v>
      </c>
      <c r="F16" s="1">
        <f>Dane!M9-Dane!M7</f>
        <v>-180</v>
      </c>
      <c r="G16" s="1">
        <f>Dane!N9-Dane!N7</f>
        <v>245</v>
      </c>
      <c r="H16" s="24">
        <f t="shared" si="0"/>
        <v>304.01480227120521</v>
      </c>
      <c r="I16" s="1">
        <f t="shared" si="6"/>
        <v>140.33833013619468</v>
      </c>
      <c r="J16" s="1">
        <f t="shared" si="1"/>
        <v>0.80588181289094174</v>
      </c>
      <c r="K16" s="1">
        <f t="shared" si="2"/>
        <v>-0.59207643396069154</v>
      </c>
      <c r="L16" s="1">
        <f t="shared" si="3"/>
        <v>1.3040138E-3</v>
      </c>
      <c r="M16" s="30">
        <f t="shared" si="4"/>
        <v>1.0022712052091265E-3</v>
      </c>
    </row>
    <row r="17" spans="2:20">
      <c r="B17" s="11">
        <f>Dane!B18</f>
        <v>3</v>
      </c>
      <c r="C17" s="1">
        <f>Dane!C18</f>
        <v>9</v>
      </c>
      <c r="D17" s="1">
        <f>Dane!D18</f>
        <v>0</v>
      </c>
      <c r="E17" s="1">
        <f>Dane!E18</f>
        <v>164.23490000000001</v>
      </c>
      <c r="F17" s="1">
        <f>Dane!M13-Dane!M7</f>
        <v>-162</v>
      </c>
      <c r="G17" s="1">
        <f>Dane!N13-Dane!N7</f>
        <v>27</v>
      </c>
      <c r="H17" s="24">
        <f t="shared" si="0"/>
        <v>164.23458831805192</v>
      </c>
      <c r="I17" s="1">
        <f t="shared" si="6"/>
        <v>189.4863086577493</v>
      </c>
      <c r="J17" s="1">
        <f t="shared" si="1"/>
        <v>0.16439898730535749</v>
      </c>
      <c r="K17" s="1">
        <f t="shared" si="2"/>
        <v>-0.98639392383214375</v>
      </c>
      <c r="L17" s="1">
        <f t="shared" si="3"/>
        <v>1.1642349E-3</v>
      </c>
      <c r="M17" s="30">
        <f t="shared" si="4"/>
        <v>-3.1168194809083616E-4</v>
      </c>
    </row>
    <row r="18" spans="2:20">
      <c r="B18" s="11">
        <f>Dane!B19</f>
        <v>3</v>
      </c>
      <c r="C18" s="1">
        <f>Dane!C19</f>
        <v>4</v>
      </c>
      <c r="D18" s="1">
        <f>Dane!D19</f>
        <v>0</v>
      </c>
      <c r="E18" s="1">
        <f>Dane!E19</f>
        <v>194.16290000000001</v>
      </c>
      <c r="F18" s="1">
        <f>Dane!M8-Dane!M7</f>
        <v>-40</v>
      </c>
      <c r="G18" s="1">
        <f>Dane!N8-Dane!N7</f>
        <v>190</v>
      </c>
      <c r="H18" s="24">
        <f t="shared" si="0"/>
        <v>194.164878389476</v>
      </c>
      <c r="I18" s="1">
        <f t="shared" si="6"/>
        <v>113.20962004403108</v>
      </c>
      <c r="J18" s="1">
        <f t="shared" si="1"/>
        <v>0.97854978498674905</v>
      </c>
      <c r="K18" s="1">
        <f t="shared" si="2"/>
        <v>-0.20601048104984188</v>
      </c>
      <c r="L18" s="1">
        <f t="shared" si="3"/>
        <v>1.1941629E-3</v>
      </c>
      <c r="M18" s="30">
        <f t="shared" si="4"/>
        <v>1.9783894759939358E-3</v>
      </c>
    </row>
    <row r="19" spans="2:20">
      <c r="B19" s="11">
        <f>Dane!B20</f>
        <v>4</v>
      </c>
      <c r="C19" s="1">
        <f>Dane!C20</f>
        <v>5</v>
      </c>
      <c r="D19" s="1">
        <f>Dane!D20</f>
        <v>0</v>
      </c>
      <c r="E19" s="1">
        <f>Dane!E20</f>
        <v>150.41669999999999</v>
      </c>
      <c r="F19" s="1">
        <f>Dane!M9-Dane!M8</f>
        <v>-140</v>
      </c>
      <c r="G19" s="1">
        <f>Dane!N9-Dane!N8</f>
        <v>55</v>
      </c>
      <c r="H19" s="24">
        <f t="shared" si="0"/>
        <v>150.41608956491322</v>
      </c>
      <c r="I19" s="1">
        <f t="shared" si="6"/>
        <v>176.16918185877182</v>
      </c>
      <c r="J19" s="1">
        <f t="shared" si="1"/>
        <v>0.36565237242299375</v>
      </c>
      <c r="K19" s="1">
        <f t="shared" si="2"/>
        <v>-0.93075149344034702</v>
      </c>
      <c r="L19" s="1">
        <f t="shared" si="3"/>
        <v>1.1504167E-3</v>
      </c>
      <c r="M19" s="30">
        <f t="shared" si="4"/>
        <v>-6.1043508677016689E-4</v>
      </c>
    </row>
    <row r="20" spans="2:20">
      <c r="B20" s="11">
        <f>Dane!B21</f>
        <v>4</v>
      </c>
      <c r="C20" s="1">
        <f>Dane!C21</f>
        <v>7</v>
      </c>
      <c r="D20" s="1">
        <f>Dane!D21</f>
        <v>0</v>
      </c>
      <c r="E20" s="1">
        <f>Dane!E21</f>
        <v>259.85610000000003</v>
      </c>
      <c r="F20" s="1">
        <f>Dane!M11-Dane!M8</f>
        <v>-255</v>
      </c>
      <c r="G20" s="1">
        <f>Dane!N11-Dane!N8</f>
        <v>-50</v>
      </c>
      <c r="H20" s="24">
        <f t="shared" si="0"/>
        <v>259.85572920372567</v>
      </c>
      <c r="I20" s="1">
        <f t="shared" si="5"/>
        <v>212.32635890173094</v>
      </c>
      <c r="J20" s="1">
        <f t="shared" si="1"/>
        <v>-0.19241446072101101</v>
      </c>
      <c r="K20" s="1">
        <f t="shared" si="2"/>
        <v>-0.98131374967715723</v>
      </c>
      <c r="L20" s="1">
        <f t="shared" si="3"/>
        <v>1.2598561E-3</v>
      </c>
      <c r="M20" s="30">
        <f t="shared" si="4"/>
        <v>-3.7079627435332441E-4</v>
      </c>
    </row>
    <row r="21" spans="2:20">
      <c r="B21" s="11">
        <f>Dane!B22</f>
        <v>4</v>
      </c>
      <c r="C21" s="1">
        <f>Dane!C22</f>
        <v>9</v>
      </c>
      <c r="D21" s="1">
        <f>Dane!D22</f>
        <v>0</v>
      </c>
      <c r="E21" s="1">
        <f>Dane!E22</f>
        <v>203.60040000000001</v>
      </c>
      <c r="F21" s="1">
        <f>Dane!M13-Dane!M8</f>
        <v>-122</v>
      </c>
      <c r="G21" s="1">
        <f>Dane!N13-Dane!N8</f>
        <v>-163</v>
      </c>
      <c r="H21" s="24">
        <f t="shared" si="0"/>
        <v>203.60009823180343</v>
      </c>
      <c r="I21" s="1">
        <f t="shared" si="5"/>
        <v>259.09598336347381</v>
      </c>
      <c r="J21" s="1">
        <f t="shared" si="1"/>
        <v>-0.80058900469891048</v>
      </c>
      <c r="K21" s="1">
        <f t="shared" si="2"/>
        <v>-0.59921385627771317</v>
      </c>
      <c r="L21" s="1">
        <f t="shared" si="3"/>
        <v>1.2036004000000001E-3</v>
      </c>
      <c r="M21" s="30">
        <f t="shared" si="4"/>
        <v>-3.0176819657867782E-4</v>
      </c>
    </row>
    <row r="22" spans="2:20">
      <c r="B22" s="11">
        <f>Dane!B23</f>
        <v>6</v>
      </c>
      <c r="C22" s="1">
        <f>Dane!C23</f>
        <v>9</v>
      </c>
      <c r="D22" s="1">
        <f>Dane!D23</f>
        <v>0</v>
      </c>
      <c r="E22" s="1">
        <f>Dane!E23</f>
        <v>333.4194</v>
      </c>
      <c r="F22" s="1">
        <f>Dane!M13-Dane!M10</f>
        <v>168</v>
      </c>
      <c r="G22" s="1">
        <f>Dane!N13-Dane!N10</f>
        <v>-288</v>
      </c>
      <c r="H22" s="24">
        <f t="shared" si="0"/>
        <v>333.41865574679531</v>
      </c>
      <c r="I22" s="1">
        <f t="shared" si="5"/>
        <v>333.61826351503248</v>
      </c>
      <c r="J22" s="1">
        <f t="shared" si="1"/>
        <v>-0.86377890089843368</v>
      </c>
      <c r="K22" s="1">
        <f t="shared" si="2"/>
        <v>0.50387102552408569</v>
      </c>
      <c r="L22" s="1">
        <f t="shared" si="3"/>
        <v>1.3334193999999999E-3</v>
      </c>
      <c r="M22" s="30">
        <f t="shared" si="4"/>
        <v>-7.4425320468662903E-4</v>
      </c>
    </row>
    <row r="23" spans="2:20">
      <c r="B23" s="13">
        <f>Dane!B24</f>
        <v>6</v>
      </c>
      <c r="C23" s="14">
        <f>Dane!C24</f>
        <v>5</v>
      </c>
      <c r="D23" s="14">
        <f>Dane!D24</f>
        <v>0</v>
      </c>
      <c r="E23" s="14">
        <f>Dane!E24</f>
        <v>165.52799999999999</v>
      </c>
      <c r="F23" s="14">
        <f>Dane!M9-Dane!M10</f>
        <v>150</v>
      </c>
      <c r="G23" s="14">
        <f>Dane!N9-Dane!N10</f>
        <v>-70</v>
      </c>
      <c r="H23" s="31">
        <f t="shared" si="0"/>
        <v>165.5294535724685</v>
      </c>
      <c r="I23" s="14">
        <f t="shared" si="5"/>
        <v>372.203451691</v>
      </c>
      <c r="J23" s="14">
        <f t="shared" si="1"/>
        <v>-0.42288546533112437</v>
      </c>
      <c r="K23" s="14">
        <f t="shared" si="2"/>
        <v>0.90618313999526523</v>
      </c>
      <c r="L23" s="14">
        <f t="shared" si="3"/>
        <v>1.1655280000000001E-3</v>
      </c>
      <c r="M23" s="33">
        <f t="shared" si="4"/>
        <v>1.4535724685060813E-3</v>
      </c>
    </row>
    <row r="24" x14ac:dyDescent="0.2" ht="18" customHeight="1"/>
    <row r="25" spans="2:20" ht="18" customHeight="1">
      <c r="B25" s="415" t="s">
        <v>4</v>
      </c>
      <c r="C25" s="416" t="s">
        <v>5</v>
      </c>
      <c r="D25" s="416" t="s">
        <v>6</v>
      </c>
      <c r="E25" s="417" t="s">
        <v>25</v>
      </c>
      <c r="F25" s="416" t="s">
        <v>26</v>
      </c>
      <c r="G25" s="416" t="s">
        <v>27</v>
      </c>
      <c r="H25" s="418" t="s">
        <v>28</v>
      </c>
      <c r="I25" s="416" t="s">
        <v>29</v>
      </c>
      <c r="J25" s="416" t="s">
        <v>30</v>
      </c>
      <c r="K25" s="416" t="s">
        <v>31</v>
      </c>
      <c r="L25" s="416" t="s">
        <v>32</v>
      </c>
      <c r="M25" s="416" t="s">
        <v>33</v>
      </c>
      <c r="N25" s="417" t="s">
        <v>34</v>
      </c>
      <c r="O25" s="416" t="s">
        <v>35</v>
      </c>
      <c r="P25" s="416" t="s">
        <v>36</v>
      </c>
      <c r="Q25" s="419" t="s">
        <v>37</v>
      </c>
      <c r="R25" s="416" t="s">
        <v>38</v>
      </c>
      <c r="S25" s="416" t="s">
        <v>39</v>
      </c>
      <c r="T25" s="420" t="s">
        <v>40</v>
      </c>
    </row>
    <row r="26" spans="2:20">
      <c r="B26" s="50">
        <f>Dane!B25</f>
        <v>9</v>
      </c>
      <c r="C26" s="51">
        <f>Dane!C25</f>
        <v>1</v>
      </c>
      <c r="D26" s="35">
        <f>Dane!D25</f>
        <v>3</v>
      </c>
      <c r="E26" s="35">
        <f>Dane!E25</f>
        <v>117.9893</v>
      </c>
      <c r="F26" s="35">
        <f>Dane!M5-Dane!M13</f>
        <v>-73</v>
      </c>
      <c r="G26" s="35">
        <f>Dane!N5-Dane!N13</f>
        <v>-152</v>
      </c>
      <c r="H26" s="35">
        <f>Dane!M7-Dane!M13</f>
        <v>162</v>
      </c>
      <c r="I26" s="35">
        <f>Dane!N7-Dane!N13</f>
        <v>-27</v>
      </c>
      <c r="J26" s="35">
        <f>F26^2+G26^2</f>
        <v>28433</v>
      </c>
      <c r="K26" s="35">
        <f>H26^2+I26^2</f>
        <v>26973</v>
      </c>
      <c r="L26" s="35">
        <f>IF(ATAN2(F26,G26)*200/PI()&lt;0,ATAN2(F26,G26)*200/PI()+400,ATAN2(F26,G26)*200/PI())</f>
        <v>271.49637890573825</v>
      </c>
      <c r="M26" s="35">
        <f>IF(ATAN2(H26,I26)*200/PI()&lt;0,ATAN2(H26,I26)*200/PI()+400,ATAN2(H26,I26)*200/PI())</f>
        <v>389.4863086577493</v>
      </c>
      <c r="N26" s="35">
        <f>IF(M26-L26&lt;0,M26-L26+400,M26-L26)</f>
        <v>117.98992975201105</v>
      </c>
      <c r="O26" s="35">
        <f>Dane!$M$15</f>
        <v>3</v>
      </c>
      <c r="P26" s="60">
        <f>N26-E26</f>
        <v>6.2975201105075485E-4</v>
      </c>
      <c r="Q26" s="35">
        <f>F26/J26*2000000/PI()</f>
        <v>-1634.4825865309126</v>
      </c>
      <c r="R26" s="35">
        <f>G26/J26*2000000/PI()</f>
        <v>-3403.3062075712155</v>
      </c>
      <c r="S26" s="35">
        <f>H26/K26*2000000/PI()</f>
        <v>3823.5421763818699</v>
      </c>
      <c r="T26" s="61">
        <f>I26/K26*2000000/PI()</f>
        <v>-637.25702939697828</v>
      </c>
    </row>
    <row r="27" spans="2:20">
      <c r="B27" s="44">
        <f>Dane!B26</f>
        <v>9</v>
      </c>
      <c r="C27" s="42">
        <f>Dane!C26</f>
        <v>3</v>
      </c>
      <c r="D27" s="1">
        <f>Dane!D26</f>
        <v>4</v>
      </c>
      <c r="E27" s="1">
        <f>Dane!E26</f>
        <v>69.609300000000005</v>
      </c>
      <c r="F27" s="1">
        <f>Dane!M7-Dane!M13</f>
        <v>162</v>
      </c>
      <c r="G27" s="1">
        <f>Dane!N7-Dane!N13</f>
        <v>-27</v>
      </c>
      <c r="H27" s="1">
        <f>Dane!M8-Dane!M13</f>
        <v>122</v>
      </c>
      <c r="I27" s="1">
        <f>Dane!N8-Dane!N13</f>
        <v>163</v>
      </c>
      <c r="J27" s="1">
        <f t="shared" ref="J27:J37" si="7">F27^2+G27^2</f>
        <v>26973</v>
      </c>
      <c r="K27" s="1">
        <f t="shared" ref="K27:K37" si="8">H27^2+I27^2</f>
        <v>41453</v>
      </c>
      <c r="L27" s="1">
        <f t="shared" ref="L27:L37" si="9">IF(ATAN2(F27,G27)*200/PI()&lt;0,ATAN2(F27,G27)*200/PI()+400,ATAN2(F27,G27)*200/PI())</f>
        <v>389.4863086577493</v>
      </c>
      <c r="M27" s="1">
        <f t="shared" ref="M27:M37" si="10">IF(ATAN2(H27,I27)*200/PI()&lt;0,ATAN2(H27,I27)*200/PI()+400,ATAN2(H27,I27)*200/PI())</f>
        <v>59.095983363473813</v>
      </c>
      <c r="N27" s="1">
        <f t="shared" ref="N27:N37" si="11">IF(M27-L27&lt;0,M27-L27+400,M27-L27)</f>
        <v>69.609674705724501</v>
      </c>
      <c r="O27" s="1">
        <f>Dane!$M$15</f>
        <v>3</v>
      </c>
      <c r="P27" s="62">
        <f t="shared" ref="P27:P37" si="12">N27-E27</f>
        <v>3.7470572449649353E-4</v>
      </c>
      <c r="Q27" s="1">
        <f t="shared" ref="Q27:Q37" si="13">F27/J27*2000000/PI()</f>
        <v>3823.5421763818699</v>
      </c>
      <c r="R27" s="1">
        <f t="shared" ref="R27:S37" si="14">G27/J27*2000000/PI()</f>
        <v>-637.25702939697828</v>
      </c>
      <c r="S27" s="1">
        <f t="shared" si="14"/>
        <v>1873.6306715761204</v>
      </c>
      <c r="T27" s="12">
        <f t="shared" ref="T27:T37" si="15">I27/K27*2000000/PI()</f>
        <v>2503.2934382533417</v>
      </c>
    </row>
    <row r="28" spans="2:20">
      <c r="B28" s="44">
        <f>Dane!B27</f>
        <v>9</v>
      </c>
      <c r="C28" s="42">
        <f>Dane!C27</f>
        <v>4</v>
      </c>
      <c r="D28" s="1">
        <f>Dane!D27</f>
        <v>5</v>
      </c>
      <c r="E28" s="1">
        <f>Dane!E27</f>
        <v>46.148699999999998</v>
      </c>
      <c r="F28" s="1">
        <f>Dane!M8-Dane!M13</f>
        <v>122</v>
      </c>
      <c r="G28" s="1">
        <f>Dane!N8-Dane!N13</f>
        <v>163</v>
      </c>
      <c r="H28" s="1">
        <f>Dane!M9-Dane!M13</f>
        <v>-18</v>
      </c>
      <c r="I28" s="1">
        <f>Dane!N9-Dane!N13</f>
        <v>218</v>
      </c>
      <c r="J28" s="1">
        <f t="shared" si="7"/>
        <v>41453</v>
      </c>
      <c r="K28" s="1">
        <f t="shared" si="8"/>
        <v>47848</v>
      </c>
      <c r="L28" s="1">
        <f t="shared" si="9"/>
        <v>59.095983363473813</v>
      </c>
      <c r="M28" s="1">
        <f t="shared" si="10"/>
        <v>105.24459659004839</v>
      </c>
      <c r="N28" s="1">
        <f t="shared" si="11"/>
        <v>46.148613226574575</v>
      </c>
      <c r="O28" s="1">
        <f>Dane!$M$15</f>
        <v>3</v>
      </c>
      <c r="P28" s="62">
        <f t="shared" si="12"/>
        <v>-8.6773425422848049E-5</v>
      </c>
      <c r="Q28" s="1">
        <f t="shared" si="13"/>
        <v>1873.6306715761204</v>
      </c>
      <c r="R28" s="1">
        <f t="shared" si="14"/>
        <v>2503.2934382533417</v>
      </c>
      <c r="S28" s="1">
        <f t="shared" si="14"/>
        <v>-239.49080217807358</v>
      </c>
      <c r="T28" s="12">
        <f t="shared" si="15"/>
        <v>2900.4997152677797</v>
      </c>
    </row>
    <row r="29" spans="2:20">
      <c r="B29" s="44">
        <f>Dane!B28</f>
        <v>9</v>
      </c>
      <c r="C29" s="42">
        <f>Dane!C28</f>
        <v>5</v>
      </c>
      <c r="D29" s="1">
        <f>Dane!D28</f>
        <v>7</v>
      </c>
      <c r="E29" s="1">
        <f>Dane!E28</f>
        <v>49.92</v>
      </c>
      <c r="F29" s="1">
        <f>Dane!M9-Dane!M13</f>
        <v>-18</v>
      </c>
      <c r="G29" s="1">
        <f>Dane!N9-Dane!N13</f>
        <v>218</v>
      </c>
      <c r="H29" s="1">
        <f>Dane!M11-Dane!M13</f>
        <v>-133</v>
      </c>
      <c r="I29" s="1">
        <f>Dane!N11-Dane!N13</f>
        <v>113</v>
      </c>
      <c r="J29" s="1">
        <f t="shared" si="7"/>
        <v>47848</v>
      </c>
      <c r="K29" s="1">
        <f t="shared" si="8"/>
        <v>30458</v>
      </c>
      <c r="L29" s="1">
        <f t="shared" si="9"/>
        <v>105.24459659004839</v>
      </c>
      <c r="M29" s="1">
        <f t="shared" si="10"/>
        <v>155.16441187931892</v>
      </c>
      <c r="N29" s="1">
        <f t="shared" si="11"/>
        <v>49.919815289270531</v>
      </c>
      <c r="O29" s="1">
        <f>Dane!$M$15</f>
        <v>3</v>
      </c>
      <c r="P29" s="62">
        <f t="shared" si="12"/>
        <v>-1.8471072947079392E-4</v>
      </c>
      <c r="Q29" s="1">
        <f t="shared" si="13"/>
        <v>-239.49080217807358</v>
      </c>
      <c r="R29" s="1">
        <f t="shared" si="14"/>
        <v>2900.4997152677797</v>
      </c>
      <c r="S29" s="1">
        <f t="shared" si="14"/>
        <v>-2779.9077327758987</v>
      </c>
      <c r="T29" s="12">
        <f t="shared" si="15"/>
        <v>2361.876494764485</v>
      </c>
    </row>
    <row r="30" spans="2:20">
      <c r="B30" s="44">
        <f>Dane!B29</f>
        <v>9</v>
      </c>
      <c r="C30" s="42">
        <f>Dane!C29</f>
        <v>7</v>
      </c>
      <c r="D30" s="1">
        <f>Dane!D29</f>
        <v>8</v>
      </c>
      <c r="E30" s="1">
        <f>Dane!E29</f>
        <v>57.176600000000001</v>
      </c>
      <c r="F30" s="1">
        <f>Dane!M11-Dane!M13</f>
        <v>-133</v>
      </c>
      <c r="G30" s="1">
        <f>Dane!N11-Dane!N13</f>
        <v>113</v>
      </c>
      <c r="H30" s="1">
        <f>Dane!M12-Dane!M13</f>
        <v>-163</v>
      </c>
      <c r="I30" s="1">
        <f>Dane!N12-Dane!N13</f>
        <v>-32</v>
      </c>
      <c r="J30" s="1">
        <f t="shared" si="7"/>
        <v>30458</v>
      </c>
      <c r="K30" s="1">
        <f t="shared" si="8"/>
        <v>27593</v>
      </c>
      <c r="L30" s="1">
        <f t="shared" si="9"/>
        <v>155.16441187931892</v>
      </c>
      <c r="M30" s="1">
        <f t="shared" si="10"/>
        <v>212.34110741930257</v>
      </c>
      <c r="N30" s="1">
        <f t="shared" si="11"/>
        <v>57.176695539983655</v>
      </c>
      <c r="O30" s="1">
        <f>Dane!$M$15</f>
        <v>3</v>
      </c>
      <c r="P30" s="62">
        <f t="shared" si="12"/>
        <v>9.5539983654191474E-5</v>
      </c>
      <c r="Q30" s="1">
        <f t="shared" si="13"/>
        <v>-2779.9077327758987</v>
      </c>
      <c r="R30" s="1">
        <f t="shared" si="14"/>
        <v>2361.876494764485</v>
      </c>
      <c r="S30" s="1">
        <f t="shared" si="14"/>
        <v>-3760.7010073538854</v>
      </c>
      <c r="T30" s="12">
        <f t="shared" si="15"/>
        <v>-738.29713027806338</v>
      </c>
    </row>
    <row r="31" spans="2:20">
      <c r="B31" s="44">
        <f>Dane!B30</f>
        <v>9</v>
      </c>
      <c r="C31" s="42">
        <f>Dane!C30</f>
        <v>8</v>
      </c>
      <c r="D31" s="1">
        <f>Dane!D30</f>
        <v>1</v>
      </c>
      <c r="E31" s="1">
        <f>Dane!E30</f>
        <v>59.155500000000004</v>
      </c>
      <c r="F31" s="1">
        <f>Dane!M12-Dane!M13</f>
        <v>-163</v>
      </c>
      <c r="G31" s="1">
        <f>Dane!N12-Dane!N13</f>
        <v>-32</v>
      </c>
      <c r="H31" s="1">
        <f>Dane!M5-Dane!M13</f>
        <v>-73</v>
      </c>
      <c r="I31" s="1">
        <f>Dane!N5-Dane!N13</f>
        <v>-152</v>
      </c>
      <c r="J31" s="1">
        <f t="shared" si="7"/>
        <v>27593</v>
      </c>
      <c r="K31" s="1">
        <f t="shared" si="8"/>
        <v>28433</v>
      </c>
      <c r="L31" s="1">
        <f t="shared" si="9"/>
        <v>212.34110741930257</v>
      </c>
      <c r="M31" s="1">
        <f t="shared" si="10"/>
        <v>271.49637890573825</v>
      </c>
      <c r="N31" s="1">
        <f t="shared" si="11"/>
        <v>59.15527148643568</v>
      </c>
      <c r="O31" s="1">
        <f>Dane!$M$15</f>
        <v>3</v>
      </c>
      <c r="P31" s="62">
        <f t="shared" si="12"/>
        <v>-2.2851356432340708E-4</v>
      </c>
      <c r="Q31" s="1">
        <f t="shared" si="13"/>
        <v>-3760.7010073538854</v>
      </c>
      <c r="R31" s="1">
        <f t="shared" si="14"/>
        <v>-738.29713027806338</v>
      </c>
      <c r="S31" s="1">
        <f t="shared" si="14"/>
        <v>-1634.4825865309126</v>
      </c>
      <c r="T31" s="12">
        <f t="shared" si="15"/>
        <v>-3403.3062075712155</v>
      </c>
    </row>
    <row r="32" spans="2:20">
      <c r="B32" s="44">
        <f>Dane!B31</f>
        <v>6</v>
      </c>
      <c r="C32" s="42">
        <f>Dane!C31</f>
        <v>8</v>
      </c>
      <c r="D32" s="1">
        <f>Dane!D31</f>
        <v>7</v>
      </c>
      <c r="E32" s="1">
        <f>Dane!E31</f>
        <v>11.571899999999999</v>
      </c>
      <c r="F32" s="1">
        <f>Dane!M12-Dane!M10</f>
        <v>5</v>
      </c>
      <c r="G32" s="1">
        <f>Dane!N12-Dane!N10</f>
        <v>-320</v>
      </c>
      <c r="H32" s="1">
        <f>Dane!M11-Dane!M10</f>
        <v>35</v>
      </c>
      <c r="I32" s="1">
        <f>Dane!N11-Dane!N10</f>
        <v>-175</v>
      </c>
      <c r="J32" s="1">
        <f t="shared" si="7"/>
        <v>102425</v>
      </c>
      <c r="K32" s="1">
        <f t="shared" si="8"/>
        <v>31850</v>
      </c>
      <c r="L32" s="1">
        <f t="shared" si="9"/>
        <v>300.9946374557901</v>
      </c>
      <c r="M32" s="1">
        <f t="shared" si="10"/>
        <v>312.56659163780023</v>
      </c>
      <c r="N32" s="1">
        <f t="shared" si="11"/>
        <v>11.571954182010131</v>
      </c>
      <c r="O32" s="1">
        <f>Dane!$M$15</f>
        <v>3</v>
      </c>
      <c r="P32" s="62">
        <f t="shared" si="12"/>
        <v>5.4182010131853531E-5</v>
      </c>
      <c r="Q32" s="1">
        <f t="shared" si="13"/>
        <v>31.077362575913178</v>
      </c>
      <c r="R32" s="1">
        <f t="shared" si="14"/>
        <v>-1988.9512048584434</v>
      </c>
      <c r="S32" s="1">
        <f t="shared" si="14"/>
        <v>699.58216743690264</v>
      </c>
      <c r="T32" s="12">
        <f t="shared" si="15"/>
        <v>-3497.9108371845136</v>
      </c>
    </row>
    <row r="33" spans="2:20">
      <c r="B33" s="44">
        <f>Dane!B32</f>
        <v>6</v>
      </c>
      <c r="C33" s="42">
        <f>Dane!C32</f>
        <v>7</v>
      </c>
      <c r="D33" s="1">
        <f>Dane!D32</f>
        <v>9</v>
      </c>
      <c r="E33" s="1">
        <f>Dane!E32</f>
        <v>21.051500000000001</v>
      </c>
      <c r="F33" s="1">
        <f>Dane!M11-Dane!M10</f>
        <v>35</v>
      </c>
      <c r="G33" s="1">
        <f>Dane!N11-Dane!N10</f>
        <v>-175</v>
      </c>
      <c r="H33" s="1">
        <f>Dane!M13-Dane!M10</f>
        <v>168</v>
      </c>
      <c r="I33" s="1">
        <f>Dane!N13-Dane!N10</f>
        <v>-288</v>
      </c>
      <c r="J33" s="1">
        <f t="shared" si="7"/>
        <v>31850</v>
      </c>
      <c r="K33" s="1">
        <f t="shared" si="8"/>
        <v>111168</v>
      </c>
      <c r="L33" s="1">
        <f t="shared" si="9"/>
        <v>312.56659163780023</v>
      </c>
      <c r="M33" s="1">
        <f t="shared" si="10"/>
        <v>333.61826351503248</v>
      </c>
      <c r="N33" s="1">
        <f t="shared" si="11"/>
        <v>21.051671877232252</v>
      </c>
      <c r="O33" s="1">
        <f>Dane!$M$15</f>
        <v>3</v>
      </c>
      <c r="P33" s="62">
        <f t="shared" si="12"/>
        <v>1.7187723225120521E-4</v>
      </c>
      <c r="Q33" s="1">
        <f t="shared" si="13"/>
        <v>699.58216743690264</v>
      </c>
      <c r="R33" s="1">
        <f t="shared" si="14"/>
        <v>-3497.9108371845136</v>
      </c>
      <c r="S33" s="1">
        <f t="shared" si="14"/>
        <v>962.07651264530875</v>
      </c>
      <c r="T33" s="12">
        <f t="shared" si="15"/>
        <v>-1649.274021677672</v>
      </c>
    </row>
    <row r="34" spans="2:20">
      <c r="B34" s="44">
        <f>Dane!B33</f>
        <v>6</v>
      </c>
      <c r="C34" s="42">
        <f>Dane!C33</f>
        <v>9</v>
      </c>
      <c r="D34" s="1">
        <f>Dane!D33</f>
        <v>5</v>
      </c>
      <c r="E34" s="1">
        <f>Dane!E33</f>
        <v>38.584699999999998</v>
      </c>
      <c r="F34" s="1">
        <f>Dane!M13-Dane!M10</f>
        <v>168</v>
      </c>
      <c r="G34" s="1">
        <f>Dane!N13-Dane!N10</f>
        <v>-288</v>
      </c>
      <c r="H34" s="1">
        <f>Dane!M9-Dane!M10</f>
        <v>150</v>
      </c>
      <c r="I34" s="1">
        <f>Dane!N9-Dane!N10</f>
        <v>-70</v>
      </c>
      <c r="J34" s="1">
        <f t="shared" si="7"/>
        <v>111168</v>
      </c>
      <c r="K34" s="1">
        <f t="shared" si="8"/>
        <v>27400</v>
      </c>
      <c r="L34" s="1">
        <f t="shared" si="9"/>
        <v>333.61826351503248</v>
      </c>
      <c r="M34" s="1">
        <f t="shared" si="10"/>
        <v>372.203451691</v>
      </c>
      <c r="N34" s="1">
        <f t="shared" si="11"/>
        <v>38.585188175967517</v>
      </c>
      <c r="O34" s="1">
        <f>Dane!$M$15</f>
        <v>3</v>
      </c>
      <c r="P34" s="62">
        <f t="shared" si="12"/>
        <v>4.8817596751860037E-4</v>
      </c>
      <c r="Q34" s="1">
        <f t="shared" si="13"/>
        <v>962.07651264530875</v>
      </c>
      <c r="R34" s="1">
        <f t="shared" si="14"/>
        <v>-1649.274021677672</v>
      </c>
      <c r="S34" s="1">
        <f t="shared" si="14"/>
        <v>3485.144739238584</v>
      </c>
      <c r="T34" s="12">
        <f t="shared" si="15"/>
        <v>-1626.4008783113393</v>
      </c>
    </row>
    <row r="35" spans="2:20">
      <c r="B35" s="44">
        <f>Dane!B34</f>
        <v>5</v>
      </c>
      <c r="C35" s="42">
        <f>Dane!C34</f>
        <v>6</v>
      </c>
      <c r="D35" s="1">
        <f>Dane!D34</f>
        <v>7</v>
      </c>
      <c r="E35" s="1">
        <f>Dane!E34</f>
        <v>74.904700000000005</v>
      </c>
      <c r="F35" s="1">
        <f>Dane!M10-Dane!M9</f>
        <v>-150</v>
      </c>
      <c r="G35" s="1">
        <f>Dane!N10-Dane!N9</f>
        <v>70</v>
      </c>
      <c r="H35" s="1">
        <f>Dane!M11-Dane!M9</f>
        <v>-115</v>
      </c>
      <c r="I35" s="1">
        <f>Dane!N11-Dane!N9</f>
        <v>-105</v>
      </c>
      <c r="J35" s="1">
        <f t="shared" si="7"/>
        <v>27400</v>
      </c>
      <c r="K35" s="1">
        <f t="shared" si="8"/>
        <v>24250</v>
      </c>
      <c r="L35" s="1">
        <f t="shared" si="9"/>
        <v>172.20345169099997</v>
      </c>
      <c r="M35" s="1">
        <f t="shared" si="10"/>
        <v>247.10826421944466</v>
      </c>
      <c r="N35" s="1">
        <f t="shared" si="11"/>
        <v>74.904812528444694</v>
      </c>
      <c r="O35" s="1">
        <f>Dane!$M$15</f>
        <v>3</v>
      </c>
      <c r="P35" s="62">
        <f t="shared" si="12"/>
        <v>1.1252844468856438E-4</v>
      </c>
      <c r="Q35" s="1">
        <f t="shared" si="13"/>
        <v>-3485.144739238584</v>
      </c>
      <c r="R35" s="1">
        <f t="shared" si="14"/>
        <v>1626.4008783113393</v>
      </c>
      <c r="S35" s="1">
        <f t="shared" si="14"/>
        <v>-3019.0216009184273</v>
      </c>
      <c r="T35" s="12">
        <f t="shared" si="15"/>
        <v>-2756.4979834472601</v>
      </c>
    </row>
    <row r="36" spans="2:20">
      <c r="B36" s="44">
        <f>Dane!B35</f>
        <v>5</v>
      </c>
      <c r="C36" s="42">
        <f>Dane!C35</f>
        <v>7</v>
      </c>
      <c r="D36" s="1">
        <f>Dane!D35</f>
        <v>9</v>
      </c>
      <c r="E36" s="1">
        <f>Dane!E35</f>
        <v>58.136600000000001</v>
      </c>
      <c r="F36" s="1">
        <f>Dane!M11-Dane!M9</f>
        <v>-115</v>
      </c>
      <c r="G36" s="1">
        <f>Dane!N11-Dane!N9</f>
        <v>-105</v>
      </c>
      <c r="H36" s="1">
        <f>Dane!M13-Dane!M9</f>
        <v>18</v>
      </c>
      <c r="I36" s="1">
        <f>Dane!N13-Dane!N9</f>
        <v>-218</v>
      </c>
      <c r="J36" s="1">
        <f t="shared" si="7"/>
        <v>24250</v>
      </c>
      <c r="K36" s="1">
        <f t="shared" si="8"/>
        <v>47848</v>
      </c>
      <c r="L36" s="1">
        <f t="shared" si="9"/>
        <v>247.10826421944466</v>
      </c>
      <c r="M36" s="1">
        <f t="shared" si="10"/>
        <v>305.24459659004839</v>
      </c>
      <c r="N36" s="1">
        <f t="shared" si="11"/>
        <v>58.136332370603725</v>
      </c>
      <c r="O36" s="1">
        <f>Dane!$M$15</f>
        <v>3</v>
      </c>
      <c r="P36" s="62">
        <f t="shared" si="12"/>
        <v>-2.6762939627644755E-4</v>
      </c>
      <c r="Q36" s="1">
        <f t="shared" si="13"/>
        <v>-3019.0216009184273</v>
      </c>
      <c r="R36" s="1">
        <f t="shared" si="14"/>
        <v>-2756.4979834472601</v>
      </c>
      <c r="S36" s="1">
        <f t="shared" si="14"/>
        <v>239.49080217807358</v>
      </c>
      <c r="T36" s="12">
        <f t="shared" si="15"/>
        <v>-2900.4997152677797</v>
      </c>
    </row>
    <row r="37" spans="2:20">
      <c r="B37" s="46">
        <f>Dane!B36</f>
        <v>5</v>
      </c>
      <c r="C37" s="47">
        <f>Dane!C36</f>
        <v>9</v>
      </c>
      <c r="D37" s="14">
        <f>Dane!D36</f>
        <v>4</v>
      </c>
      <c r="E37" s="14">
        <f>Dane!E36</f>
        <v>70.9251</v>
      </c>
      <c r="F37" s="14">
        <f>Dane!M13-Dane!M9</f>
        <v>18</v>
      </c>
      <c r="G37" s="14">
        <f>Dane!N13-Dane!N9</f>
        <v>-218</v>
      </c>
      <c r="H37" s="14">
        <f>Dane!M8-Dane!M9</f>
        <v>140</v>
      </c>
      <c r="I37" s="14">
        <f>Dane!N8-Dane!N9</f>
        <v>-55</v>
      </c>
      <c r="J37" s="14">
        <f t="shared" si="7"/>
        <v>47848</v>
      </c>
      <c r="K37" s="14">
        <f t="shared" si="8"/>
        <v>22625</v>
      </c>
      <c r="L37" s="14">
        <f t="shared" si="9"/>
        <v>305.24459659004839</v>
      </c>
      <c r="M37" s="14">
        <f t="shared" si="10"/>
        <v>376.16918185877182</v>
      </c>
      <c r="N37" s="14">
        <f t="shared" si="11"/>
        <v>70.924585268723433</v>
      </c>
      <c r="O37" s="14">
        <f>Dane!$M$15</f>
        <v>3</v>
      </c>
      <c r="P37" s="63">
        <f t="shared" si="12"/>
        <v>-5.1473127656720408E-4</v>
      </c>
      <c r="Q37" s="14">
        <f t="shared" si="13"/>
        <v>239.49080217807358</v>
      </c>
      <c r="R37" s="14">
        <f t="shared" si="14"/>
        <v>-2900.4997152677797</v>
      </c>
      <c r="S37" s="14">
        <f t="shared" si="14"/>
        <v>3939.3046687938736</v>
      </c>
      <c r="T37" s="15">
        <f t="shared" si="15"/>
        <v>-1547.5839770261648</v>
      </c>
    </row>
    <row r="39" spans="2:20" ht="18" customHeight="1">
      <c r="B39" s="421" t="s">
        <v>41</v>
      </c>
      <c r="C39" s="422"/>
      <c r="D39" s="422"/>
      <c r="E39" s="422"/>
      <c r="F39" s="422"/>
      <c r="G39" s="422"/>
      <c r="H39" s="422"/>
      <c r="I39" s="422"/>
      <c r="J39" s="422"/>
      <c r="K39" s="422"/>
      <c r="L39" s="422"/>
      <c r="M39" s="422"/>
      <c r="N39" s="422"/>
      <c r="O39" s="422"/>
      <c r="P39" s="422"/>
      <c r="Q39" s="423"/>
      <c r="S39" s="430" t="s">
        <v>42</v>
      </c>
    </row>
    <row r="40" spans="2:20" ht="18" customHeight="1">
      <c r="B40" s="424" t="s">
        <v>43</v>
      </c>
      <c r="C40" s="425" t="s">
        <v>44</v>
      </c>
      <c r="D40" s="425" t="s">
        <v>43</v>
      </c>
      <c r="E40" s="425" t="s">
        <v>44</v>
      </c>
      <c r="F40" s="425" t="s">
        <v>43</v>
      </c>
      <c r="G40" s="425" t="s">
        <v>44</v>
      </c>
      <c r="H40" s="425" t="s">
        <v>43</v>
      </c>
      <c r="I40" s="425" t="s">
        <v>44</v>
      </c>
      <c r="J40" s="425" t="s">
        <v>43</v>
      </c>
      <c r="K40" s="425" t="s">
        <v>44</v>
      </c>
      <c r="L40" s="425" t="s">
        <v>43</v>
      </c>
      <c r="M40" s="425" t="s">
        <v>44</v>
      </c>
      <c r="N40" s="425" t="s">
        <v>43</v>
      </c>
      <c r="O40" s="425" t="s">
        <v>44</v>
      </c>
      <c r="P40" s="425" t="s">
        <v>43</v>
      </c>
      <c r="Q40" s="426" t="s">
        <v>44</v>
      </c>
      <c r="S40" s="431"/>
    </row>
    <row r="41" spans="2:20" ht="18" customHeight="1">
      <c r="B41" s="427">
        <v>1</v>
      </c>
      <c r="C41" s="428">
        <v>1</v>
      </c>
      <c r="D41" s="428">
        <v>3</v>
      </c>
      <c r="E41" s="428">
        <v>3</v>
      </c>
      <c r="F41" s="428">
        <v>4</v>
      </c>
      <c r="G41" s="428">
        <v>4</v>
      </c>
      <c r="H41" s="428">
        <v>5</v>
      </c>
      <c r="I41" s="428">
        <v>5</v>
      </c>
      <c r="J41" s="428">
        <v>6</v>
      </c>
      <c r="K41" s="428">
        <v>6</v>
      </c>
      <c r="L41" s="428">
        <v>7</v>
      </c>
      <c r="M41" s="428">
        <v>7</v>
      </c>
      <c r="N41" s="428">
        <v>8</v>
      </c>
      <c r="O41" s="428">
        <v>8</v>
      </c>
      <c r="P41" s="428">
        <v>9</v>
      </c>
      <c r="Q41" s="429">
        <v>9</v>
      </c>
      <c r="S41" s="432"/>
    </row>
    <row r="42" spans="2:20">
      <c r="B42" s="8">
        <f>IF(B$41=$B4,IF(B$40="dx",-$K4,-$J4),IF(B$41=$C4,IF(B$40="dx",$K4,$J4),0))</f>
        <v>0.22082565259779471</v>
      </c>
      <c r="C42" s="9">
        <f>IF(C$41=$B4,IF(C$40="dx",-$K4,-$J4),IF(C$41=$C4,IF(C$40="dx",$K4,$J4),0))</f>
        <v>-0.97531329897359553</v>
      </c>
      <c r="D42" s="9">
        <f>IF(D$41=$B4,IF(D$40="dx",-$K4,-$J4),IF(D$41=$C4,IF(D$40="dx",$K4,$J4),0))</f>
        <v>0</v>
      </c>
      <c r="E42" s="9">
        <f>IF(E$41=$B4,IF(E$40="dx",-$K4,-$J4),IF(E$41=$C4,IF(E$40="dx",$K4,$J4),0))</f>
        <v>0</v>
      </c>
      <c r="F42" s="9">
        <f t="shared" ref="F42:Q57" si="16">IF(F$41=$B4,IF(F$40="dx",-$K4,-$J4),IF(F$41=$C4,IF(F$40="dx",$K4,$J4),0))</f>
        <v>0</v>
      </c>
      <c r="G42" s="9">
        <f t="shared" si="16"/>
        <v>0</v>
      </c>
      <c r="H42" s="9">
        <f t="shared" si="16"/>
        <v>0</v>
      </c>
      <c r="I42" s="9">
        <f t="shared" si="16"/>
        <v>0</v>
      </c>
      <c r="J42" s="9">
        <f t="shared" si="16"/>
        <v>0</v>
      </c>
      <c r="K42" s="9">
        <f t="shared" si="16"/>
        <v>0</v>
      </c>
      <c r="L42" s="9">
        <f t="shared" si="16"/>
        <v>-0.22082565259779471</v>
      </c>
      <c r="M42" s="9">
        <f t="shared" si="16"/>
        <v>0.97531329897359553</v>
      </c>
      <c r="N42" s="9">
        <f t="shared" si="16"/>
        <v>0</v>
      </c>
      <c r="O42" s="9">
        <f t="shared" si="16"/>
        <v>0</v>
      </c>
      <c r="P42" s="9">
        <f t="shared" si="16"/>
        <v>0</v>
      </c>
      <c r="Q42" s="10">
        <f t="shared" si="16"/>
        <v>0</v>
      </c>
      <c r="S42" s="72">
        <f t="shared" ref="S42:S61" si="17">M4</f>
        <v>1.3633838704549817E-3</v>
      </c>
    </row>
    <row r="43" spans="2:20">
      <c r="B43" s="11">
        <f t="shared" ref="B43:Q58" si="18">IF(B$41=$B5,IF(B$40="dx",-$K5,-$J5),IF(B$41=$C5,IF(B$40="dx",$K5,$J5),0))</f>
        <v>0</v>
      </c>
      <c r="C43" s="1">
        <f t="shared" si="18"/>
        <v>0</v>
      </c>
      <c r="D43" s="1">
        <f t="shared" si="18"/>
        <v>0</v>
      </c>
      <c r="E43" s="1">
        <f t="shared" si="18"/>
        <v>0</v>
      </c>
      <c r="F43" s="1">
        <f t="shared" si="18"/>
        <v>0</v>
      </c>
      <c r="G43" s="1">
        <f t="shared" si="18"/>
        <v>0</v>
      </c>
      <c r="H43" s="1">
        <f t="shared" si="16"/>
        <v>0.7384854939281259</v>
      </c>
      <c r="I43" s="1">
        <f t="shared" si="16"/>
        <v>0.67426936402133231</v>
      </c>
      <c r="J43" s="1">
        <f t="shared" si="16"/>
        <v>0</v>
      </c>
      <c r="K43" s="1">
        <f t="shared" si="16"/>
        <v>0</v>
      </c>
      <c r="L43" s="1">
        <f t="shared" si="16"/>
        <v>-0.7384854939281259</v>
      </c>
      <c r="M43" s="1">
        <f t="shared" si="16"/>
        <v>-0.67426936402133231</v>
      </c>
      <c r="N43" s="1">
        <f t="shared" si="16"/>
        <v>0</v>
      </c>
      <c r="O43" s="1">
        <f t="shared" si="16"/>
        <v>0</v>
      </c>
      <c r="P43" s="1">
        <f t="shared" si="16"/>
        <v>0</v>
      </c>
      <c r="Q43" s="12">
        <f t="shared" si="16"/>
        <v>0</v>
      </c>
      <c r="S43" s="72">
        <f t="shared" si="17"/>
        <v>-1.8497602562206339E-4</v>
      </c>
    </row>
    <row r="44" spans="2:20">
      <c r="B44" s="11">
        <f t="shared" si="18"/>
        <v>0</v>
      </c>
      <c r="C44" s="1">
        <f t="shared" si="18"/>
        <v>0</v>
      </c>
      <c r="D44" s="1">
        <f t="shared" si="18"/>
        <v>0</v>
      </c>
      <c r="E44" s="1">
        <f t="shared" si="18"/>
        <v>0</v>
      </c>
      <c r="F44" s="1">
        <f t="shared" si="18"/>
        <v>0</v>
      </c>
      <c r="G44" s="1">
        <f t="shared" si="18"/>
        <v>0</v>
      </c>
      <c r="H44" s="1">
        <f t="shared" si="16"/>
        <v>0</v>
      </c>
      <c r="I44" s="1">
        <f t="shared" si="16"/>
        <v>0</v>
      </c>
      <c r="J44" s="1">
        <f t="shared" si="16"/>
        <v>-0.1961161351381841</v>
      </c>
      <c r="K44" s="1">
        <f t="shared" si="16"/>
        <v>0.98058067569092011</v>
      </c>
      <c r="L44" s="1">
        <f t="shared" si="16"/>
        <v>0.1961161351381841</v>
      </c>
      <c r="M44" s="1">
        <f t="shared" si="16"/>
        <v>-0.98058067569092011</v>
      </c>
      <c r="N44" s="1">
        <f t="shared" si="16"/>
        <v>0</v>
      </c>
      <c r="O44" s="1">
        <f t="shared" si="16"/>
        <v>0</v>
      </c>
      <c r="P44" s="1">
        <f t="shared" si="16"/>
        <v>0</v>
      </c>
      <c r="Q44" s="12">
        <f t="shared" si="16"/>
        <v>0</v>
      </c>
      <c r="S44" s="72">
        <f t="shared" si="17"/>
        <v>-2.1702425254943591E-4</v>
      </c>
    </row>
    <row r="45" spans="2:20">
      <c r="B45" s="11">
        <f t="shared" si="18"/>
        <v>0</v>
      </c>
      <c r="C45" s="1">
        <f t="shared" si="18"/>
        <v>0</v>
      </c>
      <c r="D45" s="1">
        <f t="shared" si="18"/>
        <v>0</v>
      </c>
      <c r="E45" s="1">
        <f t="shared" si="18"/>
        <v>0</v>
      </c>
      <c r="F45" s="1">
        <f t="shared" si="18"/>
        <v>0</v>
      </c>
      <c r="G45" s="1">
        <f t="shared" si="18"/>
        <v>0</v>
      </c>
      <c r="H45" s="1">
        <f t="shared" si="16"/>
        <v>0</v>
      </c>
      <c r="I45" s="1">
        <f t="shared" si="16"/>
        <v>0</v>
      </c>
      <c r="J45" s="1">
        <f t="shared" si="16"/>
        <v>0</v>
      </c>
      <c r="K45" s="1">
        <f t="shared" si="16"/>
        <v>0</v>
      </c>
      <c r="L45" s="1">
        <f t="shared" si="16"/>
        <v>0.20260560403595176</v>
      </c>
      <c r="M45" s="1">
        <f t="shared" si="16"/>
        <v>0.97926041950710285</v>
      </c>
      <c r="N45" s="1">
        <f t="shared" si="16"/>
        <v>-0.20260560403595176</v>
      </c>
      <c r="O45" s="1">
        <f t="shared" si="16"/>
        <v>-0.97926041950710285</v>
      </c>
      <c r="P45" s="1">
        <f t="shared" si="16"/>
        <v>0</v>
      </c>
      <c r="Q45" s="12">
        <f t="shared" si="16"/>
        <v>0</v>
      </c>
      <c r="S45" s="72">
        <f t="shared" si="17"/>
        <v>-7.7105039153479993E-4</v>
      </c>
    </row>
    <row r="46" spans="2:20">
      <c r="B46" s="11">
        <f t="shared" si="18"/>
        <v>0</v>
      </c>
      <c r="C46" s="1">
        <f t="shared" si="18"/>
        <v>0</v>
      </c>
      <c r="D46" s="1">
        <f t="shared" si="18"/>
        <v>0</v>
      </c>
      <c r="E46" s="1">
        <f t="shared" si="18"/>
        <v>0</v>
      </c>
      <c r="F46" s="1">
        <f t="shared" si="18"/>
        <v>0</v>
      </c>
      <c r="G46" s="1">
        <f t="shared" si="18"/>
        <v>0</v>
      </c>
      <c r="H46" s="1">
        <f t="shared" si="16"/>
        <v>0</v>
      </c>
      <c r="I46" s="1">
        <f t="shared" si="16"/>
        <v>0</v>
      </c>
      <c r="J46" s="1">
        <f t="shared" si="16"/>
        <v>0</v>
      </c>
      <c r="K46" s="1">
        <f t="shared" si="16"/>
        <v>0</v>
      </c>
      <c r="L46" s="1">
        <f t="shared" si="16"/>
        <v>-0.76208067668582391</v>
      </c>
      <c r="M46" s="1">
        <f t="shared" si="16"/>
        <v>0.64748207868795626</v>
      </c>
      <c r="N46" s="1">
        <f t="shared" si="16"/>
        <v>0</v>
      </c>
      <c r="O46" s="1">
        <f t="shared" si="16"/>
        <v>0</v>
      </c>
      <c r="P46" s="1">
        <f t="shared" si="16"/>
        <v>0.76208067668582391</v>
      </c>
      <c r="Q46" s="12">
        <f t="shared" si="16"/>
        <v>-0.64748207868795626</v>
      </c>
      <c r="S46" s="72">
        <f t="shared" si="17"/>
        <v>-3.9510904636586019E-4</v>
      </c>
    </row>
    <row r="47" spans="2:20">
      <c r="B47" s="11">
        <f t="shared" si="18"/>
        <v>0.59999999999999976</v>
      </c>
      <c r="C47" s="1">
        <f t="shared" si="18"/>
        <v>-0.80000000000000016</v>
      </c>
      <c r="D47" s="1">
        <f t="shared" si="18"/>
        <v>0</v>
      </c>
      <c r="E47" s="1">
        <f t="shared" si="18"/>
        <v>0</v>
      </c>
      <c r="F47" s="1">
        <f t="shared" si="18"/>
        <v>0</v>
      </c>
      <c r="G47" s="1">
        <f t="shared" si="18"/>
        <v>0</v>
      </c>
      <c r="H47" s="1">
        <f t="shared" si="16"/>
        <v>0</v>
      </c>
      <c r="I47" s="1">
        <f t="shared" si="16"/>
        <v>0</v>
      </c>
      <c r="J47" s="1">
        <f t="shared" si="16"/>
        <v>0</v>
      </c>
      <c r="K47" s="1">
        <f t="shared" si="16"/>
        <v>0</v>
      </c>
      <c r="L47" s="1">
        <f t="shared" si="16"/>
        <v>0</v>
      </c>
      <c r="M47" s="1">
        <f t="shared" si="16"/>
        <v>0</v>
      </c>
      <c r="N47" s="1">
        <f t="shared" si="16"/>
        <v>-0.59999999999999976</v>
      </c>
      <c r="O47" s="1">
        <f t="shared" si="16"/>
        <v>0.80000000000000016</v>
      </c>
      <c r="P47" s="1">
        <f t="shared" si="16"/>
        <v>0</v>
      </c>
      <c r="Q47" s="12">
        <f t="shared" si="16"/>
        <v>0</v>
      </c>
      <c r="S47" s="72">
        <f t="shared" si="17"/>
        <v>1.6999999999995907E-3</v>
      </c>
    </row>
    <row r="48" spans="2:20">
      <c r="B48" s="11">
        <f t="shared" si="18"/>
        <v>0</v>
      </c>
      <c r="C48" s="1">
        <f t="shared" si="18"/>
        <v>0</v>
      </c>
      <c r="D48" s="1">
        <f t="shared" si="18"/>
        <v>0</v>
      </c>
      <c r="E48" s="1">
        <f t="shared" si="18"/>
        <v>0</v>
      </c>
      <c r="F48" s="1">
        <f t="shared" si="18"/>
        <v>0</v>
      </c>
      <c r="G48" s="1">
        <f t="shared" si="18"/>
        <v>0</v>
      </c>
      <c r="H48" s="1">
        <f t="shared" si="16"/>
        <v>0</v>
      </c>
      <c r="I48" s="1">
        <f t="shared" si="16"/>
        <v>0</v>
      </c>
      <c r="J48" s="1">
        <f t="shared" si="16"/>
        <v>0</v>
      </c>
      <c r="K48" s="1">
        <f t="shared" si="16"/>
        <v>0</v>
      </c>
      <c r="L48" s="1">
        <f t="shared" si="16"/>
        <v>0</v>
      </c>
      <c r="M48" s="1">
        <f t="shared" si="16"/>
        <v>0</v>
      </c>
      <c r="N48" s="1">
        <f t="shared" si="16"/>
        <v>-0.98126914684485633</v>
      </c>
      <c r="O48" s="1">
        <f t="shared" si="16"/>
        <v>-0.19264179569960369</v>
      </c>
      <c r="P48" s="1">
        <f t="shared" si="16"/>
        <v>0.98126914684485633</v>
      </c>
      <c r="Q48" s="12">
        <f t="shared" si="16"/>
        <v>0.19264179569960369</v>
      </c>
      <c r="S48" s="72">
        <f t="shared" si="17"/>
        <v>-3.9160190110010262E-4</v>
      </c>
    </row>
    <row r="49" spans="2:19">
      <c r="B49" s="11">
        <f t="shared" si="18"/>
        <v>0</v>
      </c>
      <c r="C49" s="1">
        <f t="shared" si="18"/>
        <v>0</v>
      </c>
      <c r="D49" s="1">
        <f t="shared" si="18"/>
        <v>0</v>
      </c>
      <c r="E49" s="1">
        <f t="shared" si="18"/>
        <v>0</v>
      </c>
      <c r="F49" s="1">
        <f t="shared" si="18"/>
        <v>0</v>
      </c>
      <c r="G49" s="1">
        <f t="shared" si="18"/>
        <v>0</v>
      </c>
      <c r="H49" s="1">
        <f t="shared" si="16"/>
        <v>0</v>
      </c>
      <c r="I49" s="1">
        <f t="shared" si="16"/>
        <v>0</v>
      </c>
      <c r="J49" s="1">
        <f t="shared" si="16"/>
        <v>0</v>
      </c>
      <c r="K49" s="1">
        <f t="shared" si="16"/>
        <v>0</v>
      </c>
      <c r="L49" s="1">
        <f t="shared" si="16"/>
        <v>0.20260560403595229</v>
      </c>
      <c r="M49" s="1">
        <f t="shared" si="16"/>
        <v>0.97926041950710274</v>
      </c>
      <c r="N49" s="1">
        <f t="shared" si="16"/>
        <v>-0.20260560403595229</v>
      </c>
      <c r="O49" s="1">
        <f t="shared" si="16"/>
        <v>-0.97926041950710274</v>
      </c>
      <c r="P49" s="1">
        <f t="shared" si="16"/>
        <v>0</v>
      </c>
      <c r="Q49" s="12">
        <f t="shared" si="16"/>
        <v>0</v>
      </c>
      <c r="S49" s="72">
        <f t="shared" si="17"/>
        <v>-2.2710503915561731E-3</v>
      </c>
    </row>
    <row r="50" spans="2:19">
      <c r="B50" s="11">
        <f t="shared" si="18"/>
        <v>0</v>
      </c>
      <c r="C50" s="1">
        <f t="shared" si="18"/>
        <v>0</v>
      </c>
      <c r="D50" s="1">
        <f t="shared" si="18"/>
        <v>0</v>
      </c>
      <c r="E50" s="1">
        <f t="shared" si="18"/>
        <v>0</v>
      </c>
      <c r="F50" s="1">
        <f t="shared" si="18"/>
        <v>0</v>
      </c>
      <c r="G50" s="1">
        <f t="shared" si="18"/>
        <v>0</v>
      </c>
      <c r="H50" s="1">
        <f t="shared" si="16"/>
        <v>0</v>
      </c>
      <c r="I50" s="1">
        <f t="shared" si="16"/>
        <v>0</v>
      </c>
      <c r="J50" s="1">
        <f t="shared" si="16"/>
        <v>-1.5623093000542007E-2</v>
      </c>
      <c r="K50" s="1">
        <f t="shared" si="16"/>
        <v>0.99987795203469532</v>
      </c>
      <c r="L50" s="1">
        <f t="shared" si="16"/>
        <v>0</v>
      </c>
      <c r="M50" s="1">
        <f t="shared" si="16"/>
        <v>0</v>
      </c>
      <c r="N50" s="1">
        <f t="shared" si="16"/>
        <v>1.5623093000542007E-2</v>
      </c>
      <c r="O50" s="1">
        <f t="shared" si="16"/>
        <v>-0.99987795203469532</v>
      </c>
      <c r="P50" s="1">
        <f t="shared" si="16"/>
        <v>0</v>
      </c>
      <c r="Q50" s="12">
        <f t="shared" si="16"/>
        <v>0</v>
      </c>
      <c r="S50" s="72">
        <f t="shared" si="17"/>
        <v>-2.2398838947879085E-3</v>
      </c>
    </row>
    <row r="51" spans="2:19">
      <c r="B51" s="11">
        <f t="shared" si="18"/>
        <v>-0.88287238919927979</v>
      </c>
      <c r="C51" s="1">
        <f t="shared" si="18"/>
        <v>-0.46961297297834037</v>
      </c>
      <c r="D51" s="1">
        <f t="shared" si="18"/>
        <v>0.88287238919927979</v>
      </c>
      <c r="E51" s="1">
        <f t="shared" si="18"/>
        <v>0.46961297297834037</v>
      </c>
      <c r="F51" s="1">
        <f t="shared" si="18"/>
        <v>0</v>
      </c>
      <c r="G51" s="1">
        <f t="shared" si="18"/>
        <v>0</v>
      </c>
      <c r="H51" s="1">
        <f t="shared" si="16"/>
        <v>0</v>
      </c>
      <c r="I51" s="1">
        <f t="shared" si="16"/>
        <v>0</v>
      </c>
      <c r="J51" s="1">
        <f t="shared" si="16"/>
        <v>0</v>
      </c>
      <c r="K51" s="1">
        <f t="shared" si="16"/>
        <v>0</v>
      </c>
      <c r="L51" s="1">
        <f t="shared" si="16"/>
        <v>0</v>
      </c>
      <c r="M51" s="1">
        <f t="shared" si="16"/>
        <v>0</v>
      </c>
      <c r="N51" s="1">
        <f t="shared" si="16"/>
        <v>0</v>
      </c>
      <c r="O51" s="1">
        <f t="shared" si="16"/>
        <v>0</v>
      </c>
      <c r="P51" s="1">
        <f t="shared" si="16"/>
        <v>0</v>
      </c>
      <c r="Q51" s="12">
        <f t="shared" si="16"/>
        <v>0</v>
      </c>
      <c r="S51" s="72">
        <f t="shared" si="17"/>
        <v>1.0330841233212595E-3</v>
      </c>
    </row>
    <row r="52" spans="2:19">
      <c r="B52" s="11">
        <f t="shared" si="18"/>
        <v>-0.43292385560131397</v>
      </c>
      <c r="C52" s="1">
        <f t="shared" si="18"/>
        <v>-0.90143049385479113</v>
      </c>
      <c r="D52" s="1">
        <f t="shared" si="18"/>
        <v>0</v>
      </c>
      <c r="E52" s="1">
        <f t="shared" si="18"/>
        <v>0</v>
      </c>
      <c r="F52" s="1">
        <f t="shared" si="18"/>
        <v>0</v>
      </c>
      <c r="G52" s="1">
        <f t="shared" si="18"/>
        <v>0</v>
      </c>
      <c r="H52" s="1">
        <f t="shared" si="16"/>
        <v>0</v>
      </c>
      <c r="I52" s="1">
        <f t="shared" si="16"/>
        <v>0</v>
      </c>
      <c r="J52" s="1">
        <f t="shared" si="16"/>
        <v>0</v>
      </c>
      <c r="K52" s="1">
        <f t="shared" si="16"/>
        <v>0</v>
      </c>
      <c r="L52" s="1">
        <f t="shared" si="16"/>
        <v>0</v>
      </c>
      <c r="M52" s="1">
        <f t="shared" si="16"/>
        <v>0</v>
      </c>
      <c r="N52" s="1">
        <f t="shared" si="16"/>
        <v>0</v>
      </c>
      <c r="O52" s="1">
        <f t="shared" si="16"/>
        <v>0</v>
      </c>
      <c r="P52" s="1">
        <f t="shared" si="16"/>
        <v>0.43292385560131397</v>
      </c>
      <c r="Q52" s="12">
        <f t="shared" si="16"/>
        <v>0.90143049385479113</v>
      </c>
      <c r="S52" s="72">
        <f t="shared" si="17"/>
        <v>-6.2347517581429202E-4</v>
      </c>
    </row>
    <row r="53" spans="2:19">
      <c r="B53" s="11">
        <f t="shared" si="18"/>
        <v>0.22082565259779505</v>
      </c>
      <c r="C53" s="1">
        <f t="shared" si="18"/>
        <v>-0.97531329897359542</v>
      </c>
      <c r="D53" s="1">
        <f t="shared" si="18"/>
        <v>0</v>
      </c>
      <c r="E53" s="1">
        <f t="shared" si="18"/>
        <v>0</v>
      </c>
      <c r="F53" s="1">
        <f t="shared" si="18"/>
        <v>0</v>
      </c>
      <c r="G53" s="1">
        <f t="shared" si="18"/>
        <v>0</v>
      </c>
      <c r="H53" s="1">
        <f t="shared" si="16"/>
        <v>0</v>
      </c>
      <c r="I53" s="1">
        <f t="shared" si="16"/>
        <v>0</v>
      </c>
      <c r="J53" s="1">
        <f t="shared" si="16"/>
        <v>0</v>
      </c>
      <c r="K53" s="1">
        <f t="shared" si="16"/>
        <v>0</v>
      </c>
      <c r="L53" s="1">
        <f t="shared" si="16"/>
        <v>-0.22082565259779505</v>
      </c>
      <c r="M53" s="1">
        <f t="shared" si="16"/>
        <v>0.97531329897359542</v>
      </c>
      <c r="N53" s="1">
        <f t="shared" si="16"/>
        <v>0</v>
      </c>
      <c r="O53" s="1">
        <f t="shared" si="16"/>
        <v>0</v>
      </c>
      <c r="P53" s="1">
        <f t="shared" si="16"/>
        <v>0</v>
      </c>
      <c r="Q53" s="12">
        <f t="shared" si="16"/>
        <v>0</v>
      </c>
      <c r="S53" s="72">
        <f t="shared" si="17"/>
        <v>-5.3661612952282667E-4</v>
      </c>
    </row>
    <row r="54" spans="2:19">
      <c r="B54" s="11">
        <f t="shared" si="18"/>
        <v>0</v>
      </c>
      <c r="C54" s="1">
        <f t="shared" si="18"/>
        <v>0</v>
      </c>
      <c r="D54" s="1">
        <f t="shared" si="18"/>
        <v>0.59207643396069154</v>
      </c>
      <c r="E54" s="1">
        <f t="shared" si="18"/>
        <v>-0.80588181289094174</v>
      </c>
      <c r="F54" s="1">
        <f t="shared" si="18"/>
        <v>0</v>
      </c>
      <c r="G54" s="1">
        <f t="shared" si="18"/>
        <v>0</v>
      </c>
      <c r="H54" s="1">
        <f t="shared" si="16"/>
        <v>-0.59207643396069154</v>
      </c>
      <c r="I54" s="1">
        <f t="shared" si="16"/>
        <v>0.80588181289094174</v>
      </c>
      <c r="J54" s="1">
        <f t="shared" si="16"/>
        <v>0</v>
      </c>
      <c r="K54" s="1">
        <f t="shared" si="16"/>
        <v>0</v>
      </c>
      <c r="L54" s="1">
        <f t="shared" si="16"/>
        <v>0</v>
      </c>
      <c r="M54" s="1">
        <f t="shared" si="16"/>
        <v>0</v>
      </c>
      <c r="N54" s="1">
        <f t="shared" si="16"/>
        <v>0</v>
      </c>
      <c r="O54" s="1">
        <f t="shared" si="16"/>
        <v>0</v>
      </c>
      <c r="P54" s="1">
        <f t="shared" si="16"/>
        <v>0</v>
      </c>
      <c r="Q54" s="12">
        <f t="shared" si="16"/>
        <v>0</v>
      </c>
      <c r="S54" s="72">
        <f t="shared" si="17"/>
        <v>1.0022712052091265E-3</v>
      </c>
    </row>
    <row r="55" spans="2:19">
      <c r="B55" s="11">
        <f t="shared" si="18"/>
        <v>0</v>
      </c>
      <c r="C55" s="1">
        <f t="shared" si="18"/>
        <v>0</v>
      </c>
      <c r="D55" s="1">
        <f t="shared" si="18"/>
        <v>0.98639392383214375</v>
      </c>
      <c r="E55" s="1">
        <f t="shared" si="18"/>
        <v>-0.16439898730535749</v>
      </c>
      <c r="F55" s="1">
        <f t="shared" si="18"/>
        <v>0</v>
      </c>
      <c r="G55" s="1">
        <f t="shared" si="18"/>
        <v>0</v>
      </c>
      <c r="H55" s="1">
        <f t="shared" si="16"/>
        <v>0</v>
      </c>
      <c r="I55" s="1">
        <f t="shared" si="16"/>
        <v>0</v>
      </c>
      <c r="J55" s="1">
        <f t="shared" si="16"/>
        <v>0</v>
      </c>
      <c r="K55" s="1">
        <f t="shared" si="16"/>
        <v>0</v>
      </c>
      <c r="L55" s="1">
        <f t="shared" si="16"/>
        <v>0</v>
      </c>
      <c r="M55" s="1">
        <f t="shared" si="16"/>
        <v>0</v>
      </c>
      <c r="N55" s="1">
        <f t="shared" si="16"/>
        <v>0</v>
      </c>
      <c r="O55" s="1">
        <f t="shared" si="16"/>
        <v>0</v>
      </c>
      <c r="P55" s="1">
        <f t="shared" si="16"/>
        <v>-0.98639392383214375</v>
      </c>
      <c r="Q55" s="12">
        <f t="shared" si="16"/>
        <v>0.16439898730535749</v>
      </c>
      <c r="S55" s="72">
        <f t="shared" si="17"/>
        <v>-3.1168194809083616E-4</v>
      </c>
    </row>
    <row r="56" spans="2:19">
      <c r="B56" s="11">
        <f t="shared" si="18"/>
        <v>0</v>
      </c>
      <c r="C56" s="1">
        <f t="shared" si="18"/>
        <v>0</v>
      </c>
      <c r="D56" s="1">
        <f t="shared" si="18"/>
        <v>0.20601048104984188</v>
      </c>
      <c r="E56" s="1">
        <f t="shared" si="18"/>
        <v>-0.97854978498674905</v>
      </c>
      <c r="F56" s="1">
        <f t="shared" si="18"/>
        <v>-0.20601048104984188</v>
      </c>
      <c r="G56" s="1">
        <f t="shared" si="18"/>
        <v>0.97854978498674905</v>
      </c>
      <c r="H56" s="1">
        <f t="shared" si="16"/>
        <v>0</v>
      </c>
      <c r="I56" s="1">
        <f t="shared" si="16"/>
        <v>0</v>
      </c>
      <c r="J56" s="1">
        <f t="shared" si="16"/>
        <v>0</v>
      </c>
      <c r="K56" s="1">
        <f t="shared" si="16"/>
        <v>0</v>
      </c>
      <c r="L56" s="1">
        <f t="shared" si="16"/>
        <v>0</v>
      </c>
      <c r="M56" s="1">
        <f t="shared" si="16"/>
        <v>0</v>
      </c>
      <c r="N56" s="1">
        <f t="shared" si="16"/>
        <v>0</v>
      </c>
      <c r="O56" s="1">
        <f t="shared" si="16"/>
        <v>0</v>
      </c>
      <c r="P56" s="1">
        <f t="shared" si="16"/>
        <v>0</v>
      </c>
      <c r="Q56" s="12">
        <f t="shared" si="16"/>
        <v>0</v>
      </c>
      <c r="S56" s="72">
        <f t="shared" si="17"/>
        <v>1.9783894759939358E-3</v>
      </c>
    </row>
    <row r="57" spans="2:19">
      <c r="B57" s="11">
        <f t="shared" si="18"/>
        <v>0</v>
      </c>
      <c r="C57" s="1">
        <f t="shared" si="18"/>
        <v>0</v>
      </c>
      <c r="D57" s="1">
        <f t="shared" si="18"/>
        <v>0</v>
      </c>
      <c r="E57" s="1">
        <f t="shared" si="18"/>
        <v>0</v>
      </c>
      <c r="F57" s="1">
        <f t="shared" si="18"/>
        <v>0.93075149344034702</v>
      </c>
      <c r="G57" s="1">
        <f t="shared" si="18"/>
        <v>-0.36565237242299375</v>
      </c>
      <c r="H57" s="1">
        <f t="shared" si="16"/>
        <v>-0.93075149344034702</v>
      </c>
      <c r="I57" s="1">
        <f t="shared" si="16"/>
        <v>0.36565237242299375</v>
      </c>
      <c r="J57" s="1">
        <f t="shared" si="16"/>
        <v>0</v>
      </c>
      <c r="K57" s="1">
        <f t="shared" si="16"/>
        <v>0</v>
      </c>
      <c r="L57" s="1">
        <f t="shared" si="16"/>
        <v>0</v>
      </c>
      <c r="M57" s="1">
        <f t="shared" si="16"/>
        <v>0</v>
      </c>
      <c r="N57" s="1">
        <f t="shared" si="16"/>
        <v>0</v>
      </c>
      <c r="O57" s="1">
        <f t="shared" si="16"/>
        <v>0</v>
      </c>
      <c r="P57" s="1">
        <f t="shared" si="16"/>
        <v>0</v>
      </c>
      <c r="Q57" s="12">
        <f t="shared" si="16"/>
        <v>0</v>
      </c>
      <c r="S57" s="72">
        <f t="shared" si="17"/>
        <v>-6.1043508677016689E-4</v>
      </c>
    </row>
    <row r="58" spans="2:19">
      <c r="B58" s="11">
        <f t="shared" si="18"/>
        <v>0</v>
      </c>
      <c r="C58" s="1">
        <f t="shared" si="18"/>
        <v>0</v>
      </c>
      <c r="D58" s="1">
        <f t="shared" si="18"/>
        <v>0</v>
      </c>
      <c r="E58" s="1">
        <f t="shared" si="18"/>
        <v>0</v>
      </c>
      <c r="F58" s="1">
        <f t="shared" si="18"/>
        <v>0.98131374967715723</v>
      </c>
      <c r="G58" s="1">
        <f t="shared" si="18"/>
        <v>0.19241446072101101</v>
      </c>
      <c r="H58" s="1">
        <f t="shared" si="18"/>
        <v>0</v>
      </c>
      <c r="I58" s="1">
        <f t="shared" si="18"/>
        <v>0</v>
      </c>
      <c r="J58" s="1">
        <f t="shared" si="18"/>
        <v>0</v>
      </c>
      <c r="K58" s="1">
        <f t="shared" si="18"/>
        <v>0</v>
      </c>
      <c r="L58" s="1">
        <f t="shared" si="18"/>
        <v>-0.98131374967715723</v>
      </c>
      <c r="M58" s="1">
        <f t="shared" si="18"/>
        <v>-0.19241446072101101</v>
      </c>
      <c r="N58" s="1">
        <f t="shared" si="18"/>
        <v>0</v>
      </c>
      <c r="O58" s="1">
        <f t="shared" si="18"/>
        <v>0</v>
      </c>
      <c r="P58" s="1">
        <f t="shared" si="18"/>
        <v>0</v>
      </c>
      <c r="Q58" s="12">
        <f t="shared" si="18"/>
        <v>0</v>
      </c>
      <c r="S58" s="72">
        <f t="shared" si="17"/>
        <v>-3.7079627435332441E-4</v>
      </c>
    </row>
    <row r="59" spans="2:19">
      <c r="B59" s="11">
        <f t="shared" ref="B59:Q61" si="19">IF(B$41=$B21,IF(B$40="dx",-$K21,-$J21),IF(B$41=$C21,IF(B$40="dx",$K21,$J21),0))</f>
        <v>0</v>
      </c>
      <c r="C59" s="1">
        <f t="shared" si="19"/>
        <v>0</v>
      </c>
      <c r="D59" s="1">
        <f t="shared" si="19"/>
        <v>0</v>
      </c>
      <c r="E59" s="1">
        <f t="shared" si="19"/>
        <v>0</v>
      </c>
      <c r="F59" s="1">
        <f t="shared" si="19"/>
        <v>0.59921385627771317</v>
      </c>
      <c r="G59" s="1">
        <f t="shared" si="19"/>
        <v>0.80058900469891048</v>
      </c>
      <c r="H59" s="1">
        <f t="shared" si="19"/>
        <v>0</v>
      </c>
      <c r="I59" s="1">
        <f t="shared" si="19"/>
        <v>0</v>
      </c>
      <c r="J59" s="1">
        <f t="shared" si="19"/>
        <v>0</v>
      </c>
      <c r="K59" s="1">
        <f t="shared" si="19"/>
        <v>0</v>
      </c>
      <c r="L59" s="1">
        <f t="shared" si="19"/>
        <v>0</v>
      </c>
      <c r="M59" s="1">
        <f t="shared" si="19"/>
        <v>0</v>
      </c>
      <c r="N59" s="1">
        <f t="shared" si="19"/>
        <v>0</v>
      </c>
      <c r="O59" s="1">
        <f t="shared" si="19"/>
        <v>0</v>
      </c>
      <c r="P59" s="1">
        <f t="shared" si="19"/>
        <v>-0.59921385627771317</v>
      </c>
      <c r="Q59" s="12">
        <f t="shared" si="19"/>
        <v>-0.80058900469891048</v>
      </c>
      <c r="S59" s="72">
        <f t="shared" si="17"/>
        <v>-3.0176819657867782E-4</v>
      </c>
    </row>
    <row r="60" spans="2:19">
      <c r="B60" s="11">
        <f t="shared" si="19"/>
        <v>0</v>
      </c>
      <c r="C60" s="1">
        <f t="shared" si="19"/>
        <v>0</v>
      </c>
      <c r="D60" s="1">
        <f t="shared" si="19"/>
        <v>0</v>
      </c>
      <c r="E60" s="1">
        <f t="shared" si="19"/>
        <v>0</v>
      </c>
      <c r="F60" s="1">
        <f t="shared" si="19"/>
        <v>0</v>
      </c>
      <c r="G60" s="1">
        <f t="shared" si="19"/>
        <v>0</v>
      </c>
      <c r="H60" s="1">
        <f t="shared" si="19"/>
        <v>0</v>
      </c>
      <c r="I60" s="1">
        <f t="shared" si="19"/>
        <v>0</v>
      </c>
      <c r="J60" s="1">
        <f t="shared" si="19"/>
        <v>-0.50387102552408569</v>
      </c>
      <c r="K60" s="1">
        <f t="shared" si="19"/>
        <v>0.86377890089843368</v>
      </c>
      <c r="L60" s="1">
        <f t="shared" si="19"/>
        <v>0</v>
      </c>
      <c r="M60" s="1">
        <f t="shared" si="19"/>
        <v>0</v>
      </c>
      <c r="N60" s="1">
        <f t="shared" si="19"/>
        <v>0</v>
      </c>
      <c r="O60" s="1">
        <f t="shared" si="19"/>
        <v>0</v>
      </c>
      <c r="P60" s="1">
        <f t="shared" si="19"/>
        <v>0.50387102552408569</v>
      </c>
      <c r="Q60" s="12">
        <f t="shared" si="19"/>
        <v>-0.86377890089843368</v>
      </c>
      <c r="S60" s="72">
        <f t="shared" si="17"/>
        <v>-7.4425320468662903E-4</v>
      </c>
    </row>
    <row r="61" spans="2:19">
      <c r="B61" s="13">
        <f t="shared" si="19"/>
        <v>0</v>
      </c>
      <c r="C61" s="14">
        <f t="shared" si="19"/>
        <v>0</v>
      </c>
      <c r="D61" s="14">
        <f t="shared" si="19"/>
        <v>0</v>
      </c>
      <c r="E61" s="14">
        <f t="shared" si="19"/>
        <v>0</v>
      </c>
      <c r="F61" s="14">
        <f t="shared" si="19"/>
        <v>0</v>
      </c>
      <c r="G61" s="14">
        <f t="shared" si="19"/>
        <v>0</v>
      </c>
      <c r="H61" s="14">
        <f t="shared" si="19"/>
        <v>0.90618313999526523</v>
      </c>
      <c r="I61" s="14">
        <f t="shared" si="19"/>
        <v>-0.42288546533112437</v>
      </c>
      <c r="J61" s="14">
        <f t="shared" si="19"/>
        <v>-0.90618313999526523</v>
      </c>
      <c r="K61" s="14">
        <f t="shared" si="19"/>
        <v>0.42288546533112437</v>
      </c>
      <c r="L61" s="14">
        <f t="shared" si="19"/>
        <v>0</v>
      </c>
      <c r="M61" s="14">
        <f t="shared" si="19"/>
        <v>0</v>
      </c>
      <c r="N61" s="14">
        <f t="shared" si="19"/>
        <v>0</v>
      </c>
      <c r="O61" s="14">
        <f t="shared" si="19"/>
        <v>0</v>
      </c>
      <c r="P61" s="14">
        <f t="shared" si="19"/>
        <v>0</v>
      </c>
      <c r="Q61" s="15">
        <f t="shared" si="19"/>
        <v>0</v>
      </c>
      <c r="S61" s="72">
        <f t="shared" si="17"/>
        <v>1.4535724685060813E-3</v>
      </c>
    </row>
    <row r="62" spans="2:19">
      <c r="B62" s="8">
        <f t="shared" ref="B62:Q73" si="20">IF(B$41=$C26,IF(B$40="dx",$R26,-$Q26),IF(B$41=$D26,IF(B$40="dx",-$T26,$S26),IF(B$41=$B26,IF(B$40="dx",($T26-$R26),($Q26-$S26)),0)))</f>
        <v>-3403.3062075712155</v>
      </c>
      <c r="C62" s="9">
        <f t="shared" si="20"/>
        <v>1634.4825865309126</v>
      </c>
      <c r="D62" s="9">
        <f t="shared" si="20"/>
        <v>637.25702939697828</v>
      </c>
      <c r="E62" s="9">
        <f t="shared" si="20"/>
        <v>3823.5421763818699</v>
      </c>
      <c r="F62" s="9">
        <f t="shared" si="20"/>
        <v>0</v>
      </c>
      <c r="G62" s="9">
        <f t="shared" si="20"/>
        <v>0</v>
      </c>
      <c r="H62" s="9">
        <f t="shared" si="20"/>
        <v>0</v>
      </c>
      <c r="I62" s="9">
        <f t="shared" si="20"/>
        <v>0</v>
      </c>
      <c r="J62" s="9">
        <f t="shared" si="20"/>
        <v>0</v>
      </c>
      <c r="K62" s="9">
        <f t="shared" si="20"/>
        <v>0</v>
      </c>
      <c r="L62" s="9">
        <f t="shared" si="20"/>
        <v>0</v>
      </c>
      <c r="M62" s="9">
        <f t="shared" si="20"/>
        <v>0</v>
      </c>
      <c r="N62" s="9">
        <f t="shared" si="20"/>
        <v>0</v>
      </c>
      <c r="O62" s="9">
        <f t="shared" si="20"/>
        <v>0</v>
      </c>
      <c r="P62" s="9">
        <f t="shared" si="20"/>
        <v>2766.0491781742371</v>
      </c>
      <c r="Q62" s="10">
        <f t="shared" si="20"/>
        <v>-5458.0247629127825</v>
      </c>
      <c r="S62" s="89">
        <f t="shared" ref="S62:S73" si="21">P26*10000</f>
        <v>6.2975201105075485</v>
      </c>
    </row>
    <row r="63" spans="2:19">
      <c r="B63" s="11">
        <f t="shared" si="20"/>
        <v>0</v>
      </c>
      <c r="C63" s="1">
        <f t="shared" si="20"/>
        <v>0</v>
      </c>
      <c r="D63" s="1">
        <f t="shared" si="20"/>
        <v>-637.25702939697828</v>
      </c>
      <c r="E63" s="1">
        <f t="shared" si="20"/>
        <v>-3823.5421763818699</v>
      </c>
      <c r="F63" s="1">
        <f t="shared" si="20"/>
        <v>-2503.2934382533417</v>
      </c>
      <c r="G63" s="1">
        <f t="shared" si="20"/>
        <v>1873.6306715761204</v>
      </c>
      <c r="H63" s="1">
        <f t="shared" si="20"/>
        <v>0</v>
      </c>
      <c r="I63" s="1">
        <f t="shared" si="20"/>
        <v>0</v>
      </c>
      <c r="J63" s="1">
        <f t="shared" si="20"/>
        <v>0</v>
      </c>
      <c r="K63" s="1">
        <f t="shared" si="20"/>
        <v>0</v>
      </c>
      <c r="L63" s="1">
        <f t="shared" si="20"/>
        <v>0</v>
      </c>
      <c r="M63" s="1">
        <f t="shared" si="20"/>
        <v>0</v>
      </c>
      <c r="N63" s="1">
        <f t="shared" si="20"/>
        <v>0</v>
      </c>
      <c r="O63" s="1">
        <f t="shared" si="20"/>
        <v>0</v>
      </c>
      <c r="P63" s="1">
        <f t="shared" si="20"/>
        <v>3140.5504676503201</v>
      </c>
      <c r="Q63" s="12">
        <f t="shared" si="20"/>
        <v>1949.9115048057495</v>
      </c>
      <c r="S63" s="90">
        <f t="shared" si="21"/>
        <v>3.7470572449649353</v>
      </c>
    </row>
    <row r="64" spans="2:19">
      <c r="B64" s="11">
        <f t="shared" si="20"/>
        <v>0</v>
      </c>
      <c r="C64" s="1">
        <f t="shared" si="20"/>
        <v>0</v>
      </c>
      <c r="D64" s="1">
        <f t="shared" si="20"/>
        <v>0</v>
      </c>
      <c r="E64" s="1">
        <f t="shared" si="20"/>
        <v>0</v>
      </c>
      <c r="F64" s="1">
        <f t="shared" si="20"/>
        <v>2503.2934382533417</v>
      </c>
      <c r="G64" s="1">
        <f t="shared" si="20"/>
        <v>-1873.6306715761204</v>
      </c>
      <c r="H64" s="1">
        <f t="shared" si="20"/>
        <v>-2900.4997152677797</v>
      </c>
      <c r="I64" s="1">
        <f t="shared" si="20"/>
        <v>-239.49080217807358</v>
      </c>
      <c r="J64" s="1">
        <f t="shared" si="20"/>
        <v>0</v>
      </c>
      <c r="K64" s="1">
        <f t="shared" si="20"/>
        <v>0</v>
      </c>
      <c r="L64" s="1">
        <f t="shared" si="20"/>
        <v>0</v>
      </c>
      <c r="M64" s="1">
        <f t="shared" si="20"/>
        <v>0</v>
      </c>
      <c r="N64" s="1">
        <f t="shared" si="20"/>
        <v>0</v>
      </c>
      <c r="O64" s="1">
        <f t="shared" si="20"/>
        <v>0</v>
      </c>
      <c r="P64" s="1">
        <f t="shared" si="20"/>
        <v>397.206277014438</v>
      </c>
      <c r="Q64" s="12">
        <f t="shared" si="20"/>
        <v>2113.1214737541941</v>
      </c>
      <c r="S64" s="90">
        <f t="shared" si="21"/>
        <v>-0.86773425422848049</v>
      </c>
    </row>
    <row r="65" spans="2:19">
      <c r="B65" s="11">
        <f t="shared" si="20"/>
        <v>0</v>
      </c>
      <c r="C65" s="1">
        <f t="shared" si="20"/>
        <v>0</v>
      </c>
      <c r="D65" s="1">
        <f t="shared" si="20"/>
        <v>0</v>
      </c>
      <c r="E65" s="1">
        <f t="shared" si="20"/>
        <v>0</v>
      </c>
      <c r="F65" s="1">
        <f t="shared" si="20"/>
        <v>0</v>
      </c>
      <c r="G65" s="1">
        <f t="shared" si="20"/>
        <v>0</v>
      </c>
      <c r="H65" s="1">
        <f t="shared" si="20"/>
        <v>2900.4997152677797</v>
      </c>
      <c r="I65" s="1">
        <f t="shared" si="20"/>
        <v>239.49080217807358</v>
      </c>
      <c r="J65" s="1">
        <f t="shared" si="20"/>
        <v>0</v>
      </c>
      <c r="K65" s="1">
        <f t="shared" si="20"/>
        <v>0</v>
      </c>
      <c r="L65" s="1">
        <f t="shared" si="20"/>
        <v>-2361.876494764485</v>
      </c>
      <c r="M65" s="1">
        <f t="shared" si="20"/>
        <v>-2779.9077327758987</v>
      </c>
      <c r="N65" s="1">
        <f t="shared" si="20"/>
        <v>0</v>
      </c>
      <c r="O65" s="1">
        <f t="shared" si="20"/>
        <v>0</v>
      </c>
      <c r="P65" s="1">
        <f t="shared" si="20"/>
        <v>-538.62322050329476</v>
      </c>
      <c r="Q65" s="12">
        <f t="shared" si="20"/>
        <v>2540.4169305978253</v>
      </c>
      <c r="S65" s="90">
        <f t="shared" si="21"/>
        <v>-1.8471072947079392</v>
      </c>
    </row>
    <row r="66" spans="2:19">
      <c r="B66" s="11">
        <f t="shared" si="20"/>
        <v>0</v>
      </c>
      <c r="C66" s="1">
        <f t="shared" si="20"/>
        <v>0</v>
      </c>
      <c r="D66" s="1">
        <f t="shared" si="20"/>
        <v>0</v>
      </c>
      <c r="E66" s="1">
        <f t="shared" si="20"/>
        <v>0</v>
      </c>
      <c r="F66" s="1">
        <f t="shared" si="20"/>
        <v>0</v>
      </c>
      <c r="G66" s="1">
        <f t="shared" si="20"/>
        <v>0</v>
      </c>
      <c r="H66" s="1">
        <f t="shared" si="20"/>
        <v>0</v>
      </c>
      <c r="I66" s="1">
        <f t="shared" si="20"/>
        <v>0</v>
      </c>
      <c r="J66" s="1">
        <f t="shared" si="20"/>
        <v>0</v>
      </c>
      <c r="K66" s="1">
        <f t="shared" si="20"/>
        <v>0</v>
      </c>
      <c r="L66" s="1">
        <f t="shared" si="20"/>
        <v>2361.876494764485</v>
      </c>
      <c r="M66" s="1">
        <f t="shared" si="20"/>
        <v>2779.9077327758987</v>
      </c>
      <c r="N66" s="1">
        <f t="shared" si="20"/>
        <v>738.29713027806338</v>
      </c>
      <c r="O66" s="1">
        <f t="shared" si="20"/>
        <v>-3760.7010073538854</v>
      </c>
      <c r="P66" s="1">
        <f t="shared" si="20"/>
        <v>-3100.1736250425483</v>
      </c>
      <c r="Q66" s="12">
        <f t="shared" si="20"/>
        <v>980.79327457798672</v>
      </c>
      <c r="S66" s="90">
        <f t="shared" si="21"/>
        <v>0.95539983654191474</v>
      </c>
    </row>
    <row r="67" spans="2:19">
      <c r="B67" s="11">
        <f t="shared" si="20"/>
        <v>3403.3062075712155</v>
      </c>
      <c r="C67" s="1">
        <f t="shared" si="20"/>
        <v>-1634.4825865309126</v>
      </c>
      <c r="D67" s="1">
        <f t="shared" si="20"/>
        <v>0</v>
      </c>
      <c r="E67" s="1">
        <f t="shared" si="20"/>
        <v>0</v>
      </c>
      <c r="F67" s="1">
        <f t="shared" si="20"/>
        <v>0</v>
      </c>
      <c r="G67" s="1">
        <f t="shared" si="20"/>
        <v>0</v>
      </c>
      <c r="H67" s="1">
        <f t="shared" si="20"/>
        <v>0</v>
      </c>
      <c r="I67" s="1">
        <f t="shared" si="20"/>
        <v>0</v>
      </c>
      <c r="J67" s="1">
        <f t="shared" si="20"/>
        <v>0</v>
      </c>
      <c r="K67" s="1">
        <f t="shared" si="20"/>
        <v>0</v>
      </c>
      <c r="L67" s="1">
        <f t="shared" si="20"/>
        <v>0</v>
      </c>
      <c r="M67" s="1">
        <f t="shared" si="20"/>
        <v>0</v>
      </c>
      <c r="N67" s="1">
        <f t="shared" si="20"/>
        <v>-738.29713027806338</v>
      </c>
      <c r="O67" s="1">
        <f t="shared" si="20"/>
        <v>3760.7010073538854</v>
      </c>
      <c r="P67" s="1">
        <f t="shared" si="20"/>
        <v>-2665.0090772931521</v>
      </c>
      <c r="Q67" s="12">
        <f t="shared" si="20"/>
        <v>-2126.2184208229728</v>
      </c>
      <c r="S67" s="90">
        <f t="shared" si="21"/>
        <v>-2.2851356432340708</v>
      </c>
    </row>
    <row r="68" spans="2:19">
      <c r="B68" s="11">
        <f t="shared" si="20"/>
        <v>0</v>
      </c>
      <c r="C68" s="1">
        <f t="shared" si="20"/>
        <v>0</v>
      </c>
      <c r="D68" s="1">
        <f t="shared" si="20"/>
        <v>0</v>
      </c>
      <c r="E68" s="1">
        <f t="shared" si="20"/>
        <v>0</v>
      </c>
      <c r="F68" s="1">
        <f t="shared" si="20"/>
        <v>0</v>
      </c>
      <c r="G68" s="1">
        <f t="shared" si="20"/>
        <v>0</v>
      </c>
      <c r="H68" s="1">
        <f t="shared" si="20"/>
        <v>0</v>
      </c>
      <c r="I68" s="1">
        <f t="shared" si="20"/>
        <v>0</v>
      </c>
      <c r="J68" s="1">
        <f t="shared" si="20"/>
        <v>-1508.9596323260703</v>
      </c>
      <c r="K68" s="1">
        <f t="shared" si="20"/>
        <v>-668.50480486098945</v>
      </c>
      <c r="L68" s="1">
        <f t="shared" si="20"/>
        <v>3497.9108371845136</v>
      </c>
      <c r="M68" s="1">
        <f t="shared" si="20"/>
        <v>699.58216743690264</v>
      </c>
      <c r="N68" s="1">
        <f t="shared" si="20"/>
        <v>-1988.9512048584434</v>
      </c>
      <c r="O68" s="1">
        <f t="shared" si="20"/>
        <v>-31.077362575913178</v>
      </c>
      <c r="P68" s="1">
        <f t="shared" si="20"/>
        <v>0</v>
      </c>
      <c r="Q68" s="12">
        <f t="shared" si="20"/>
        <v>0</v>
      </c>
      <c r="S68" s="90">
        <f t="shared" si="21"/>
        <v>0.54182010131853531</v>
      </c>
    </row>
    <row r="69" spans="2:19">
      <c r="B69" s="11">
        <f t="shared" si="20"/>
        <v>0</v>
      </c>
      <c r="C69" s="1">
        <f t="shared" si="20"/>
        <v>0</v>
      </c>
      <c r="D69" s="1">
        <f t="shared" si="20"/>
        <v>0</v>
      </c>
      <c r="E69" s="1">
        <f t="shared" si="20"/>
        <v>0</v>
      </c>
      <c r="F69" s="1">
        <f t="shared" si="20"/>
        <v>0</v>
      </c>
      <c r="G69" s="1">
        <f t="shared" si="20"/>
        <v>0</v>
      </c>
      <c r="H69" s="1">
        <f t="shared" si="20"/>
        <v>0</v>
      </c>
      <c r="I69" s="1">
        <f t="shared" si="20"/>
        <v>0</v>
      </c>
      <c r="J69" s="1">
        <f t="shared" si="20"/>
        <v>1848.6368155068417</v>
      </c>
      <c r="K69" s="1">
        <f t="shared" si="20"/>
        <v>-262.49434520840612</v>
      </c>
      <c r="L69" s="1">
        <f t="shared" si="20"/>
        <v>-3497.9108371845136</v>
      </c>
      <c r="M69" s="1">
        <f t="shared" si="20"/>
        <v>-699.58216743690264</v>
      </c>
      <c r="N69" s="1">
        <f t="shared" si="20"/>
        <v>0</v>
      </c>
      <c r="O69" s="1">
        <f t="shared" si="20"/>
        <v>0</v>
      </c>
      <c r="P69" s="1">
        <f t="shared" si="20"/>
        <v>1649.274021677672</v>
      </c>
      <c r="Q69" s="12">
        <f t="shared" si="20"/>
        <v>962.07651264530875</v>
      </c>
      <c r="S69" s="90">
        <f t="shared" si="21"/>
        <v>1.7187723225120521</v>
      </c>
    </row>
    <row r="70" spans="2:19">
      <c r="B70" s="11">
        <f t="shared" si="20"/>
        <v>0</v>
      </c>
      <c r="C70" s="1">
        <f t="shared" si="20"/>
        <v>0</v>
      </c>
      <c r="D70" s="1">
        <f t="shared" si="20"/>
        <v>0</v>
      </c>
      <c r="E70" s="1">
        <f t="shared" si="20"/>
        <v>0</v>
      </c>
      <c r="F70" s="1">
        <f t="shared" si="20"/>
        <v>0</v>
      </c>
      <c r="G70" s="1">
        <f t="shared" si="20"/>
        <v>0</v>
      </c>
      <c r="H70" s="1">
        <f t="shared" si="20"/>
        <v>1626.4008783113393</v>
      </c>
      <c r="I70" s="1">
        <f t="shared" si="20"/>
        <v>3485.144739238584</v>
      </c>
      <c r="J70" s="1">
        <f t="shared" si="20"/>
        <v>22.87314336633267</v>
      </c>
      <c r="K70" s="1">
        <f t="shared" si="20"/>
        <v>-2523.0682265932751</v>
      </c>
      <c r="L70" s="1">
        <f t="shared" si="20"/>
        <v>0</v>
      </c>
      <c r="M70" s="1">
        <f t="shared" si="20"/>
        <v>0</v>
      </c>
      <c r="N70" s="1">
        <f t="shared" si="20"/>
        <v>0</v>
      </c>
      <c r="O70" s="1">
        <f t="shared" si="20"/>
        <v>0</v>
      </c>
      <c r="P70" s="1">
        <f t="shared" si="20"/>
        <v>-1649.274021677672</v>
      </c>
      <c r="Q70" s="12">
        <f t="shared" si="20"/>
        <v>-962.07651264530875</v>
      </c>
      <c r="S70" s="90">
        <f t="shared" si="21"/>
        <v>4.8817596751860037</v>
      </c>
    </row>
    <row r="71" spans="2:19">
      <c r="B71" s="11">
        <f t="shared" si="20"/>
        <v>0</v>
      </c>
      <c r="C71" s="1">
        <f t="shared" si="20"/>
        <v>0</v>
      </c>
      <c r="D71" s="1">
        <f t="shared" si="20"/>
        <v>0</v>
      </c>
      <c r="E71" s="1">
        <f t="shared" si="20"/>
        <v>0</v>
      </c>
      <c r="F71" s="1">
        <f t="shared" si="20"/>
        <v>0</v>
      </c>
      <c r="G71" s="1">
        <f t="shared" si="20"/>
        <v>0</v>
      </c>
      <c r="H71" s="1">
        <f t="shared" si="20"/>
        <v>-4382.8988617585992</v>
      </c>
      <c r="I71" s="1">
        <f t="shared" si="20"/>
        <v>-466.12313832015661</v>
      </c>
      <c r="J71" s="1">
        <f t="shared" si="20"/>
        <v>1626.4008783113393</v>
      </c>
      <c r="K71" s="1">
        <f t="shared" si="20"/>
        <v>3485.144739238584</v>
      </c>
      <c r="L71" s="1">
        <f t="shared" si="20"/>
        <v>2756.4979834472601</v>
      </c>
      <c r="M71" s="1">
        <f t="shared" si="20"/>
        <v>-3019.0216009184273</v>
      </c>
      <c r="N71" s="1">
        <f t="shared" si="20"/>
        <v>0</v>
      </c>
      <c r="O71" s="1">
        <f t="shared" si="20"/>
        <v>0</v>
      </c>
      <c r="P71" s="1">
        <f t="shared" si="20"/>
        <v>0</v>
      </c>
      <c r="Q71" s="12">
        <f t="shared" si="20"/>
        <v>0</v>
      </c>
      <c r="S71" s="90">
        <f t="shared" si="21"/>
        <v>1.1252844468856438</v>
      </c>
    </row>
    <row r="72" spans="2:19">
      <c r="B72" s="11">
        <f t="shared" si="20"/>
        <v>0</v>
      </c>
      <c r="C72" s="1">
        <f t="shared" si="20"/>
        <v>0</v>
      </c>
      <c r="D72" s="1">
        <f t="shared" si="20"/>
        <v>0</v>
      </c>
      <c r="E72" s="1">
        <f t="shared" si="20"/>
        <v>0</v>
      </c>
      <c r="F72" s="1">
        <f t="shared" si="20"/>
        <v>0</v>
      </c>
      <c r="G72" s="1">
        <f t="shared" si="20"/>
        <v>0</v>
      </c>
      <c r="H72" s="1">
        <f t="shared" si="20"/>
        <v>-144.00173182051958</v>
      </c>
      <c r="I72" s="1">
        <f t="shared" si="20"/>
        <v>-3258.5124030965007</v>
      </c>
      <c r="J72" s="1">
        <f t="shared" si="20"/>
        <v>0</v>
      </c>
      <c r="K72" s="1">
        <f t="shared" si="20"/>
        <v>0</v>
      </c>
      <c r="L72" s="1">
        <f t="shared" si="20"/>
        <v>-2756.4979834472601</v>
      </c>
      <c r="M72" s="1">
        <f t="shared" si="20"/>
        <v>3019.0216009184273</v>
      </c>
      <c r="N72" s="1">
        <f t="shared" si="20"/>
        <v>0</v>
      </c>
      <c r="O72" s="1">
        <f t="shared" si="20"/>
        <v>0</v>
      </c>
      <c r="P72" s="1">
        <f t="shared" si="20"/>
        <v>2900.4997152677797</v>
      </c>
      <c r="Q72" s="12">
        <f t="shared" si="20"/>
        <v>239.49080217807358</v>
      </c>
      <c r="S72" s="90">
        <f t="shared" si="21"/>
        <v>-2.6762939627644755</v>
      </c>
    </row>
    <row r="73" spans="2:19">
      <c r="B73" s="13">
        <f t="shared" si="20"/>
        <v>0</v>
      </c>
      <c r="C73" s="14">
        <f t="shared" si="20"/>
        <v>0</v>
      </c>
      <c r="D73" s="14">
        <f t="shared" si="20"/>
        <v>0</v>
      </c>
      <c r="E73" s="14">
        <f t="shared" si="20"/>
        <v>0</v>
      </c>
      <c r="F73" s="14">
        <f t="shared" si="20"/>
        <v>1547.5839770261648</v>
      </c>
      <c r="G73" s="14">
        <f t="shared" si="20"/>
        <v>3939.3046687938736</v>
      </c>
      <c r="H73" s="14">
        <f t="shared" si="20"/>
        <v>1352.9157382416149</v>
      </c>
      <c r="I73" s="14">
        <f t="shared" si="20"/>
        <v>-3699.8138666158002</v>
      </c>
      <c r="J73" s="14">
        <f t="shared" si="20"/>
        <v>0</v>
      </c>
      <c r="K73" s="14">
        <f t="shared" si="20"/>
        <v>0</v>
      </c>
      <c r="L73" s="14">
        <f t="shared" si="20"/>
        <v>0</v>
      </c>
      <c r="M73" s="14">
        <f t="shared" si="20"/>
        <v>0</v>
      </c>
      <c r="N73" s="14">
        <f t="shared" si="20"/>
        <v>0</v>
      </c>
      <c r="O73" s="14">
        <f t="shared" si="20"/>
        <v>0</v>
      </c>
      <c r="P73" s="14">
        <f t="shared" si="20"/>
        <v>-2900.4997152677797</v>
      </c>
      <c r="Q73" s="15">
        <f t="shared" si="20"/>
        <v>-239.49080217807358</v>
      </c>
      <c r="S73" s="91">
        <f t="shared" si="21"/>
        <v>-5.1473127656720408</v>
      </c>
    </row>
    <row r="74" spans="2:19">
      <c r="B74" s="23"/>
      <c r="C74" s="23"/>
      <c r="D74" s="23"/>
      <c r="E74" s="23"/>
      <c r="F74" s="23"/>
      <c r="G74" s="23"/>
      <c r="H74" s="23"/>
      <c r="I74" s="23"/>
      <c r="J74" s="23"/>
      <c r="K74" s="23"/>
      <c r="L74" s="23"/>
      <c r="M74" s="23"/>
      <c r="N74" s="23"/>
      <c r="O74" s="23"/>
      <c r="P74" s="23"/>
      <c r="Q74" s="23"/>
      <c r="R74" s="23"/>
    </row>
    <row r="75" spans="2:19">
      <c r="B75" s="263" t="s">
        <v>45</v>
      </c>
      <c r="C75" s="264"/>
      <c r="D75" s="264"/>
      <c r="E75" s="264"/>
      <c r="F75" s="264"/>
      <c r="G75" s="264"/>
      <c r="H75" s="264"/>
      <c r="I75" s="264"/>
      <c r="J75" s="264"/>
      <c r="K75" s="264"/>
      <c r="L75" s="264"/>
      <c r="M75" s="264"/>
      <c r="N75" s="264"/>
      <c r="O75" s="264"/>
      <c r="P75" s="264"/>
      <c r="Q75" s="265"/>
      <c r="S75" s="69" t="s">
        <v>46</v>
      </c>
    </row>
    <row r="76" spans="2:19">
      <c r="B76" s="73">
        <f>B42/$L4</f>
        <v>173.64518046526368</v>
      </c>
      <c r="C76" s="74">
        <f t="shared" ref="C76:Q76" si="22">C42/$L4</f>
        <v>-766.9328803882496</v>
      </c>
      <c r="D76" s="74">
        <f t="shared" si="22"/>
        <v>0</v>
      </c>
      <c r="E76" s="74">
        <f t="shared" si="22"/>
        <v>0</v>
      </c>
      <c r="F76" s="74">
        <f t="shared" si="22"/>
        <v>0</v>
      </c>
      <c r="G76" s="74">
        <f t="shared" si="22"/>
        <v>0</v>
      </c>
      <c r="H76" s="74">
        <f t="shared" si="22"/>
        <v>0</v>
      </c>
      <c r="I76" s="74">
        <f t="shared" si="22"/>
        <v>0</v>
      </c>
      <c r="J76" s="74">
        <f t="shared" si="22"/>
        <v>0</v>
      </c>
      <c r="K76" s="74">
        <f t="shared" si="22"/>
        <v>0</v>
      </c>
      <c r="L76" s="74">
        <f t="shared" si="22"/>
        <v>-173.64518046526368</v>
      </c>
      <c r="M76" s="74">
        <f t="shared" si="22"/>
        <v>766.9328803882496</v>
      </c>
      <c r="N76" s="74">
        <f t="shared" si="22"/>
        <v>0</v>
      </c>
      <c r="O76" s="74">
        <f t="shared" si="22"/>
        <v>0</v>
      </c>
      <c r="P76" s="74">
        <f t="shared" si="22"/>
        <v>0</v>
      </c>
      <c r="Q76" s="95">
        <f t="shared" si="22"/>
        <v>0</v>
      </c>
      <c r="S76" s="75">
        <f t="shared" ref="S76:S95" si="23">S42/$L4</f>
        <v>1.0720902913385038</v>
      </c>
    </row>
    <row r="77" spans="2:19">
      <c r="B77" s="76">
        <f t="shared" ref="B77:Q92" si="24">B43/$L5</f>
        <v>0</v>
      </c>
      <c r="C77" s="77">
        <f t="shared" si="24"/>
        <v>0</v>
      </c>
      <c r="D77" s="77">
        <f t="shared" si="24"/>
        <v>0</v>
      </c>
      <c r="E77" s="77">
        <f t="shared" si="24"/>
        <v>0</v>
      </c>
      <c r="F77" s="77">
        <f t="shared" si="24"/>
        <v>0</v>
      </c>
      <c r="G77" s="77">
        <f t="shared" si="24"/>
        <v>0</v>
      </c>
      <c r="H77" s="77">
        <f t="shared" si="24"/>
        <v>638.98067551934821</v>
      </c>
      <c r="I77" s="77">
        <f t="shared" si="24"/>
        <v>583.41713851766576</v>
      </c>
      <c r="J77" s="77">
        <f t="shared" si="24"/>
        <v>0</v>
      </c>
      <c r="K77" s="77">
        <f t="shared" si="24"/>
        <v>0</v>
      </c>
      <c r="L77" s="77">
        <f t="shared" si="24"/>
        <v>-638.98067551934821</v>
      </c>
      <c r="M77" s="77">
        <f t="shared" si="24"/>
        <v>-583.41713851766576</v>
      </c>
      <c r="N77" s="77">
        <f t="shared" si="24"/>
        <v>0</v>
      </c>
      <c r="O77" s="77">
        <f t="shared" si="24"/>
        <v>0</v>
      </c>
      <c r="P77" s="77">
        <f t="shared" si="24"/>
        <v>0</v>
      </c>
      <c r="Q77" s="96">
        <f t="shared" si="24"/>
        <v>0</v>
      </c>
      <c r="S77" s="78">
        <f t="shared" si="23"/>
        <v>-0.1600520345743906</v>
      </c>
    </row>
    <row r="78" spans="2:19">
      <c r="B78" s="76">
        <f t="shared" si="24"/>
        <v>0</v>
      </c>
      <c r="C78" s="77">
        <f t="shared" si="24"/>
        <v>0</v>
      </c>
      <c r="D78" s="77">
        <f t="shared" si="24"/>
        <v>0</v>
      </c>
      <c r="E78" s="77">
        <f t="shared" si="24"/>
        <v>0</v>
      </c>
      <c r="F78" s="77">
        <f t="shared" si="24"/>
        <v>0</v>
      </c>
      <c r="G78" s="77">
        <f t="shared" si="24"/>
        <v>0</v>
      </c>
      <c r="H78" s="77">
        <f t="shared" si="24"/>
        <v>0</v>
      </c>
      <c r="I78" s="77">
        <f t="shared" si="24"/>
        <v>0</v>
      </c>
      <c r="J78" s="77">
        <f t="shared" si="24"/>
        <v>-166.41647003802495</v>
      </c>
      <c r="K78" s="77">
        <f t="shared" si="24"/>
        <v>832.08235019012443</v>
      </c>
      <c r="L78" s="77">
        <f t="shared" si="24"/>
        <v>166.41647003802495</v>
      </c>
      <c r="M78" s="77">
        <f t="shared" si="24"/>
        <v>-832.08235019012443</v>
      </c>
      <c r="N78" s="77">
        <f t="shared" si="24"/>
        <v>0</v>
      </c>
      <c r="O78" s="77">
        <f t="shared" si="24"/>
        <v>0</v>
      </c>
      <c r="P78" s="77">
        <f t="shared" si="24"/>
        <v>0</v>
      </c>
      <c r="Q78" s="96">
        <f t="shared" si="24"/>
        <v>0</v>
      </c>
      <c r="S78" s="78">
        <f t="shared" si="23"/>
        <v>-0.18415827946267765</v>
      </c>
    </row>
    <row r="79" spans="2:19">
      <c r="B79" s="76">
        <f t="shared" si="24"/>
        <v>0</v>
      </c>
      <c r="C79" s="77">
        <f t="shared" si="24"/>
        <v>0</v>
      </c>
      <c r="D79" s="77">
        <f t="shared" si="24"/>
        <v>0</v>
      </c>
      <c r="E79" s="77">
        <f t="shared" si="24"/>
        <v>0</v>
      </c>
      <c r="F79" s="77">
        <f t="shared" si="24"/>
        <v>0</v>
      </c>
      <c r="G79" s="77">
        <f t="shared" si="24"/>
        <v>0</v>
      </c>
      <c r="H79" s="77">
        <f t="shared" si="24"/>
        <v>0</v>
      </c>
      <c r="I79" s="77">
        <f t="shared" si="24"/>
        <v>0</v>
      </c>
      <c r="J79" s="77">
        <f t="shared" si="24"/>
        <v>0</v>
      </c>
      <c r="K79" s="77">
        <f t="shared" si="24"/>
        <v>0</v>
      </c>
      <c r="L79" s="77">
        <f t="shared" si="24"/>
        <v>176.47469581904315</v>
      </c>
      <c r="M79" s="77">
        <f t="shared" si="24"/>
        <v>852.9610297920442</v>
      </c>
      <c r="N79" s="77">
        <f t="shared" si="24"/>
        <v>-176.47469581904315</v>
      </c>
      <c r="O79" s="77">
        <f t="shared" si="24"/>
        <v>-852.9610297920442</v>
      </c>
      <c r="P79" s="77">
        <f t="shared" si="24"/>
        <v>0</v>
      </c>
      <c r="Q79" s="96">
        <f t="shared" si="24"/>
        <v>0</v>
      </c>
      <c r="S79" s="78">
        <f t="shared" si="23"/>
        <v>-0.6716047364766502</v>
      </c>
    </row>
    <row r="80" spans="2:19">
      <c r="B80" s="76">
        <f t="shared" si="24"/>
        <v>0</v>
      </c>
      <c r="C80" s="77">
        <f t="shared" si="24"/>
        <v>0</v>
      </c>
      <c r="D80" s="77">
        <f t="shared" si="24"/>
        <v>0</v>
      </c>
      <c r="E80" s="77">
        <f t="shared" si="24"/>
        <v>0</v>
      </c>
      <c r="F80" s="77">
        <f t="shared" si="24"/>
        <v>0</v>
      </c>
      <c r="G80" s="77">
        <f t="shared" si="24"/>
        <v>0</v>
      </c>
      <c r="H80" s="77">
        <f t="shared" si="24"/>
        <v>0</v>
      </c>
      <c r="I80" s="77">
        <f t="shared" si="24"/>
        <v>0</v>
      </c>
      <c r="J80" s="77">
        <f t="shared" si="24"/>
        <v>0</v>
      </c>
      <c r="K80" s="77">
        <f t="shared" si="24"/>
        <v>0</v>
      </c>
      <c r="L80" s="77">
        <f t="shared" si="24"/>
        <v>-648.84292280610339</v>
      </c>
      <c r="M80" s="77">
        <f t="shared" si="24"/>
        <v>551.27255847435902</v>
      </c>
      <c r="N80" s="77">
        <f t="shared" si="24"/>
        <v>0</v>
      </c>
      <c r="O80" s="77">
        <f t="shared" si="24"/>
        <v>0</v>
      </c>
      <c r="P80" s="77">
        <f t="shared" si="24"/>
        <v>648.84292280610339</v>
      </c>
      <c r="Q80" s="96">
        <f t="shared" si="24"/>
        <v>-551.27255847435902</v>
      </c>
      <c r="S80" s="78">
        <f t="shared" si="23"/>
        <v>-0.33639969666472164</v>
      </c>
    </row>
    <row r="81" spans="2:52">
      <c r="B81" s="76">
        <f t="shared" si="24"/>
        <v>521.73990170246316</v>
      </c>
      <c r="C81" s="77">
        <f t="shared" si="24"/>
        <v>-695.65320226995129</v>
      </c>
      <c r="D81" s="77">
        <f t="shared" si="24"/>
        <v>0</v>
      </c>
      <c r="E81" s="77">
        <f t="shared" si="24"/>
        <v>0</v>
      </c>
      <c r="F81" s="77">
        <f t="shared" si="24"/>
        <v>0</v>
      </c>
      <c r="G81" s="77">
        <f t="shared" si="24"/>
        <v>0</v>
      </c>
      <c r="H81" s="77">
        <f t="shared" si="24"/>
        <v>0</v>
      </c>
      <c r="I81" s="77">
        <f t="shared" si="24"/>
        <v>0</v>
      </c>
      <c r="J81" s="77">
        <f t="shared" si="24"/>
        <v>0</v>
      </c>
      <c r="K81" s="77">
        <f t="shared" si="24"/>
        <v>0</v>
      </c>
      <c r="L81" s="77">
        <f t="shared" si="24"/>
        <v>0</v>
      </c>
      <c r="M81" s="77">
        <f t="shared" si="24"/>
        <v>0</v>
      </c>
      <c r="N81" s="77">
        <f t="shared" si="24"/>
        <v>-521.73990170246316</v>
      </c>
      <c r="O81" s="77">
        <f t="shared" si="24"/>
        <v>695.65320226995129</v>
      </c>
      <c r="P81" s="77">
        <f t="shared" si="24"/>
        <v>0</v>
      </c>
      <c r="Q81" s="96">
        <f t="shared" si="24"/>
        <v>0</v>
      </c>
      <c r="S81" s="78">
        <f t="shared" si="23"/>
        <v>1.4782630548232902</v>
      </c>
    </row>
    <row r="82" spans="2:52">
      <c r="B82" s="76">
        <f t="shared" si="24"/>
        <v>0</v>
      </c>
      <c r="C82" s="77">
        <f t="shared" si="24"/>
        <v>0</v>
      </c>
      <c r="D82" s="77">
        <f t="shared" si="24"/>
        <v>0</v>
      </c>
      <c r="E82" s="77">
        <f t="shared" si="24"/>
        <v>0</v>
      </c>
      <c r="F82" s="77">
        <f t="shared" si="24"/>
        <v>0</v>
      </c>
      <c r="G82" s="77">
        <f t="shared" si="24"/>
        <v>0</v>
      </c>
      <c r="H82" s="77">
        <f t="shared" si="24"/>
        <v>0</v>
      </c>
      <c r="I82" s="77">
        <f t="shared" si="24"/>
        <v>0</v>
      </c>
      <c r="J82" s="77">
        <f t="shared" si="24"/>
        <v>0</v>
      </c>
      <c r="K82" s="77">
        <f t="shared" si="24"/>
        <v>0</v>
      </c>
      <c r="L82" s="77">
        <f t="shared" si="24"/>
        <v>0</v>
      </c>
      <c r="M82" s="77">
        <f t="shared" si="24"/>
        <v>0</v>
      </c>
      <c r="N82" s="77">
        <f t="shared" si="24"/>
        <v>-841.48805187020355</v>
      </c>
      <c r="O82" s="77">
        <f t="shared" si="24"/>
        <v>-165.20010834261663</v>
      </c>
      <c r="P82" s="77">
        <f t="shared" si="24"/>
        <v>841.48805187020355</v>
      </c>
      <c r="Q82" s="96">
        <f t="shared" si="24"/>
        <v>165.20010834261663</v>
      </c>
      <c r="S82" s="78">
        <f t="shared" si="23"/>
        <v>-0.33581848764424016</v>
      </c>
    </row>
    <row r="83" spans="2:52">
      <c r="B83" s="76">
        <f t="shared" si="24"/>
        <v>0</v>
      </c>
      <c r="C83" s="77">
        <f t="shared" si="24"/>
        <v>0</v>
      </c>
      <c r="D83" s="77">
        <f t="shared" si="24"/>
        <v>0</v>
      </c>
      <c r="E83" s="77">
        <f t="shared" si="24"/>
        <v>0</v>
      </c>
      <c r="F83" s="77">
        <f t="shared" si="24"/>
        <v>0</v>
      </c>
      <c r="G83" s="77">
        <f t="shared" si="24"/>
        <v>0</v>
      </c>
      <c r="H83" s="77">
        <f t="shared" si="24"/>
        <v>0</v>
      </c>
      <c r="I83" s="77">
        <f t="shared" si="24"/>
        <v>0</v>
      </c>
      <c r="J83" s="77">
        <f t="shared" si="24"/>
        <v>0</v>
      </c>
      <c r="K83" s="77">
        <f t="shared" si="24"/>
        <v>0</v>
      </c>
      <c r="L83" s="77">
        <f t="shared" si="24"/>
        <v>176.47446524834157</v>
      </c>
      <c r="M83" s="77">
        <f t="shared" si="24"/>
        <v>852.95991536698421</v>
      </c>
      <c r="N83" s="77">
        <f t="shared" si="24"/>
        <v>-176.47446524834157</v>
      </c>
      <c r="O83" s="77">
        <f t="shared" si="24"/>
        <v>-852.95991536698421</v>
      </c>
      <c r="P83" s="77">
        <f t="shared" si="24"/>
        <v>0</v>
      </c>
      <c r="Q83" s="96">
        <f t="shared" si="24"/>
        <v>0</v>
      </c>
      <c r="S83" s="78">
        <f t="shared" si="23"/>
        <v>-1.978140759279263</v>
      </c>
    </row>
    <row r="84" spans="2:52">
      <c r="B84" s="76">
        <f t="shared" si="24"/>
        <v>0</v>
      </c>
      <c r="C84" s="77">
        <f t="shared" si="24"/>
        <v>0</v>
      </c>
      <c r="D84" s="77">
        <f t="shared" si="24"/>
        <v>0</v>
      </c>
      <c r="E84" s="77">
        <f t="shared" si="24"/>
        <v>0</v>
      </c>
      <c r="F84" s="77">
        <f t="shared" si="24"/>
        <v>0</v>
      </c>
      <c r="G84" s="77">
        <f t="shared" si="24"/>
        <v>0</v>
      </c>
      <c r="H84" s="77">
        <f t="shared" si="24"/>
        <v>0</v>
      </c>
      <c r="I84" s="77">
        <f t="shared" si="24"/>
        <v>0</v>
      </c>
      <c r="J84" s="77">
        <f t="shared" si="24"/>
        <v>-11.835306213935887</v>
      </c>
      <c r="K84" s="77">
        <f t="shared" si="24"/>
        <v>757.45959769190199</v>
      </c>
      <c r="L84" s="77">
        <f t="shared" si="24"/>
        <v>0</v>
      </c>
      <c r="M84" s="77">
        <f t="shared" si="24"/>
        <v>0</v>
      </c>
      <c r="N84" s="77">
        <f t="shared" si="24"/>
        <v>11.835306213935887</v>
      </c>
      <c r="O84" s="77">
        <f t="shared" si="24"/>
        <v>-757.45959769190199</v>
      </c>
      <c r="P84" s="77">
        <f t="shared" si="24"/>
        <v>0</v>
      </c>
      <c r="Q84" s="96">
        <f t="shared" si="24"/>
        <v>0</v>
      </c>
      <c r="S84" s="78">
        <f t="shared" si="23"/>
        <v>-1.6968286483066162</v>
      </c>
    </row>
    <row r="85" spans="2:52">
      <c r="B85" s="76">
        <f t="shared" si="24"/>
        <v>-697.27484023486136</v>
      </c>
      <c r="C85" s="77">
        <f t="shared" si="24"/>
        <v>-370.89087246535183</v>
      </c>
      <c r="D85" s="77">
        <f t="shared" si="24"/>
        <v>697.27484023486136</v>
      </c>
      <c r="E85" s="77">
        <f t="shared" si="24"/>
        <v>370.89087246535183</v>
      </c>
      <c r="F85" s="77">
        <f t="shared" si="24"/>
        <v>0</v>
      </c>
      <c r="G85" s="77">
        <f t="shared" si="24"/>
        <v>0</v>
      </c>
      <c r="H85" s="77">
        <f t="shared" si="24"/>
        <v>0</v>
      </c>
      <c r="I85" s="77">
        <f t="shared" si="24"/>
        <v>0</v>
      </c>
      <c r="J85" s="77">
        <f t="shared" si="24"/>
        <v>0</v>
      </c>
      <c r="K85" s="77">
        <f t="shared" si="24"/>
        <v>0</v>
      </c>
      <c r="L85" s="77">
        <f t="shared" si="24"/>
        <v>0</v>
      </c>
      <c r="M85" s="77">
        <f t="shared" si="24"/>
        <v>0</v>
      </c>
      <c r="N85" s="77">
        <f t="shared" si="24"/>
        <v>0</v>
      </c>
      <c r="O85" s="77">
        <f t="shared" si="24"/>
        <v>0</v>
      </c>
      <c r="P85" s="77">
        <f t="shared" si="24"/>
        <v>0</v>
      </c>
      <c r="Q85" s="96">
        <f t="shared" si="24"/>
        <v>0</v>
      </c>
      <c r="S85" s="78">
        <f t="shared" si="23"/>
        <v>0.81590904399141762</v>
      </c>
    </row>
    <row r="86" spans="2:52">
      <c r="B86" s="76">
        <f t="shared" si="24"/>
        <v>-370.45686357928031</v>
      </c>
      <c r="C86" s="77">
        <f t="shared" si="24"/>
        <v>-771.36223649384431</v>
      </c>
      <c r="D86" s="77">
        <f t="shared" si="24"/>
        <v>0</v>
      </c>
      <c r="E86" s="77">
        <f t="shared" si="24"/>
        <v>0</v>
      </c>
      <c r="F86" s="77">
        <f t="shared" si="24"/>
        <v>0</v>
      </c>
      <c r="G86" s="77">
        <f t="shared" si="24"/>
        <v>0</v>
      </c>
      <c r="H86" s="77">
        <f t="shared" si="24"/>
        <v>0</v>
      </c>
      <c r="I86" s="77">
        <f t="shared" si="24"/>
        <v>0</v>
      </c>
      <c r="J86" s="77">
        <f t="shared" si="24"/>
        <v>0</v>
      </c>
      <c r="K86" s="77">
        <f t="shared" si="24"/>
        <v>0</v>
      </c>
      <c r="L86" s="77">
        <f t="shared" si="24"/>
        <v>0</v>
      </c>
      <c r="M86" s="77">
        <f t="shared" si="24"/>
        <v>0</v>
      </c>
      <c r="N86" s="77">
        <f t="shared" si="24"/>
        <v>0</v>
      </c>
      <c r="O86" s="77">
        <f t="shared" si="24"/>
        <v>0</v>
      </c>
      <c r="P86" s="77">
        <f t="shared" si="24"/>
        <v>370.45686357928031</v>
      </c>
      <c r="Q86" s="96">
        <f t="shared" si="24"/>
        <v>771.36223649384431</v>
      </c>
      <c r="S86" s="78">
        <f t="shared" si="23"/>
        <v>-0.53351335382268084</v>
      </c>
    </row>
    <row r="87" spans="2:52">
      <c r="B87" s="76">
        <f t="shared" si="24"/>
        <v>173.64492103006583</v>
      </c>
      <c r="C87" s="77">
        <f t="shared" si="24"/>
        <v>-766.93173454945793</v>
      </c>
      <c r="D87" s="77">
        <f t="shared" si="24"/>
        <v>0</v>
      </c>
      <c r="E87" s="77">
        <f t="shared" si="24"/>
        <v>0</v>
      </c>
      <c r="F87" s="77">
        <f t="shared" si="24"/>
        <v>0</v>
      </c>
      <c r="G87" s="77">
        <f t="shared" si="24"/>
        <v>0</v>
      </c>
      <c r="H87" s="77">
        <f t="shared" si="24"/>
        <v>0</v>
      </c>
      <c r="I87" s="77">
        <f t="shared" si="24"/>
        <v>0</v>
      </c>
      <c r="J87" s="77">
        <f t="shared" si="24"/>
        <v>0</v>
      </c>
      <c r="K87" s="77">
        <f t="shared" si="24"/>
        <v>0</v>
      </c>
      <c r="L87" s="77">
        <f t="shared" si="24"/>
        <v>-173.64492103006583</v>
      </c>
      <c r="M87" s="77">
        <f t="shared" si="24"/>
        <v>766.93173454945793</v>
      </c>
      <c r="N87" s="77">
        <f t="shared" si="24"/>
        <v>0</v>
      </c>
      <c r="O87" s="77">
        <f t="shared" si="24"/>
        <v>0</v>
      </c>
      <c r="P87" s="77">
        <f t="shared" si="24"/>
        <v>0</v>
      </c>
      <c r="Q87" s="96">
        <f t="shared" si="24"/>
        <v>0</v>
      </c>
      <c r="S87" s="78">
        <f t="shared" si="23"/>
        <v>-0.42196485932803818</v>
      </c>
    </row>
    <row r="88" spans="2:52">
      <c r="B88" s="76">
        <f t="shared" si="24"/>
        <v>0</v>
      </c>
      <c r="C88" s="77">
        <f t="shared" si="24"/>
        <v>0</v>
      </c>
      <c r="D88" s="77">
        <f t="shared" si="24"/>
        <v>454.04154002104235</v>
      </c>
      <c r="E88" s="77">
        <f t="shared" si="24"/>
        <v>-618.00098502864137</v>
      </c>
      <c r="F88" s="77">
        <f t="shared" si="24"/>
        <v>0</v>
      </c>
      <c r="G88" s="77">
        <f t="shared" si="24"/>
        <v>0</v>
      </c>
      <c r="H88" s="77">
        <f t="shared" si="24"/>
        <v>-454.04154002104235</v>
      </c>
      <c r="I88" s="77">
        <f t="shared" si="24"/>
        <v>618.00098502864137</v>
      </c>
      <c r="J88" s="77">
        <f t="shared" si="24"/>
        <v>0</v>
      </c>
      <c r="K88" s="77">
        <f t="shared" si="24"/>
        <v>0</v>
      </c>
      <c r="L88" s="77">
        <f t="shared" si="24"/>
        <v>0</v>
      </c>
      <c r="M88" s="77">
        <f t="shared" si="24"/>
        <v>0</v>
      </c>
      <c r="N88" s="77">
        <f t="shared" si="24"/>
        <v>0</v>
      </c>
      <c r="O88" s="77">
        <f t="shared" si="24"/>
        <v>0</v>
      </c>
      <c r="P88" s="77">
        <f t="shared" si="24"/>
        <v>0</v>
      </c>
      <c r="Q88" s="96">
        <f t="shared" si="24"/>
        <v>0</v>
      </c>
      <c r="S88" s="78">
        <f t="shared" si="23"/>
        <v>0.76860475342295187</v>
      </c>
    </row>
    <row r="89" spans="2:52">
      <c r="B89" s="76">
        <f t="shared" si="24"/>
        <v>0</v>
      </c>
      <c r="C89" s="77">
        <f t="shared" si="24"/>
        <v>0</v>
      </c>
      <c r="D89" s="77">
        <f t="shared" si="24"/>
        <v>847.24648250292421</v>
      </c>
      <c r="E89" s="77">
        <f t="shared" si="24"/>
        <v>-141.20774708382086</v>
      </c>
      <c r="F89" s="77">
        <f t="shared" si="24"/>
        <v>0</v>
      </c>
      <c r="G89" s="77">
        <f t="shared" si="24"/>
        <v>0</v>
      </c>
      <c r="H89" s="77">
        <f t="shared" si="24"/>
        <v>0</v>
      </c>
      <c r="I89" s="77">
        <f t="shared" si="24"/>
        <v>0</v>
      </c>
      <c r="J89" s="77">
        <f t="shared" si="24"/>
        <v>0</v>
      </c>
      <c r="K89" s="77">
        <f t="shared" si="24"/>
        <v>0</v>
      </c>
      <c r="L89" s="77">
        <f t="shared" si="24"/>
        <v>0</v>
      </c>
      <c r="M89" s="77">
        <f t="shared" si="24"/>
        <v>0</v>
      </c>
      <c r="N89" s="77">
        <f t="shared" si="24"/>
        <v>0</v>
      </c>
      <c r="O89" s="77">
        <f t="shared" si="24"/>
        <v>0</v>
      </c>
      <c r="P89" s="77">
        <f t="shared" si="24"/>
        <v>-847.24648250292421</v>
      </c>
      <c r="Q89" s="96">
        <f t="shared" si="24"/>
        <v>141.20774708382086</v>
      </c>
      <c r="S89" s="78">
        <f t="shared" si="23"/>
        <v>-0.2677139708583175</v>
      </c>
    </row>
    <row r="90" spans="2:52">
      <c r="B90" s="76">
        <f t="shared" si="24"/>
        <v>0</v>
      </c>
      <c r="C90" s="77">
        <f t="shared" si="24"/>
        <v>0</v>
      </c>
      <c r="D90" s="77">
        <f t="shared" si="24"/>
        <v>172.51455479804463</v>
      </c>
      <c r="E90" s="77">
        <f t="shared" si="24"/>
        <v>-819.4441352907121</v>
      </c>
      <c r="F90" s="77">
        <f t="shared" si="24"/>
        <v>-172.51455479804463</v>
      </c>
      <c r="G90" s="77">
        <f t="shared" si="24"/>
        <v>819.4441352907121</v>
      </c>
      <c r="H90" s="77">
        <f t="shared" si="24"/>
        <v>0</v>
      </c>
      <c r="I90" s="77">
        <f t="shared" si="24"/>
        <v>0</v>
      </c>
      <c r="J90" s="77">
        <f t="shared" si="24"/>
        <v>0</v>
      </c>
      <c r="K90" s="77">
        <f t="shared" si="24"/>
        <v>0</v>
      </c>
      <c r="L90" s="77">
        <f t="shared" si="24"/>
        <v>0</v>
      </c>
      <c r="M90" s="77">
        <f t="shared" si="24"/>
        <v>0</v>
      </c>
      <c r="N90" s="77">
        <f t="shared" si="24"/>
        <v>0</v>
      </c>
      <c r="O90" s="77">
        <f t="shared" si="24"/>
        <v>0</v>
      </c>
      <c r="P90" s="77">
        <f t="shared" si="24"/>
        <v>0</v>
      </c>
      <c r="Q90" s="96">
        <f t="shared" si="24"/>
        <v>0</v>
      </c>
      <c r="S90" s="78">
        <f t="shared" si="23"/>
        <v>1.6567165802872754</v>
      </c>
    </row>
    <row r="91" spans="2:52">
      <c r="B91" s="76">
        <f t="shared" si="24"/>
        <v>0</v>
      </c>
      <c r="C91" s="77">
        <f t="shared" si="24"/>
        <v>0</v>
      </c>
      <c r="D91" s="77">
        <f t="shared" si="24"/>
        <v>0</v>
      </c>
      <c r="E91" s="77">
        <f t="shared" si="24"/>
        <v>0</v>
      </c>
      <c r="F91" s="77">
        <f t="shared" si="24"/>
        <v>809.05596506061408</v>
      </c>
      <c r="G91" s="77">
        <f t="shared" si="24"/>
        <v>-317.84341484524151</v>
      </c>
      <c r="H91" s="77">
        <f t="shared" si="24"/>
        <v>-809.05596506061408</v>
      </c>
      <c r="I91" s="77">
        <f t="shared" si="24"/>
        <v>317.84341484524151</v>
      </c>
      <c r="J91" s="77">
        <f t="shared" si="24"/>
        <v>0</v>
      </c>
      <c r="K91" s="77">
        <f t="shared" si="24"/>
        <v>0</v>
      </c>
      <c r="L91" s="77">
        <f t="shared" si="24"/>
        <v>0</v>
      </c>
      <c r="M91" s="77">
        <f t="shared" si="24"/>
        <v>0</v>
      </c>
      <c r="N91" s="77">
        <f t="shared" si="24"/>
        <v>0</v>
      </c>
      <c r="O91" s="77">
        <f t="shared" si="24"/>
        <v>0</v>
      </c>
      <c r="P91" s="77">
        <f t="shared" si="24"/>
        <v>0</v>
      </c>
      <c r="Q91" s="96">
        <f t="shared" si="24"/>
        <v>0</v>
      </c>
      <c r="S91" s="78">
        <f t="shared" si="23"/>
        <v>-0.53062084961924394</v>
      </c>
      <c r="U91" s="257" t="s">
        <v>47</v>
      </c>
      <c r="V91" s="258"/>
      <c r="W91" s="258"/>
      <c r="X91" s="258"/>
      <c r="Y91" s="258"/>
      <c r="Z91" s="258"/>
      <c r="AA91" s="258"/>
      <c r="AB91" s="258"/>
      <c r="AC91" s="258"/>
      <c r="AD91" s="258"/>
      <c r="AE91" s="258"/>
      <c r="AF91" s="258"/>
      <c r="AG91" s="258"/>
      <c r="AH91" s="258"/>
      <c r="AI91" s="258"/>
      <c r="AJ91" s="258"/>
      <c r="AK91" s="258"/>
      <c r="AL91" s="258"/>
      <c r="AM91" s="258"/>
      <c r="AN91" s="258"/>
      <c r="AO91" s="258"/>
      <c r="AP91" s="258"/>
      <c r="AQ91" s="258"/>
      <c r="AR91" s="258"/>
      <c r="AS91" s="258"/>
      <c r="AT91" s="258"/>
      <c r="AU91" s="258"/>
      <c r="AV91" s="258"/>
      <c r="AW91" s="258"/>
      <c r="AX91" s="258"/>
      <c r="AY91" s="258"/>
      <c r="AZ91" s="259"/>
    </row>
    <row r="92" spans="2:52">
      <c r="B92" s="76">
        <f t="shared" si="24"/>
        <v>0</v>
      </c>
      <c r="C92" s="77">
        <f t="shared" si="24"/>
        <v>0</v>
      </c>
      <c r="D92" s="77">
        <f t="shared" si="24"/>
        <v>0</v>
      </c>
      <c r="E92" s="77">
        <f t="shared" si="24"/>
        <v>0</v>
      </c>
      <c r="F92" s="77">
        <f t="shared" si="24"/>
        <v>778.90939264980921</v>
      </c>
      <c r="G92" s="77">
        <f t="shared" si="24"/>
        <v>152.72733189211928</v>
      </c>
      <c r="H92" s="77">
        <f t="shared" si="24"/>
        <v>0</v>
      </c>
      <c r="I92" s="77">
        <f t="shared" si="24"/>
        <v>0</v>
      </c>
      <c r="J92" s="77">
        <f t="shared" si="24"/>
        <v>0</v>
      </c>
      <c r="K92" s="77">
        <f t="shared" si="24"/>
        <v>0</v>
      </c>
      <c r="L92" s="77">
        <f t="shared" si="24"/>
        <v>-778.90939264980921</v>
      </c>
      <c r="M92" s="77">
        <f t="shared" si="24"/>
        <v>-152.72733189211928</v>
      </c>
      <c r="N92" s="77">
        <f t="shared" si="24"/>
        <v>0</v>
      </c>
      <c r="O92" s="77">
        <f t="shared" si="24"/>
        <v>0</v>
      </c>
      <c r="P92" s="77">
        <f t="shared" si="24"/>
        <v>0</v>
      </c>
      <c r="Q92" s="96">
        <f t="shared" ref="Q92" si="25">Q58/$L20</f>
        <v>0</v>
      </c>
      <c r="S92" s="78">
        <f t="shared" si="23"/>
        <v>-0.29431637022142798</v>
      </c>
      <c r="U92" s="8" cm="1">
        <f t="array" ref="U92:AZ107">TRANSPOSE(B76:Q107)</f>
        <v>173.64518046526368</v>
      </c>
      <c r="V92" s="9">
        <v>0</v>
      </c>
      <c r="W92" s="9">
        <v>0</v>
      </c>
      <c r="X92" s="9">
        <v>0</v>
      </c>
      <c r="Y92" s="9">
        <v>0</v>
      </c>
      <c r="Z92" s="9">
        <v>521.73990170246316</v>
      </c>
      <c r="AA92" s="9">
        <v>0</v>
      </c>
      <c r="AB92" s="9">
        <v>0</v>
      </c>
      <c r="AC92" s="9">
        <v>0</v>
      </c>
      <c r="AD92" s="9">
        <v>-697.27484023486136</v>
      </c>
      <c r="AE92" s="9">
        <v>-370.45686357928031</v>
      </c>
      <c r="AF92" s="9">
        <v>173.64492103006583</v>
      </c>
      <c r="AG92" s="9">
        <v>0</v>
      </c>
      <c r="AH92" s="9">
        <v>0</v>
      </c>
      <c r="AI92" s="9">
        <v>0</v>
      </c>
      <c r="AJ92" s="9">
        <v>0</v>
      </c>
      <c r="AK92" s="9">
        <v>0</v>
      </c>
      <c r="AL92" s="9">
        <v>0</v>
      </c>
      <c r="AM92" s="9">
        <v>0</v>
      </c>
      <c r="AN92" s="9">
        <v>0</v>
      </c>
      <c r="AO92" s="65">
        <v>-1134.4354025237385</v>
      </c>
      <c r="AP92" s="65">
        <v>0</v>
      </c>
      <c r="AQ92" s="65">
        <v>0</v>
      </c>
      <c r="AR92" s="65">
        <v>0</v>
      </c>
      <c r="AS92" s="65">
        <v>0</v>
      </c>
      <c r="AT92" s="65">
        <v>1134.4354025237385</v>
      </c>
      <c r="AU92" s="65">
        <v>0</v>
      </c>
      <c r="AV92" s="65">
        <v>0</v>
      </c>
      <c r="AW92" s="65">
        <v>0</v>
      </c>
      <c r="AX92" s="65">
        <v>0</v>
      </c>
      <c r="AY92" s="65">
        <v>0</v>
      </c>
      <c r="AZ92" s="66">
        <v>0</v>
      </c>
    </row>
    <row r="93" spans="2:52">
      <c r="B93" s="76">
        <f t="shared" ref="B93:Q95" si="26">B59/$L21</f>
        <v>0</v>
      </c>
      <c r="C93" s="77">
        <f t="shared" si="26"/>
        <v>0</v>
      </c>
      <c r="D93" s="77">
        <f t="shared" si="26"/>
        <v>0</v>
      </c>
      <c r="E93" s="77">
        <f t="shared" si="26"/>
        <v>0</v>
      </c>
      <c r="F93" s="77">
        <f t="shared" si="26"/>
        <v>497.85116079864474</v>
      </c>
      <c r="G93" s="77">
        <f t="shared" si="26"/>
        <v>665.16179680474545</v>
      </c>
      <c r="H93" s="77">
        <f t="shared" si="26"/>
        <v>0</v>
      </c>
      <c r="I93" s="77">
        <f t="shared" si="26"/>
        <v>0</v>
      </c>
      <c r="J93" s="77">
        <f t="shared" si="26"/>
        <v>0</v>
      </c>
      <c r="K93" s="77">
        <f t="shared" si="26"/>
        <v>0</v>
      </c>
      <c r="L93" s="77">
        <f t="shared" si="26"/>
        <v>0</v>
      </c>
      <c r="M93" s="77">
        <f t="shared" si="26"/>
        <v>0</v>
      </c>
      <c r="N93" s="77">
        <f t="shared" si="26"/>
        <v>0</v>
      </c>
      <c r="O93" s="77">
        <f t="shared" si="26"/>
        <v>0</v>
      </c>
      <c r="P93" s="77">
        <f t="shared" si="26"/>
        <v>-497.85116079864474</v>
      </c>
      <c r="Q93" s="96">
        <f t="shared" si="26"/>
        <v>-665.16179680474545</v>
      </c>
      <c r="S93" s="78">
        <f t="shared" si="23"/>
        <v>-0.25072124982567118</v>
      </c>
      <c r="U93" s="11">
        <v>-766.9328803882496</v>
      </c>
      <c r="V93" s="1">
        <v>0</v>
      </c>
      <c r="W93" s="1">
        <v>0</v>
      </c>
      <c r="X93" s="1">
        <v>0</v>
      </c>
      <c r="Y93" s="1">
        <v>0</v>
      </c>
      <c r="Z93" s="1">
        <v>-695.65320226995129</v>
      </c>
      <c r="AA93" s="1">
        <v>0</v>
      </c>
      <c r="AB93" s="1">
        <v>0</v>
      </c>
      <c r="AC93" s="1">
        <v>0</v>
      </c>
      <c r="AD93" s="1">
        <v>-370.89087246535183</v>
      </c>
      <c r="AE93" s="1">
        <v>-771.36223649384431</v>
      </c>
      <c r="AF93" s="1">
        <v>-766.93173454945793</v>
      </c>
      <c r="AG93" s="1">
        <v>0</v>
      </c>
      <c r="AH93" s="1">
        <v>0</v>
      </c>
      <c r="AI93" s="1">
        <v>0</v>
      </c>
      <c r="AJ93" s="1">
        <v>0</v>
      </c>
      <c r="AK93" s="1">
        <v>0</v>
      </c>
      <c r="AL93" s="1">
        <v>0</v>
      </c>
      <c r="AM93" s="1">
        <v>0</v>
      </c>
      <c r="AN93" s="1">
        <v>0</v>
      </c>
      <c r="AO93" s="25">
        <v>544.82752884363754</v>
      </c>
      <c r="AP93" s="25">
        <v>0</v>
      </c>
      <c r="AQ93" s="25">
        <v>0</v>
      </c>
      <c r="AR93" s="25">
        <v>0</v>
      </c>
      <c r="AS93" s="25">
        <v>0</v>
      </c>
      <c r="AT93" s="25">
        <v>-544.82752884363754</v>
      </c>
      <c r="AU93" s="25">
        <v>0</v>
      </c>
      <c r="AV93" s="25">
        <v>0</v>
      </c>
      <c r="AW93" s="25">
        <v>0</v>
      </c>
      <c r="AX93" s="25">
        <v>0</v>
      </c>
      <c r="AY93" s="25">
        <v>0</v>
      </c>
      <c r="AZ93" s="45">
        <v>0</v>
      </c>
    </row>
    <row r="94" spans="2:52">
      <c r="B94" s="76">
        <f t="shared" si="26"/>
        <v>0</v>
      </c>
      <c r="C94" s="77">
        <f t="shared" si="26"/>
        <v>0</v>
      </c>
      <c r="D94" s="77">
        <f t="shared" si="26"/>
        <v>0</v>
      </c>
      <c r="E94" s="77">
        <f t="shared" si="26"/>
        <v>0</v>
      </c>
      <c r="F94" s="77">
        <f t="shared" si="26"/>
        <v>0</v>
      </c>
      <c r="G94" s="77">
        <f t="shared" si="26"/>
        <v>0</v>
      </c>
      <c r="H94" s="77">
        <f t="shared" si="26"/>
        <v>0</v>
      </c>
      <c r="I94" s="77">
        <f t="shared" si="26"/>
        <v>0</v>
      </c>
      <c r="J94" s="77">
        <f t="shared" si="26"/>
        <v>-377.87887706154999</v>
      </c>
      <c r="K94" s="77">
        <f t="shared" si="26"/>
        <v>647.79236067694364</v>
      </c>
      <c r="L94" s="77">
        <f t="shared" si="26"/>
        <v>0</v>
      </c>
      <c r="M94" s="77">
        <f t="shared" si="26"/>
        <v>0</v>
      </c>
      <c r="N94" s="77">
        <f t="shared" si="26"/>
        <v>0</v>
      </c>
      <c r="O94" s="77">
        <f t="shared" si="26"/>
        <v>0</v>
      </c>
      <c r="P94" s="77">
        <f t="shared" si="26"/>
        <v>377.87887706154999</v>
      </c>
      <c r="Q94" s="96">
        <f t="shared" si="26"/>
        <v>-647.79236067694364</v>
      </c>
      <c r="S94" s="78">
        <f t="shared" si="23"/>
        <v>-0.55815387468236111</v>
      </c>
      <c r="U94" s="11">
        <v>0</v>
      </c>
      <c r="V94" s="1">
        <v>0</v>
      </c>
      <c r="W94" s="1">
        <v>0</v>
      </c>
      <c r="X94" s="1">
        <v>0</v>
      </c>
      <c r="Y94" s="1">
        <v>0</v>
      </c>
      <c r="Z94" s="1">
        <v>0</v>
      </c>
      <c r="AA94" s="1">
        <v>0</v>
      </c>
      <c r="AB94" s="1">
        <v>0</v>
      </c>
      <c r="AC94" s="1">
        <v>0</v>
      </c>
      <c r="AD94" s="1">
        <v>697.27484023486136</v>
      </c>
      <c r="AE94" s="1">
        <v>0</v>
      </c>
      <c r="AF94" s="1">
        <v>0</v>
      </c>
      <c r="AG94" s="1">
        <v>454.04154002104235</v>
      </c>
      <c r="AH94" s="1">
        <v>847.24648250292421</v>
      </c>
      <c r="AI94" s="1">
        <v>172.51455479804463</v>
      </c>
      <c r="AJ94" s="1">
        <v>0</v>
      </c>
      <c r="AK94" s="1">
        <v>0</v>
      </c>
      <c r="AL94" s="1">
        <v>0</v>
      </c>
      <c r="AM94" s="1">
        <v>0</v>
      </c>
      <c r="AN94" s="1">
        <v>0</v>
      </c>
      <c r="AO94" s="25">
        <v>212.41900979899276</v>
      </c>
      <c r="AP94" s="25">
        <v>-212.41900979899276</v>
      </c>
      <c r="AQ94" s="25">
        <v>0</v>
      </c>
      <c r="AR94" s="25">
        <v>0</v>
      </c>
      <c r="AS94" s="25">
        <v>0</v>
      </c>
      <c r="AT94" s="25">
        <v>0</v>
      </c>
      <c r="AU94" s="25">
        <v>0</v>
      </c>
      <c r="AV94" s="25">
        <v>0</v>
      </c>
      <c r="AW94" s="25">
        <v>0</v>
      </c>
      <c r="AX94" s="25">
        <v>0</v>
      </c>
      <c r="AY94" s="25">
        <v>0</v>
      </c>
      <c r="AZ94" s="45">
        <v>0</v>
      </c>
    </row>
    <row r="95" spans="2:52">
      <c r="B95" s="79">
        <f t="shared" si="26"/>
        <v>0</v>
      </c>
      <c r="C95" s="80">
        <f t="shared" si="26"/>
        <v>0</v>
      </c>
      <c r="D95" s="80">
        <f t="shared" si="26"/>
        <v>0</v>
      </c>
      <c r="E95" s="80">
        <f t="shared" si="26"/>
        <v>0</v>
      </c>
      <c r="F95" s="80">
        <f t="shared" si="26"/>
        <v>0</v>
      </c>
      <c r="G95" s="80">
        <f t="shared" si="26"/>
        <v>0</v>
      </c>
      <c r="H95" s="80">
        <f t="shared" si="26"/>
        <v>777.48723324987918</v>
      </c>
      <c r="I95" s="80">
        <f t="shared" si="26"/>
        <v>-362.8273755166108</v>
      </c>
      <c r="J95" s="80">
        <f t="shared" si="26"/>
        <v>-777.48723324987918</v>
      </c>
      <c r="K95" s="80">
        <f t="shared" si="26"/>
        <v>362.8273755166108</v>
      </c>
      <c r="L95" s="80">
        <f t="shared" si="26"/>
        <v>0</v>
      </c>
      <c r="M95" s="80">
        <f t="shared" si="26"/>
        <v>0</v>
      </c>
      <c r="N95" s="80">
        <f t="shared" si="26"/>
        <v>0</v>
      </c>
      <c r="O95" s="80">
        <f t="shared" si="26"/>
        <v>0</v>
      </c>
      <c r="P95" s="80">
        <f t="shared" si="26"/>
        <v>0</v>
      </c>
      <c r="Q95" s="97">
        <f t="shared" si="26"/>
        <v>0</v>
      </c>
      <c r="S95" s="81">
        <f t="shared" si="23"/>
        <v>1.2471364639082727</v>
      </c>
      <c r="U95" s="11">
        <v>0</v>
      </c>
      <c r="V95" s="1">
        <v>0</v>
      </c>
      <c r="W95" s="1">
        <v>0</v>
      </c>
      <c r="X95" s="1">
        <v>0</v>
      </c>
      <c r="Y95" s="1">
        <v>0</v>
      </c>
      <c r="Z95" s="1">
        <v>0</v>
      </c>
      <c r="AA95" s="1">
        <v>0</v>
      </c>
      <c r="AB95" s="1">
        <v>0</v>
      </c>
      <c r="AC95" s="1">
        <v>0</v>
      </c>
      <c r="AD95" s="1">
        <v>370.89087246535183</v>
      </c>
      <c r="AE95" s="1">
        <v>0</v>
      </c>
      <c r="AF95" s="1">
        <v>0</v>
      </c>
      <c r="AG95" s="1">
        <v>-618.00098502864137</v>
      </c>
      <c r="AH95" s="1">
        <v>-141.20774708382086</v>
      </c>
      <c r="AI95" s="1">
        <v>-819.4441352907121</v>
      </c>
      <c r="AJ95" s="1">
        <v>0</v>
      </c>
      <c r="AK95" s="1">
        <v>0</v>
      </c>
      <c r="AL95" s="1">
        <v>0</v>
      </c>
      <c r="AM95" s="1">
        <v>0</v>
      </c>
      <c r="AN95" s="1">
        <v>0</v>
      </c>
      <c r="AO95" s="25">
        <v>1274.5140587939566</v>
      </c>
      <c r="AP95" s="25">
        <v>-1274.5140587939566</v>
      </c>
      <c r="AQ95" s="25">
        <v>0</v>
      </c>
      <c r="AR95" s="25">
        <v>0</v>
      </c>
      <c r="AS95" s="25">
        <v>0</v>
      </c>
      <c r="AT95" s="25">
        <v>0</v>
      </c>
      <c r="AU95" s="25">
        <v>0</v>
      </c>
      <c r="AV95" s="25">
        <v>0</v>
      </c>
      <c r="AW95" s="25">
        <v>0</v>
      </c>
      <c r="AX95" s="25">
        <v>0</v>
      </c>
      <c r="AY95" s="25">
        <v>0</v>
      </c>
      <c r="AZ95" s="45">
        <v>0</v>
      </c>
    </row>
    <row r="96" spans="2:52">
      <c r="B96" s="82">
        <f t="shared" ref="B96:Q107" si="27">B62/$O26</f>
        <v>-1134.4354025237385</v>
      </c>
      <c r="C96" s="83">
        <f t="shared" si="27"/>
        <v>544.82752884363754</v>
      </c>
      <c r="D96" s="83">
        <f t="shared" si="27"/>
        <v>212.41900979899276</v>
      </c>
      <c r="E96" s="83">
        <f t="shared" si="27"/>
        <v>1274.5140587939566</v>
      </c>
      <c r="F96" s="83">
        <f t="shared" si="27"/>
        <v>0</v>
      </c>
      <c r="G96" s="83">
        <f t="shared" si="27"/>
        <v>0</v>
      </c>
      <c r="H96" s="83">
        <f t="shared" si="27"/>
        <v>0</v>
      </c>
      <c r="I96" s="83">
        <f t="shared" si="27"/>
        <v>0</v>
      </c>
      <c r="J96" s="83">
        <f t="shared" si="27"/>
        <v>0</v>
      </c>
      <c r="K96" s="83">
        <f t="shared" si="27"/>
        <v>0</v>
      </c>
      <c r="L96" s="83">
        <f t="shared" si="27"/>
        <v>0</v>
      </c>
      <c r="M96" s="83">
        <f t="shared" si="27"/>
        <v>0</v>
      </c>
      <c r="N96" s="83">
        <f t="shared" si="27"/>
        <v>0</v>
      </c>
      <c r="O96" s="83">
        <f t="shared" si="27"/>
        <v>0</v>
      </c>
      <c r="P96" s="83">
        <f t="shared" si="27"/>
        <v>922.01639272474574</v>
      </c>
      <c r="Q96" s="120">
        <f t="shared" si="27"/>
        <v>-1819.3415876375941</v>
      </c>
      <c r="S96" s="75">
        <f t="shared" ref="S96:S107" si="28">S62/$O26</f>
        <v>2.0991733701691828</v>
      </c>
      <c r="U96" s="11">
        <v>0</v>
      </c>
      <c r="V96" s="1">
        <v>0</v>
      </c>
      <c r="W96" s="1">
        <v>0</v>
      </c>
      <c r="X96" s="1">
        <v>0</v>
      </c>
      <c r="Y96" s="1">
        <v>0</v>
      </c>
      <c r="Z96" s="1">
        <v>0</v>
      </c>
      <c r="AA96" s="1">
        <v>0</v>
      </c>
      <c r="AB96" s="1">
        <v>0</v>
      </c>
      <c r="AC96" s="1">
        <v>0</v>
      </c>
      <c r="AD96" s="1">
        <v>0</v>
      </c>
      <c r="AE96" s="1">
        <v>0</v>
      </c>
      <c r="AF96" s="1">
        <v>0</v>
      </c>
      <c r="AG96" s="1">
        <v>0</v>
      </c>
      <c r="AH96" s="1">
        <v>0</v>
      </c>
      <c r="AI96" s="1">
        <v>-172.51455479804463</v>
      </c>
      <c r="AJ96" s="1">
        <v>809.05596506061408</v>
      </c>
      <c r="AK96" s="1">
        <v>778.90939264980921</v>
      </c>
      <c r="AL96" s="1">
        <v>497.85116079864474</v>
      </c>
      <c r="AM96" s="1">
        <v>0</v>
      </c>
      <c r="AN96" s="1">
        <v>0</v>
      </c>
      <c r="AO96" s="25">
        <v>0</v>
      </c>
      <c r="AP96" s="25">
        <v>-834.43114608444728</v>
      </c>
      <c r="AQ96" s="25">
        <v>834.43114608444728</v>
      </c>
      <c r="AR96" s="25">
        <v>0</v>
      </c>
      <c r="AS96" s="25">
        <v>0</v>
      </c>
      <c r="AT96" s="25">
        <v>0</v>
      </c>
      <c r="AU96" s="25">
        <v>0</v>
      </c>
      <c r="AV96" s="25">
        <v>0</v>
      </c>
      <c r="AW96" s="25">
        <v>0</v>
      </c>
      <c r="AX96" s="25">
        <v>0</v>
      </c>
      <c r="AY96" s="25">
        <v>0</v>
      </c>
      <c r="AZ96" s="45">
        <v>515.86132567538823</v>
      </c>
    </row>
    <row r="97" spans="1:52">
      <c r="B97" s="76">
        <f t="shared" si="27"/>
        <v>0</v>
      </c>
      <c r="C97" s="77">
        <f t="shared" si="27"/>
        <v>0</v>
      </c>
      <c r="D97" s="77">
        <f t="shared" si="27"/>
        <v>-212.41900979899276</v>
      </c>
      <c r="E97" s="77">
        <f t="shared" si="27"/>
        <v>-1274.5140587939566</v>
      </c>
      <c r="F97" s="77">
        <f t="shared" si="27"/>
        <v>-834.43114608444728</v>
      </c>
      <c r="G97" s="77">
        <f t="shared" si="27"/>
        <v>624.54355719204011</v>
      </c>
      <c r="H97" s="77">
        <f t="shared" si="27"/>
        <v>0</v>
      </c>
      <c r="I97" s="77">
        <f t="shared" si="27"/>
        <v>0</v>
      </c>
      <c r="J97" s="77">
        <f t="shared" si="27"/>
        <v>0</v>
      </c>
      <c r="K97" s="77">
        <f t="shared" si="27"/>
        <v>0</v>
      </c>
      <c r="L97" s="77">
        <f t="shared" si="27"/>
        <v>0</v>
      </c>
      <c r="M97" s="77">
        <f t="shared" si="27"/>
        <v>0</v>
      </c>
      <c r="N97" s="77">
        <f t="shared" si="27"/>
        <v>0</v>
      </c>
      <c r="O97" s="77">
        <f t="shared" si="27"/>
        <v>0</v>
      </c>
      <c r="P97" s="77">
        <f t="shared" si="27"/>
        <v>1046.85015588344</v>
      </c>
      <c r="Q97" s="96">
        <f t="shared" si="27"/>
        <v>649.97050160191645</v>
      </c>
      <c r="S97" s="84">
        <f t="shared" si="28"/>
        <v>1.2490190816549784</v>
      </c>
      <c r="U97" s="11">
        <v>0</v>
      </c>
      <c r="V97" s="1">
        <v>0</v>
      </c>
      <c r="W97" s="1">
        <v>0</v>
      </c>
      <c r="X97" s="1">
        <v>0</v>
      </c>
      <c r="Y97" s="1">
        <v>0</v>
      </c>
      <c r="Z97" s="1">
        <v>0</v>
      </c>
      <c r="AA97" s="1">
        <v>0</v>
      </c>
      <c r="AB97" s="1">
        <v>0</v>
      </c>
      <c r="AC97" s="1">
        <v>0</v>
      </c>
      <c r="AD97" s="1">
        <v>0</v>
      </c>
      <c r="AE97" s="1">
        <v>0</v>
      </c>
      <c r="AF97" s="1">
        <v>0</v>
      </c>
      <c r="AG97" s="1">
        <v>0</v>
      </c>
      <c r="AH97" s="1">
        <v>0</v>
      </c>
      <c r="AI97" s="1">
        <v>819.4441352907121</v>
      </c>
      <c r="AJ97" s="1">
        <v>-317.84341484524151</v>
      </c>
      <c r="AK97" s="1">
        <v>152.72733189211928</v>
      </c>
      <c r="AL97" s="1">
        <v>665.16179680474545</v>
      </c>
      <c r="AM97" s="1">
        <v>0</v>
      </c>
      <c r="AN97" s="1">
        <v>0</v>
      </c>
      <c r="AO97" s="25">
        <v>0</v>
      </c>
      <c r="AP97" s="25">
        <v>624.54355719204011</v>
      </c>
      <c r="AQ97" s="25">
        <v>-624.54355719204011</v>
      </c>
      <c r="AR97" s="25">
        <v>0</v>
      </c>
      <c r="AS97" s="25">
        <v>0</v>
      </c>
      <c r="AT97" s="25">
        <v>0</v>
      </c>
      <c r="AU97" s="25">
        <v>0</v>
      </c>
      <c r="AV97" s="25">
        <v>0</v>
      </c>
      <c r="AW97" s="25">
        <v>0</v>
      </c>
      <c r="AX97" s="25">
        <v>0</v>
      </c>
      <c r="AY97" s="25">
        <v>0</v>
      </c>
      <c r="AZ97" s="45">
        <v>1313.1015562646246</v>
      </c>
    </row>
    <row r="98" spans="1:52">
      <c r="B98" s="76">
        <f t="shared" si="27"/>
        <v>0</v>
      </c>
      <c r="C98" s="77">
        <f t="shared" si="27"/>
        <v>0</v>
      </c>
      <c r="D98" s="77">
        <f t="shared" si="27"/>
        <v>0</v>
      </c>
      <c r="E98" s="77">
        <f t="shared" si="27"/>
        <v>0</v>
      </c>
      <c r="F98" s="77">
        <f t="shared" si="27"/>
        <v>834.43114608444728</v>
      </c>
      <c r="G98" s="77">
        <f t="shared" si="27"/>
        <v>-624.54355719204011</v>
      </c>
      <c r="H98" s="77">
        <f t="shared" si="27"/>
        <v>-966.83323842259324</v>
      </c>
      <c r="I98" s="77">
        <f t="shared" si="27"/>
        <v>-79.830267392691198</v>
      </c>
      <c r="J98" s="77">
        <f t="shared" si="27"/>
        <v>0</v>
      </c>
      <c r="K98" s="77">
        <f t="shared" si="27"/>
        <v>0</v>
      </c>
      <c r="L98" s="77">
        <f t="shared" si="27"/>
        <v>0</v>
      </c>
      <c r="M98" s="77">
        <f t="shared" si="27"/>
        <v>0</v>
      </c>
      <c r="N98" s="77">
        <f t="shared" si="27"/>
        <v>0</v>
      </c>
      <c r="O98" s="77">
        <f t="shared" si="27"/>
        <v>0</v>
      </c>
      <c r="P98" s="77">
        <f t="shared" si="27"/>
        <v>132.40209233814599</v>
      </c>
      <c r="Q98" s="96">
        <f t="shared" si="27"/>
        <v>704.37382458473132</v>
      </c>
      <c r="S98" s="84">
        <f t="shared" si="28"/>
        <v>-0.28924475140949352</v>
      </c>
      <c r="U98" s="11">
        <v>0</v>
      </c>
      <c r="V98" s="1">
        <v>638.98067551934821</v>
      </c>
      <c r="W98" s="1">
        <v>0</v>
      </c>
      <c r="X98" s="1">
        <v>0</v>
      </c>
      <c r="Y98" s="1">
        <v>0</v>
      </c>
      <c r="Z98" s="1">
        <v>0</v>
      </c>
      <c r="AA98" s="1">
        <v>0</v>
      </c>
      <c r="AB98" s="1">
        <v>0</v>
      </c>
      <c r="AC98" s="1">
        <v>0</v>
      </c>
      <c r="AD98" s="1">
        <v>0</v>
      </c>
      <c r="AE98" s="1">
        <v>0</v>
      </c>
      <c r="AF98" s="1">
        <v>0</v>
      </c>
      <c r="AG98" s="1">
        <v>-454.04154002104235</v>
      </c>
      <c r="AH98" s="1">
        <v>0</v>
      </c>
      <c r="AI98" s="1">
        <v>0</v>
      </c>
      <c r="AJ98" s="1">
        <v>-809.05596506061408</v>
      </c>
      <c r="AK98" s="1">
        <v>0</v>
      </c>
      <c r="AL98" s="1">
        <v>0</v>
      </c>
      <c r="AM98" s="1">
        <v>0</v>
      </c>
      <c r="AN98" s="1">
        <v>777.48723324987918</v>
      </c>
      <c r="AO98" s="25">
        <v>0</v>
      </c>
      <c r="AP98" s="25">
        <v>0</v>
      </c>
      <c r="AQ98" s="25">
        <v>-966.83323842259324</v>
      </c>
      <c r="AR98" s="25">
        <v>966.83323842259324</v>
      </c>
      <c r="AS98" s="25">
        <v>0</v>
      </c>
      <c r="AT98" s="25">
        <v>0</v>
      </c>
      <c r="AU98" s="25">
        <v>0</v>
      </c>
      <c r="AV98" s="25">
        <v>0</v>
      </c>
      <c r="AW98" s="25">
        <v>542.13362610377976</v>
      </c>
      <c r="AX98" s="25">
        <v>-1460.9662872528663</v>
      </c>
      <c r="AY98" s="25">
        <v>-48.000577273506529</v>
      </c>
      <c r="AZ98" s="45">
        <v>450.97191274720495</v>
      </c>
    </row>
    <row r="99" spans="1:52">
      <c r="B99" s="76">
        <f t="shared" si="27"/>
        <v>0</v>
      </c>
      <c r="C99" s="77">
        <f t="shared" si="27"/>
        <v>0</v>
      </c>
      <c r="D99" s="77">
        <f t="shared" si="27"/>
        <v>0</v>
      </c>
      <c r="E99" s="77">
        <f t="shared" si="27"/>
        <v>0</v>
      </c>
      <c r="F99" s="77">
        <f t="shared" si="27"/>
        <v>0</v>
      </c>
      <c r="G99" s="77">
        <f t="shared" si="27"/>
        <v>0</v>
      </c>
      <c r="H99" s="77">
        <f t="shared" si="27"/>
        <v>966.83323842259324</v>
      </c>
      <c r="I99" s="77">
        <f t="shared" si="27"/>
        <v>79.830267392691198</v>
      </c>
      <c r="J99" s="77">
        <f t="shared" si="27"/>
        <v>0</v>
      </c>
      <c r="K99" s="77">
        <f t="shared" si="27"/>
        <v>0</v>
      </c>
      <c r="L99" s="77">
        <f t="shared" si="27"/>
        <v>-787.29216492149499</v>
      </c>
      <c r="M99" s="77">
        <f t="shared" si="27"/>
        <v>-926.63591092529953</v>
      </c>
      <c r="N99" s="77">
        <f t="shared" si="27"/>
        <v>0</v>
      </c>
      <c r="O99" s="77">
        <f t="shared" si="27"/>
        <v>0</v>
      </c>
      <c r="P99" s="77">
        <f t="shared" si="27"/>
        <v>-179.54107350109825</v>
      </c>
      <c r="Q99" s="96">
        <f t="shared" si="27"/>
        <v>846.80564353260843</v>
      </c>
      <c r="S99" s="84">
        <f t="shared" si="28"/>
        <v>-0.61570243156931304</v>
      </c>
      <c r="U99" s="11">
        <v>0</v>
      </c>
      <c r="V99" s="1">
        <v>583.41713851766576</v>
      </c>
      <c r="W99" s="1">
        <v>0</v>
      </c>
      <c r="X99" s="1">
        <v>0</v>
      </c>
      <c r="Y99" s="1">
        <v>0</v>
      </c>
      <c r="Z99" s="1">
        <v>0</v>
      </c>
      <c r="AA99" s="1">
        <v>0</v>
      </c>
      <c r="AB99" s="1">
        <v>0</v>
      </c>
      <c r="AC99" s="1">
        <v>0</v>
      </c>
      <c r="AD99" s="1">
        <v>0</v>
      </c>
      <c r="AE99" s="1">
        <v>0</v>
      </c>
      <c r="AF99" s="1">
        <v>0</v>
      </c>
      <c r="AG99" s="1">
        <v>618.00098502864137</v>
      </c>
      <c r="AH99" s="1">
        <v>0</v>
      </c>
      <c r="AI99" s="1">
        <v>0</v>
      </c>
      <c r="AJ99" s="1">
        <v>317.84341484524151</v>
      </c>
      <c r="AK99" s="1">
        <v>0</v>
      </c>
      <c r="AL99" s="1">
        <v>0</v>
      </c>
      <c r="AM99" s="1">
        <v>0</v>
      </c>
      <c r="AN99" s="1">
        <v>-362.8273755166108</v>
      </c>
      <c r="AO99" s="25">
        <v>0</v>
      </c>
      <c r="AP99" s="25">
        <v>0</v>
      </c>
      <c r="AQ99" s="25">
        <v>-79.830267392691198</v>
      </c>
      <c r="AR99" s="25">
        <v>79.830267392691198</v>
      </c>
      <c r="AS99" s="25">
        <v>0</v>
      </c>
      <c r="AT99" s="25">
        <v>0</v>
      </c>
      <c r="AU99" s="25">
        <v>0</v>
      </c>
      <c r="AV99" s="25">
        <v>0</v>
      </c>
      <c r="AW99" s="25">
        <v>1161.7149130795281</v>
      </c>
      <c r="AX99" s="25">
        <v>-155.37437944005219</v>
      </c>
      <c r="AY99" s="25">
        <v>-1086.170801032167</v>
      </c>
      <c r="AZ99" s="45">
        <v>-1233.2712888719334</v>
      </c>
    </row>
    <row r="100" spans="1:52">
      <c r="B100" s="76">
        <f t="shared" si="27"/>
        <v>0</v>
      </c>
      <c r="C100" s="77">
        <f t="shared" si="27"/>
        <v>0</v>
      </c>
      <c r="D100" s="77">
        <f t="shared" si="27"/>
        <v>0</v>
      </c>
      <c r="E100" s="77">
        <f t="shared" si="27"/>
        <v>0</v>
      </c>
      <c r="F100" s="77">
        <f t="shared" si="27"/>
        <v>0</v>
      </c>
      <c r="G100" s="77">
        <f t="shared" si="27"/>
        <v>0</v>
      </c>
      <c r="H100" s="77">
        <f t="shared" si="27"/>
        <v>0</v>
      </c>
      <c r="I100" s="77">
        <f t="shared" si="27"/>
        <v>0</v>
      </c>
      <c r="J100" s="77">
        <f t="shared" si="27"/>
        <v>0</v>
      </c>
      <c r="K100" s="77">
        <f t="shared" si="27"/>
        <v>0</v>
      </c>
      <c r="L100" s="77">
        <f t="shared" si="27"/>
        <v>787.29216492149499</v>
      </c>
      <c r="M100" s="77">
        <f t="shared" si="27"/>
        <v>926.63591092529953</v>
      </c>
      <c r="N100" s="77">
        <f t="shared" si="27"/>
        <v>246.09904342602113</v>
      </c>
      <c r="O100" s="77">
        <f t="shared" si="27"/>
        <v>-1253.5670024512951</v>
      </c>
      <c r="P100" s="77">
        <f t="shared" si="27"/>
        <v>-1033.3912083475161</v>
      </c>
      <c r="Q100" s="96">
        <f t="shared" si="27"/>
        <v>326.93109152599556</v>
      </c>
      <c r="S100" s="84">
        <f t="shared" si="28"/>
        <v>0.31846661218063826</v>
      </c>
      <c r="U100" s="11">
        <v>0</v>
      </c>
      <c r="V100" s="1">
        <v>0</v>
      </c>
      <c r="W100" s="1">
        <v>-166.41647003802495</v>
      </c>
      <c r="X100" s="1">
        <v>0</v>
      </c>
      <c r="Y100" s="1">
        <v>0</v>
      </c>
      <c r="Z100" s="1">
        <v>0</v>
      </c>
      <c r="AA100" s="1">
        <v>0</v>
      </c>
      <c r="AB100" s="1">
        <v>0</v>
      </c>
      <c r="AC100" s="1">
        <v>-11.835306213935887</v>
      </c>
      <c r="AD100" s="1">
        <v>0</v>
      </c>
      <c r="AE100" s="1">
        <v>0</v>
      </c>
      <c r="AF100" s="1">
        <v>0</v>
      </c>
      <c r="AG100" s="1">
        <v>0</v>
      </c>
      <c r="AH100" s="1">
        <v>0</v>
      </c>
      <c r="AI100" s="1">
        <v>0</v>
      </c>
      <c r="AJ100" s="1">
        <v>0</v>
      </c>
      <c r="AK100" s="1">
        <v>0</v>
      </c>
      <c r="AL100" s="1">
        <v>0</v>
      </c>
      <c r="AM100" s="1">
        <v>-377.87887706154999</v>
      </c>
      <c r="AN100" s="1">
        <v>-777.48723324987918</v>
      </c>
      <c r="AO100" s="25">
        <v>0</v>
      </c>
      <c r="AP100" s="25">
        <v>0</v>
      </c>
      <c r="AQ100" s="25">
        <v>0</v>
      </c>
      <c r="AR100" s="25">
        <v>0</v>
      </c>
      <c r="AS100" s="25">
        <v>0</v>
      </c>
      <c r="AT100" s="25">
        <v>0</v>
      </c>
      <c r="AU100" s="25">
        <v>-502.98654410869011</v>
      </c>
      <c r="AV100" s="25">
        <v>616.21227183561393</v>
      </c>
      <c r="AW100" s="25">
        <v>7.6243811221108899</v>
      </c>
      <c r="AX100" s="25">
        <v>542.13362610377976</v>
      </c>
      <c r="AY100" s="25">
        <v>0</v>
      </c>
      <c r="AZ100" s="45">
        <v>0</v>
      </c>
    </row>
    <row r="101" spans="1:52">
      <c r="B101" s="76">
        <f t="shared" si="27"/>
        <v>1134.4354025237385</v>
      </c>
      <c r="C101" s="77">
        <f t="shared" si="27"/>
        <v>-544.82752884363754</v>
      </c>
      <c r="D101" s="77">
        <f t="shared" si="27"/>
        <v>0</v>
      </c>
      <c r="E101" s="77">
        <f t="shared" si="27"/>
        <v>0</v>
      </c>
      <c r="F101" s="77">
        <f t="shared" si="27"/>
        <v>0</v>
      </c>
      <c r="G101" s="77">
        <f t="shared" si="27"/>
        <v>0</v>
      </c>
      <c r="H101" s="77">
        <f t="shared" si="27"/>
        <v>0</v>
      </c>
      <c r="I101" s="77">
        <f t="shared" si="27"/>
        <v>0</v>
      </c>
      <c r="J101" s="77">
        <f t="shared" si="27"/>
        <v>0</v>
      </c>
      <c r="K101" s="77">
        <f t="shared" si="27"/>
        <v>0</v>
      </c>
      <c r="L101" s="77">
        <f t="shared" si="27"/>
        <v>0</v>
      </c>
      <c r="M101" s="77">
        <f t="shared" si="27"/>
        <v>0</v>
      </c>
      <c r="N101" s="77">
        <f t="shared" si="27"/>
        <v>-246.09904342602113</v>
      </c>
      <c r="O101" s="77">
        <f t="shared" si="27"/>
        <v>1253.5670024512951</v>
      </c>
      <c r="P101" s="77">
        <f t="shared" si="27"/>
        <v>-888.33635909771738</v>
      </c>
      <c r="Q101" s="96">
        <f t="shared" si="27"/>
        <v>-708.7394736076576</v>
      </c>
      <c r="S101" s="84">
        <f t="shared" si="28"/>
        <v>-0.76171188107802357</v>
      </c>
      <c r="U101" s="11">
        <v>0</v>
      </c>
      <c r="V101" s="1">
        <v>0</v>
      </c>
      <c r="W101" s="1">
        <v>832.08235019012443</v>
      </c>
      <c r="X101" s="1">
        <v>0</v>
      </c>
      <c r="Y101" s="1">
        <v>0</v>
      </c>
      <c r="Z101" s="1">
        <v>0</v>
      </c>
      <c r="AA101" s="1">
        <v>0</v>
      </c>
      <c r="AB101" s="1">
        <v>0</v>
      </c>
      <c r="AC101" s="1">
        <v>757.45959769190199</v>
      </c>
      <c r="AD101" s="1">
        <v>0</v>
      </c>
      <c r="AE101" s="1">
        <v>0</v>
      </c>
      <c r="AF101" s="1">
        <v>0</v>
      </c>
      <c r="AG101" s="1">
        <v>0</v>
      </c>
      <c r="AH101" s="1">
        <v>0</v>
      </c>
      <c r="AI101" s="1">
        <v>0</v>
      </c>
      <c r="AJ101" s="1">
        <v>0</v>
      </c>
      <c r="AK101" s="1">
        <v>0</v>
      </c>
      <c r="AL101" s="1">
        <v>0</v>
      </c>
      <c r="AM101" s="1">
        <v>647.79236067694364</v>
      </c>
      <c r="AN101" s="1">
        <v>362.8273755166108</v>
      </c>
      <c r="AO101" s="25">
        <v>0</v>
      </c>
      <c r="AP101" s="25">
        <v>0</v>
      </c>
      <c r="AQ101" s="25">
        <v>0</v>
      </c>
      <c r="AR101" s="25">
        <v>0</v>
      </c>
      <c r="AS101" s="25">
        <v>0</v>
      </c>
      <c r="AT101" s="25">
        <v>0</v>
      </c>
      <c r="AU101" s="25">
        <v>-222.83493495366315</v>
      </c>
      <c r="AV101" s="25">
        <v>-87.49811506946871</v>
      </c>
      <c r="AW101" s="25">
        <v>-841.02274219775836</v>
      </c>
      <c r="AX101" s="25">
        <v>1161.7149130795281</v>
      </c>
      <c r="AY101" s="25">
        <v>0</v>
      </c>
      <c r="AZ101" s="45">
        <v>0</v>
      </c>
    </row>
    <row r="102" spans="1:52">
      <c r="B102" s="76">
        <f t="shared" si="27"/>
        <v>0</v>
      </c>
      <c r="C102" s="77">
        <f t="shared" si="27"/>
        <v>0</v>
      </c>
      <c r="D102" s="77">
        <f t="shared" si="27"/>
        <v>0</v>
      </c>
      <c r="E102" s="77">
        <f t="shared" si="27"/>
        <v>0</v>
      </c>
      <c r="F102" s="77">
        <f t="shared" si="27"/>
        <v>0</v>
      </c>
      <c r="G102" s="77">
        <f t="shared" si="27"/>
        <v>0</v>
      </c>
      <c r="H102" s="77">
        <f t="shared" si="27"/>
        <v>0</v>
      </c>
      <c r="I102" s="77">
        <f t="shared" si="27"/>
        <v>0</v>
      </c>
      <c r="J102" s="77">
        <f t="shared" si="27"/>
        <v>-502.98654410869011</v>
      </c>
      <c r="K102" s="77">
        <f t="shared" si="27"/>
        <v>-222.83493495366315</v>
      </c>
      <c r="L102" s="77">
        <f t="shared" si="27"/>
        <v>1165.9702790615045</v>
      </c>
      <c r="M102" s="77">
        <f t="shared" si="27"/>
        <v>233.19405581230089</v>
      </c>
      <c r="N102" s="77">
        <f t="shared" si="27"/>
        <v>-662.98373495281442</v>
      </c>
      <c r="O102" s="77">
        <f t="shared" si="27"/>
        <v>-10.359120858637725</v>
      </c>
      <c r="P102" s="77">
        <f t="shared" si="27"/>
        <v>0</v>
      </c>
      <c r="Q102" s="96">
        <f t="shared" si="27"/>
        <v>0</v>
      </c>
      <c r="S102" s="84">
        <f t="shared" si="28"/>
        <v>0.18060670043951177</v>
      </c>
      <c r="U102" s="11">
        <v>-173.64518046526368</v>
      </c>
      <c r="V102" s="1">
        <v>-638.98067551934821</v>
      </c>
      <c r="W102" s="1">
        <v>166.41647003802495</v>
      </c>
      <c r="X102" s="1">
        <v>176.47469581904315</v>
      </c>
      <c r="Y102" s="1">
        <v>-648.84292280610339</v>
      </c>
      <c r="Z102" s="1">
        <v>0</v>
      </c>
      <c r="AA102" s="1">
        <v>0</v>
      </c>
      <c r="AB102" s="1">
        <v>176.47446524834157</v>
      </c>
      <c r="AC102" s="1">
        <v>0</v>
      </c>
      <c r="AD102" s="1">
        <v>0</v>
      </c>
      <c r="AE102" s="1">
        <v>0</v>
      </c>
      <c r="AF102" s="1">
        <v>-173.64492103006583</v>
      </c>
      <c r="AG102" s="1">
        <v>0</v>
      </c>
      <c r="AH102" s="1">
        <v>0</v>
      </c>
      <c r="AI102" s="1">
        <v>0</v>
      </c>
      <c r="AJ102" s="1">
        <v>0</v>
      </c>
      <c r="AK102" s="1">
        <v>-778.90939264980921</v>
      </c>
      <c r="AL102" s="1">
        <v>0</v>
      </c>
      <c r="AM102" s="1">
        <v>0</v>
      </c>
      <c r="AN102" s="1">
        <v>0</v>
      </c>
      <c r="AO102" s="25">
        <v>0</v>
      </c>
      <c r="AP102" s="25">
        <v>0</v>
      </c>
      <c r="AQ102" s="25">
        <v>0</v>
      </c>
      <c r="AR102" s="25">
        <v>-787.29216492149499</v>
      </c>
      <c r="AS102" s="25">
        <v>787.29216492149499</v>
      </c>
      <c r="AT102" s="25">
        <v>0</v>
      </c>
      <c r="AU102" s="25">
        <v>1165.9702790615045</v>
      </c>
      <c r="AV102" s="25">
        <v>-1165.9702790615045</v>
      </c>
      <c r="AW102" s="25">
        <v>0</v>
      </c>
      <c r="AX102" s="25">
        <v>918.83266114908668</v>
      </c>
      <c r="AY102" s="25">
        <v>-918.83266114908668</v>
      </c>
      <c r="AZ102" s="45">
        <v>0</v>
      </c>
    </row>
    <row r="103" spans="1:52">
      <c r="B103" s="76">
        <f t="shared" si="27"/>
        <v>0</v>
      </c>
      <c r="C103" s="77">
        <f t="shared" si="27"/>
        <v>0</v>
      </c>
      <c r="D103" s="77">
        <f t="shared" si="27"/>
        <v>0</v>
      </c>
      <c r="E103" s="77">
        <f t="shared" si="27"/>
        <v>0</v>
      </c>
      <c r="F103" s="77">
        <f t="shared" si="27"/>
        <v>0</v>
      </c>
      <c r="G103" s="77">
        <f t="shared" si="27"/>
        <v>0</v>
      </c>
      <c r="H103" s="77">
        <f t="shared" si="27"/>
        <v>0</v>
      </c>
      <c r="I103" s="77">
        <f t="shared" si="27"/>
        <v>0</v>
      </c>
      <c r="J103" s="77">
        <f t="shared" si="27"/>
        <v>616.21227183561393</v>
      </c>
      <c r="K103" s="77">
        <f t="shared" si="27"/>
        <v>-87.49811506946871</v>
      </c>
      <c r="L103" s="77">
        <f t="shared" si="27"/>
        <v>-1165.9702790615045</v>
      </c>
      <c r="M103" s="77">
        <f t="shared" si="27"/>
        <v>-233.19405581230089</v>
      </c>
      <c r="N103" s="77">
        <f t="shared" si="27"/>
        <v>0</v>
      </c>
      <c r="O103" s="77">
        <f t="shared" si="27"/>
        <v>0</v>
      </c>
      <c r="P103" s="77">
        <f t="shared" si="27"/>
        <v>549.75800722589065</v>
      </c>
      <c r="Q103" s="96">
        <f t="shared" si="27"/>
        <v>320.69217088176958</v>
      </c>
      <c r="S103" s="84">
        <f t="shared" si="28"/>
        <v>0.57292410750401734</v>
      </c>
      <c r="U103" s="11">
        <v>766.9328803882496</v>
      </c>
      <c r="V103" s="1">
        <v>-583.41713851766576</v>
      </c>
      <c r="W103" s="1">
        <v>-832.08235019012443</v>
      </c>
      <c r="X103" s="1">
        <v>852.9610297920442</v>
      </c>
      <c r="Y103" s="1">
        <v>551.27255847435902</v>
      </c>
      <c r="Z103" s="1">
        <v>0</v>
      </c>
      <c r="AA103" s="1">
        <v>0</v>
      </c>
      <c r="AB103" s="1">
        <v>852.95991536698421</v>
      </c>
      <c r="AC103" s="1">
        <v>0</v>
      </c>
      <c r="AD103" s="1">
        <v>0</v>
      </c>
      <c r="AE103" s="1">
        <v>0</v>
      </c>
      <c r="AF103" s="1">
        <v>766.93173454945793</v>
      </c>
      <c r="AG103" s="1">
        <v>0</v>
      </c>
      <c r="AH103" s="1">
        <v>0</v>
      </c>
      <c r="AI103" s="1">
        <v>0</v>
      </c>
      <c r="AJ103" s="1">
        <v>0</v>
      </c>
      <c r="AK103" s="1">
        <v>-152.72733189211928</v>
      </c>
      <c r="AL103" s="1">
        <v>0</v>
      </c>
      <c r="AM103" s="1">
        <v>0</v>
      </c>
      <c r="AN103" s="1">
        <v>0</v>
      </c>
      <c r="AO103" s="25">
        <v>0</v>
      </c>
      <c r="AP103" s="25">
        <v>0</v>
      </c>
      <c r="AQ103" s="25">
        <v>0</v>
      </c>
      <c r="AR103" s="25">
        <v>-926.63591092529953</v>
      </c>
      <c r="AS103" s="25">
        <v>926.63591092529953</v>
      </c>
      <c r="AT103" s="25">
        <v>0</v>
      </c>
      <c r="AU103" s="25">
        <v>233.19405581230089</v>
      </c>
      <c r="AV103" s="25">
        <v>-233.19405581230089</v>
      </c>
      <c r="AW103" s="25">
        <v>0</v>
      </c>
      <c r="AX103" s="25">
        <v>-1006.3405336394758</v>
      </c>
      <c r="AY103" s="25">
        <v>1006.3405336394758</v>
      </c>
      <c r="AZ103" s="45">
        <v>0</v>
      </c>
    </row>
    <row r="104" spans="1:52">
      <c r="B104" s="76">
        <f t="shared" si="27"/>
        <v>0</v>
      </c>
      <c r="C104" s="77">
        <f t="shared" si="27"/>
        <v>0</v>
      </c>
      <c r="D104" s="77">
        <f t="shared" si="27"/>
        <v>0</v>
      </c>
      <c r="E104" s="77">
        <f t="shared" si="27"/>
        <v>0</v>
      </c>
      <c r="F104" s="77">
        <f t="shared" si="27"/>
        <v>0</v>
      </c>
      <c r="G104" s="77">
        <f t="shared" si="27"/>
        <v>0</v>
      </c>
      <c r="H104" s="77">
        <f t="shared" si="27"/>
        <v>542.13362610377976</v>
      </c>
      <c r="I104" s="77">
        <f t="shared" si="27"/>
        <v>1161.7149130795281</v>
      </c>
      <c r="J104" s="77">
        <f t="shared" si="27"/>
        <v>7.6243811221108899</v>
      </c>
      <c r="K104" s="77">
        <f t="shared" si="27"/>
        <v>-841.02274219775836</v>
      </c>
      <c r="L104" s="77">
        <f t="shared" si="27"/>
        <v>0</v>
      </c>
      <c r="M104" s="77">
        <f t="shared" si="27"/>
        <v>0</v>
      </c>
      <c r="N104" s="77">
        <f t="shared" si="27"/>
        <v>0</v>
      </c>
      <c r="O104" s="77">
        <f t="shared" si="27"/>
        <v>0</v>
      </c>
      <c r="P104" s="77">
        <f t="shared" si="27"/>
        <v>-549.75800722589065</v>
      </c>
      <c r="Q104" s="96">
        <f t="shared" si="27"/>
        <v>-320.69217088176958</v>
      </c>
      <c r="S104" s="84">
        <f t="shared" si="28"/>
        <v>1.6272532250620013</v>
      </c>
      <c r="U104" s="11">
        <v>0</v>
      </c>
      <c r="V104" s="1">
        <v>0</v>
      </c>
      <c r="W104" s="1">
        <v>0</v>
      </c>
      <c r="X104" s="1">
        <v>-176.47469581904315</v>
      </c>
      <c r="Y104" s="1">
        <v>0</v>
      </c>
      <c r="Z104" s="1">
        <v>-521.73990170246316</v>
      </c>
      <c r="AA104" s="1">
        <v>-841.48805187020355</v>
      </c>
      <c r="AB104" s="1">
        <v>-176.47446524834157</v>
      </c>
      <c r="AC104" s="1">
        <v>11.835306213935887</v>
      </c>
      <c r="AD104" s="1">
        <v>0</v>
      </c>
      <c r="AE104" s="1">
        <v>0</v>
      </c>
      <c r="AF104" s="1">
        <v>0</v>
      </c>
      <c r="AG104" s="1">
        <v>0</v>
      </c>
      <c r="AH104" s="1">
        <v>0</v>
      </c>
      <c r="AI104" s="1">
        <v>0</v>
      </c>
      <c r="AJ104" s="1">
        <v>0</v>
      </c>
      <c r="AK104" s="1">
        <v>0</v>
      </c>
      <c r="AL104" s="1">
        <v>0</v>
      </c>
      <c r="AM104" s="1">
        <v>0</v>
      </c>
      <c r="AN104" s="1">
        <v>0</v>
      </c>
      <c r="AO104" s="25">
        <v>0</v>
      </c>
      <c r="AP104" s="25">
        <v>0</v>
      </c>
      <c r="AQ104" s="25">
        <v>0</v>
      </c>
      <c r="AR104" s="25">
        <v>0</v>
      </c>
      <c r="AS104" s="25">
        <v>246.09904342602113</v>
      </c>
      <c r="AT104" s="25">
        <v>-246.09904342602113</v>
      </c>
      <c r="AU104" s="25">
        <v>-662.98373495281442</v>
      </c>
      <c r="AV104" s="25">
        <v>0</v>
      </c>
      <c r="AW104" s="25">
        <v>0</v>
      </c>
      <c r="AX104" s="25">
        <v>0</v>
      </c>
      <c r="AY104" s="25">
        <v>0</v>
      </c>
      <c r="AZ104" s="45">
        <v>0</v>
      </c>
    </row>
    <row r="105" spans="1:52">
      <c r="B105" s="76">
        <f t="shared" si="27"/>
        <v>0</v>
      </c>
      <c r="C105" s="77">
        <f t="shared" si="27"/>
        <v>0</v>
      </c>
      <c r="D105" s="77">
        <f t="shared" si="27"/>
        <v>0</v>
      </c>
      <c r="E105" s="77">
        <f t="shared" si="27"/>
        <v>0</v>
      </c>
      <c r="F105" s="77">
        <f t="shared" si="27"/>
        <v>0</v>
      </c>
      <c r="G105" s="77">
        <f t="shared" si="27"/>
        <v>0</v>
      </c>
      <c r="H105" s="77">
        <f t="shared" si="27"/>
        <v>-1460.9662872528663</v>
      </c>
      <c r="I105" s="77">
        <f t="shared" si="27"/>
        <v>-155.37437944005219</v>
      </c>
      <c r="J105" s="77">
        <f t="shared" si="27"/>
        <v>542.13362610377976</v>
      </c>
      <c r="K105" s="77">
        <f t="shared" si="27"/>
        <v>1161.7149130795281</v>
      </c>
      <c r="L105" s="77">
        <f t="shared" si="27"/>
        <v>918.83266114908668</v>
      </c>
      <c r="M105" s="77">
        <f t="shared" si="27"/>
        <v>-1006.3405336394758</v>
      </c>
      <c r="N105" s="77">
        <f t="shared" si="27"/>
        <v>0</v>
      </c>
      <c r="O105" s="77">
        <f t="shared" si="27"/>
        <v>0</v>
      </c>
      <c r="P105" s="77">
        <f t="shared" si="27"/>
        <v>0</v>
      </c>
      <c r="Q105" s="96">
        <f t="shared" si="27"/>
        <v>0</v>
      </c>
      <c r="S105" s="84">
        <f t="shared" si="28"/>
        <v>0.37509481562854791</v>
      </c>
      <c r="U105" s="11">
        <v>0</v>
      </c>
      <c r="V105" s="1">
        <v>0</v>
      </c>
      <c r="W105" s="1">
        <v>0</v>
      </c>
      <c r="X105" s="1">
        <v>-852.9610297920442</v>
      </c>
      <c r="Y105" s="1">
        <v>0</v>
      </c>
      <c r="Z105" s="1">
        <v>695.65320226995129</v>
      </c>
      <c r="AA105" s="1">
        <v>-165.20010834261663</v>
      </c>
      <c r="AB105" s="1">
        <v>-852.95991536698421</v>
      </c>
      <c r="AC105" s="1">
        <v>-757.45959769190199</v>
      </c>
      <c r="AD105" s="1">
        <v>0</v>
      </c>
      <c r="AE105" s="1">
        <v>0</v>
      </c>
      <c r="AF105" s="1">
        <v>0</v>
      </c>
      <c r="AG105" s="1">
        <v>0</v>
      </c>
      <c r="AH105" s="1">
        <v>0</v>
      </c>
      <c r="AI105" s="1">
        <v>0</v>
      </c>
      <c r="AJ105" s="1">
        <v>0</v>
      </c>
      <c r="AK105" s="1">
        <v>0</v>
      </c>
      <c r="AL105" s="1">
        <v>0</v>
      </c>
      <c r="AM105" s="1">
        <v>0</v>
      </c>
      <c r="AN105" s="1">
        <v>0</v>
      </c>
      <c r="AO105" s="25">
        <v>0</v>
      </c>
      <c r="AP105" s="25">
        <v>0</v>
      </c>
      <c r="AQ105" s="25">
        <v>0</v>
      </c>
      <c r="AR105" s="25">
        <v>0</v>
      </c>
      <c r="AS105" s="25">
        <v>-1253.5670024512951</v>
      </c>
      <c r="AT105" s="25">
        <v>1253.5670024512951</v>
      </c>
      <c r="AU105" s="25">
        <v>-10.359120858637725</v>
      </c>
      <c r="AV105" s="25">
        <v>0</v>
      </c>
      <c r="AW105" s="25">
        <v>0</v>
      </c>
      <c r="AX105" s="25">
        <v>0</v>
      </c>
      <c r="AY105" s="25">
        <v>0</v>
      </c>
      <c r="AZ105" s="45">
        <v>0</v>
      </c>
    </row>
    <row r="106" spans="1:52">
      <c r="B106" s="76">
        <f t="shared" si="27"/>
        <v>0</v>
      </c>
      <c r="C106" s="77">
        <f t="shared" si="27"/>
        <v>0</v>
      </c>
      <c r="D106" s="77">
        <f t="shared" si="27"/>
        <v>0</v>
      </c>
      <c r="E106" s="77">
        <f t="shared" si="27"/>
        <v>0</v>
      </c>
      <c r="F106" s="77">
        <f t="shared" si="27"/>
        <v>0</v>
      </c>
      <c r="G106" s="77">
        <f t="shared" si="27"/>
        <v>0</v>
      </c>
      <c r="H106" s="77">
        <f t="shared" si="27"/>
        <v>-48.000577273506529</v>
      </c>
      <c r="I106" s="77">
        <f t="shared" si="27"/>
        <v>-1086.170801032167</v>
      </c>
      <c r="J106" s="77">
        <f t="shared" si="27"/>
        <v>0</v>
      </c>
      <c r="K106" s="77">
        <f t="shared" si="27"/>
        <v>0</v>
      </c>
      <c r="L106" s="77">
        <f t="shared" si="27"/>
        <v>-918.83266114908668</v>
      </c>
      <c r="M106" s="77">
        <f t="shared" si="27"/>
        <v>1006.3405336394758</v>
      </c>
      <c r="N106" s="77">
        <f t="shared" si="27"/>
        <v>0</v>
      </c>
      <c r="O106" s="77">
        <f t="shared" si="27"/>
        <v>0</v>
      </c>
      <c r="P106" s="77">
        <f t="shared" si="27"/>
        <v>966.83323842259324</v>
      </c>
      <c r="Q106" s="96">
        <f t="shared" si="27"/>
        <v>79.830267392691198</v>
      </c>
      <c r="S106" s="84">
        <f t="shared" si="28"/>
        <v>-0.8920979875881585</v>
      </c>
      <c r="U106" s="11">
        <v>0</v>
      </c>
      <c r="V106" s="1">
        <v>0</v>
      </c>
      <c r="W106" s="1">
        <v>0</v>
      </c>
      <c r="X106" s="1">
        <v>0</v>
      </c>
      <c r="Y106" s="1">
        <v>648.84292280610339</v>
      </c>
      <c r="Z106" s="1">
        <v>0</v>
      </c>
      <c r="AA106" s="1">
        <v>841.48805187020355</v>
      </c>
      <c r="AB106" s="1">
        <v>0</v>
      </c>
      <c r="AC106" s="1">
        <v>0</v>
      </c>
      <c r="AD106" s="1">
        <v>0</v>
      </c>
      <c r="AE106" s="1">
        <v>370.45686357928031</v>
      </c>
      <c r="AF106" s="1">
        <v>0</v>
      </c>
      <c r="AG106" s="1">
        <v>0</v>
      </c>
      <c r="AH106" s="1">
        <v>-847.24648250292421</v>
      </c>
      <c r="AI106" s="1">
        <v>0</v>
      </c>
      <c r="AJ106" s="1">
        <v>0</v>
      </c>
      <c r="AK106" s="1">
        <v>0</v>
      </c>
      <c r="AL106" s="1">
        <v>-497.85116079864474</v>
      </c>
      <c r="AM106" s="1">
        <v>377.87887706154999</v>
      </c>
      <c r="AN106" s="1">
        <v>0</v>
      </c>
      <c r="AO106" s="25">
        <v>922.01639272474574</v>
      </c>
      <c r="AP106" s="25">
        <v>1046.85015588344</v>
      </c>
      <c r="AQ106" s="25">
        <v>132.40209233814599</v>
      </c>
      <c r="AR106" s="25">
        <v>-179.54107350109825</v>
      </c>
      <c r="AS106" s="25">
        <v>-1033.3912083475161</v>
      </c>
      <c r="AT106" s="25">
        <v>-888.33635909771738</v>
      </c>
      <c r="AU106" s="25">
        <v>0</v>
      </c>
      <c r="AV106" s="25">
        <v>549.75800722589065</v>
      </c>
      <c r="AW106" s="25">
        <v>-549.75800722589065</v>
      </c>
      <c r="AX106" s="25">
        <v>0</v>
      </c>
      <c r="AY106" s="25">
        <v>966.83323842259324</v>
      </c>
      <c r="AZ106" s="45">
        <v>-966.83323842259324</v>
      </c>
    </row>
    <row r="107" spans="1:52">
      <c r="B107" s="79">
        <f t="shared" si="27"/>
        <v>0</v>
      </c>
      <c r="C107" s="80">
        <f t="shared" si="27"/>
        <v>0</v>
      </c>
      <c r="D107" s="80">
        <f t="shared" si="27"/>
        <v>0</v>
      </c>
      <c r="E107" s="80">
        <f t="shared" si="27"/>
        <v>0</v>
      </c>
      <c r="F107" s="80">
        <f t="shared" si="27"/>
        <v>515.86132567538823</v>
      </c>
      <c r="G107" s="80">
        <f t="shared" si="27"/>
        <v>1313.1015562646246</v>
      </c>
      <c r="H107" s="80">
        <f t="shared" si="27"/>
        <v>450.97191274720495</v>
      </c>
      <c r="I107" s="80">
        <f t="shared" si="27"/>
        <v>-1233.2712888719334</v>
      </c>
      <c r="J107" s="80">
        <f t="shared" si="27"/>
        <v>0</v>
      </c>
      <c r="K107" s="80">
        <f t="shared" si="27"/>
        <v>0</v>
      </c>
      <c r="L107" s="80">
        <f t="shared" si="27"/>
        <v>0</v>
      </c>
      <c r="M107" s="80">
        <f t="shared" si="27"/>
        <v>0</v>
      </c>
      <c r="N107" s="80">
        <f t="shared" si="27"/>
        <v>0</v>
      </c>
      <c r="O107" s="80">
        <f t="shared" si="27"/>
        <v>0</v>
      </c>
      <c r="P107" s="80">
        <f t="shared" si="27"/>
        <v>-966.83323842259324</v>
      </c>
      <c r="Q107" s="97">
        <f t="shared" si="27"/>
        <v>-79.830267392691198</v>
      </c>
      <c r="S107" s="85">
        <f t="shared" si="28"/>
        <v>-1.7157709218906803</v>
      </c>
      <c r="U107" s="13">
        <v>0</v>
      </c>
      <c r="V107" s="14">
        <v>0</v>
      </c>
      <c r="W107" s="14">
        <v>0</v>
      </c>
      <c r="X107" s="14">
        <v>0</v>
      </c>
      <c r="Y107" s="14">
        <v>-551.27255847435902</v>
      </c>
      <c r="Z107" s="14">
        <v>0</v>
      </c>
      <c r="AA107" s="14">
        <v>165.20010834261663</v>
      </c>
      <c r="AB107" s="14">
        <v>0</v>
      </c>
      <c r="AC107" s="14">
        <v>0</v>
      </c>
      <c r="AD107" s="14">
        <v>0</v>
      </c>
      <c r="AE107" s="14">
        <v>771.36223649384431</v>
      </c>
      <c r="AF107" s="14">
        <v>0</v>
      </c>
      <c r="AG107" s="14">
        <v>0</v>
      </c>
      <c r="AH107" s="14">
        <v>141.20774708382086</v>
      </c>
      <c r="AI107" s="14">
        <v>0</v>
      </c>
      <c r="AJ107" s="14">
        <v>0</v>
      </c>
      <c r="AK107" s="14">
        <v>0</v>
      </c>
      <c r="AL107" s="14">
        <v>-665.16179680474545</v>
      </c>
      <c r="AM107" s="14">
        <v>-647.79236067694364</v>
      </c>
      <c r="AN107" s="14">
        <v>0</v>
      </c>
      <c r="AO107" s="32">
        <v>-1819.3415876375941</v>
      </c>
      <c r="AP107" s="32">
        <v>649.97050160191645</v>
      </c>
      <c r="AQ107" s="32">
        <v>704.37382458473132</v>
      </c>
      <c r="AR107" s="32">
        <v>846.80564353260843</v>
      </c>
      <c r="AS107" s="32">
        <v>326.93109152599556</v>
      </c>
      <c r="AT107" s="32">
        <v>-708.7394736076576</v>
      </c>
      <c r="AU107" s="32">
        <v>0</v>
      </c>
      <c r="AV107" s="32">
        <v>320.69217088176958</v>
      </c>
      <c r="AW107" s="32">
        <v>-320.69217088176958</v>
      </c>
      <c r="AX107" s="32">
        <v>0</v>
      </c>
      <c r="AY107" s="32">
        <v>79.830267392691198</v>
      </c>
      <c r="AZ107" s="49">
        <v>-79.830267392691198</v>
      </c>
    </row>
    <row r="109" spans="1:52">
      <c r="A109" s="23"/>
      <c r="B109" s="266" t="s">
        <v>48</v>
      </c>
      <c r="C109" s="267"/>
      <c r="D109" s="267"/>
      <c r="E109" s="267"/>
      <c r="F109" s="267"/>
      <c r="G109" s="267"/>
      <c r="H109" s="267"/>
      <c r="I109" s="267"/>
      <c r="J109" s="267"/>
      <c r="K109" s="267"/>
      <c r="L109" s="267"/>
      <c r="M109" s="267"/>
      <c r="N109" s="267"/>
      <c r="O109" s="267"/>
      <c r="P109" s="267"/>
      <c r="Q109" s="268"/>
      <c r="R109" s="257" t="s">
        <v>49</v>
      </c>
      <c r="S109" s="258"/>
      <c r="T109" s="259"/>
      <c r="V109" s="69" t="s">
        <v>50</v>
      </c>
    </row>
    <row r="110" spans="1:52">
      <c r="A110" s="23"/>
      <c r="B110" s="73" cm="1">
        <f t="array" ref="B110:Q125">MMULT(_xlfn.ANCHORARRAY(U92),B76:Q107)</f>
        <v>3529835.5879227901</v>
      </c>
      <c r="C110" s="9">
        <v>-1321071.9975940185</v>
      </c>
      <c r="D110" s="9">
        <v>-727167.84770956577</v>
      </c>
      <c r="E110" s="9">
        <v>-1704466.7431529325</v>
      </c>
      <c r="F110" s="9">
        <v>0</v>
      </c>
      <c r="G110" s="9">
        <v>0</v>
      </c>
      <c r="H110" s="9">
        <v>0</v>
      </c>
      <c r="I110" s="9">
        <v>0</v>
      </c>
      <c r="J110" s="9">
        <v>0</v>
      </c>
      <c r="K110" s="9">
        <v>0</v>
      </c>
      <c r="L110" s="9">
        <v>-60305.207298351786</v>
      </c>
      <c r="M110" s="9">
        <v>266347.99890105415</v>
      </c>
      <c r="N110" s="9">
        <v>-551395.99241820117</v>
      </c>
      <c r="O110" s="9">
        <v>1785040.8203876393</v>
      </c>
      <c r="P110" s="9">
        <v>-2190966.5404966711</v>
      </c>
      <c r="Q110" s="10">
        <v>974149.92145825725</v>
      </c>
      <c r="R110" s="8" cm="1">
        <f t="array" ref="R110:T125">TRANSPOSE(B126:Q128)</f>
        <v>0</v>
      </c>
      <c r="S110" s="9">
        <v>0</v>
      </c>
      <c r="T110" s="10">
        <v>0</v>
      </c>
      <c r="V110" s="2" cm="1">
        <f t="array" ref="V110:V125">MMULT(_xlfn.ANCHORARRAY(U92),S76:S107)</f>
        <v>-2732.5985977803944</v>
      </c>
    </row>
    <row r="111" spans="1:52">
      <c r="A111" s="23"/>
      <c r="B111" s="11">
        <v>-1321071.9975940185</v>
      </c>
      <c r="C111" s="1">
        <v>2986537.5178467203</v>
      </c>
      <c r="D111" s="1">
        <v>-142881.14965464891</v>
      </c>
      <c r="E111" s="1">
        <v>556830.30585107603</v>
      </c>
      <c r="F111" s="1">
        <v>0</v>
      </c>
      <c r="G111" s="1">
        <v>0</v>
      </c>
      <c r="H111" s="1">
        <v>0</v>
      </c>
      <c r="I111" s="1">
        <v>0</v>
      </c>
      <c r="J111" s="1">
        <v>0</v>
      </c>
      <c r="K111" s="1">
        <v>0</v>
      </c>
      <c r="L111" s="1">
        <v>266347.99890105415</v>
      </c>
      <c r="M111" s="1">
        <v>-1176370.3284796574</v>
      </c>
      <c r="N111" s="1">
        <v>497031.56705191021</v>
      </c>
      <c r="O111" s="1">
        <v>-1166911.190013903</v>
      </c>
      <c r="P111" s="1">
        <v>700573.58129570296</v>
      </c>
      <c r="Q111" s="12">
        <v>-1200086.3052042355</v>
      </c>
      <c r="R111" s="11">
        <v>0</v>
      </c>
      <c r="S111" s="1">
        <v>0</v>
      </c>
      <c r="T111" s="12">
        <v>0</v>
      </c>
      <c r="V111" s="3">
        <v>140.64639679354275</v>
      </c>
      <c r="Y111" s="23"/>
      <c r="Z111" s="192" t="s">
        <v>51</v>
      </c>
      <c r="AA111" s="193" t="s">
        <v>52</v>
      </c>
      <c r="AB111" s="193" t="s">
        <v>53</v>
      </c>
    </row>
    <row r="112" spans="1:52">
      <c r="A112" s="23"/>
      <c r="B112" s="11">
        <v>-727167.84770956577</v>
      </c>
      <c r="C112" s="1">
        <v>-142881.14965464891</v>
      </c>
      <c r="D112" s="1">
        <v>1530177.4680679459</v>
      </c>
      <c r="E112" s="1">
        <v>258472.97635326046</v>
      </c>
      <c r="F112" s="1">
        <v>147487.76617952943</v>
      </c>
      <c r="G112" s="1">
        <v>8701.1161864720925</v>
      </c>
      <c r="H112" s="1">
        <v>-206153.7200646798</v>
      </c>
      <c r="I112" s="1">
        <v>280598.11897692544</v>
      </c>
      <c r="J112" s="1">
        <v>0</v>
      </c>
      <c r="K112" s="1">
        <v>0</v>
      </c>
      <c r="L112" s="1">
        <v>0</v>
      </c>
      <c r="M112" s="1">
        <v>0</v>
      </c>
      <c r="N112" s="1">
        <v>0</v>
      </c>
      <c r="O112" s="1">
        <v>0</v>
      </c>
      <c r="P112" s="1">
        <v>-744343.66647322965</v>
      </c>
      <c r="Q112" s="12">
        <v>-404891.06186200911</v>
      </c>
      <c r="R112" s="11">
        <v>0</v>
      </c>
      <c r="S112" s="1">
        <v>0</v>
      </c>
      <c r="T112" s="12">
        <v>0</v>
      </c>
      <c r="V112" s="3">
        <v>1157.4682694976977</v>
      </c>
      <c r="Y112" s="289" t="s">
        <v>102</v>
      </c>
      <c r="Z112" s="8">
        <v>5</v>
      </c>
      <c r="AA112" s="9">
        <v>295</v>
      </c>
      <c r="AB112" s="10">
        <v>490</v>
      </c>
    </row>
    <row r="113" spans="1:28">
      <c r="A113" s="23"/>
      <c r="B113" s="11">
        <v>-1704466.7431529325</v>
      </c>
      <c r="C113" s="1">
        <v>556830.30585107603</v>
      </c>
      <c r="D113" s="1">
        <v>258472.97635326046</v>
      </c>
      <c r="E113" s="1">
        <v>4459685.7476002015</v>
      </c>
      <c r="F113" s="1">
        <v>1204860.2669617275</v>
      </c>
      <c r="G113" s="1">
        <v>-1467478.2348327856</v>
      </c>
      <c r="H113" s="1">
        <v>280598.11897692544</v>
      </c>
      <c r="I113" s="1">
        <v>-381925.21749637101</v>
      </c>
      <c r="J113" s="1">
        <v>0</v>
      </c>
      <c r="K113" s="1">
        <v>0</v>
      </c>
      <c r="L113" s="1">
        <v>0</v>
      </c>
      <c r="M113" s="1">
        <v>0</v>
      </c>
      <c r="N113" s="1">
        <v>0</v>
      </c>
      <c r="O113" s="1">
        <v>0</v>
      </c>
      <c r="P113" s="1">
        <v>-39464.619138981216</v>
      </c>
      <c r="Q113" s="12">
        <v>-3167112.6011221213</v>
      </c>
      <c r="R113" s="11">
        <v>0</v>
      </c>
      <c r="S113" s="1">
        <v>0</v>
      </c>
      <c r="T113" s="12">
        <v>0</v>
      </c>
      <c r="V113" s="3">
        <v>-408.63508354693045</v>
      </c>
      <c r="Y113" s="290"/>
      <c r="Z113" s="194">
        <v>6</v>
      </c>
      <c r="AA113" s="1">
        <v>145</v>
      </c>
      <c r="AB113" s="12">
        <v>560</v>
      </c>
    </row>
    <row r="114" spans="1:28">
      <c r="A114" s="23"/>
      <c r="B114" s="11">
        <v>0</v>
      </c>
      <c r="C114" s="1">
        <v>0</v>
      </c>
      <c r="D114" s="1">
        <v>147487.76617952943</v>
      </c>
      <c r="E114" s="1">
        <v>1204860.2669617275</v>
      </c>
      <c r="F114" s="1">
        <v>3197552.0289231595</v>
      </c>
      <c r="G114" s="1">
        <v>-313305.70778779115</v>
      </c>
      <c r="H114" s="1">
        <v>-1228688.3530575251</v>
      </c>
      <c r="I114" s="1">
        <v>-445656.71277180343</v>
      </c>
      <c r="J114" s="1">
        <v>0</v>
      </c>
      <c r="K114" s="1">
        <v>0</v>
      </c>
      <c r="L114" s="1">
        <v>-606699.84195809462</v>
      </c>
      <c r="M114" s="1">
        <v>-118960.75332511647</v>
      </c>
      <c r="N114" s="1">
        <v>0</v>
      </c>
      <c r="O114" s="1">
        <v>0</v>
      </c>
      <c r="P114" s="1">
        <v>-1509651.600087069</v>
      </c>
      <c r="Q114" s="12">
        <v>-326937.09307701665</v>
      </c>
      <c r="R114" s="11">
        <v>0</v>
      </c>
      <c r="S114" s="1">
        <v>0</v>
      </c>
      <c r="T114" s="12">
        <v>0</v>
      </c>
      <c r="V114" s="3">
        <v>-3237.8524528094963</v>
      </c>
      <c r="Y114" s="291"/>
      <c r="Z114" s="195">
        <v>9</v>
      </c>
      <c r="AA114" s="14">
        <v>313</v>
      </c>
      <c r="AB114" s="15">
        <v>272</v>
      </c>
    </row>
    <row r="115" spans="1:28">
      <c r="A115" s="23"/>
      <c r="B115" s="11">
        <v>0</v>
      </c>
      <c r="C115" s="1">
        <v>0</v>
      </c>
      <c r="D115" s="1">
        <v>8701.1161864720925</v>
      </c>
      <c r="E115" s="1">
        <v>-1467478.2348327856</v>
      </c>
      <c r="F115" s="1">
        <v>-313305.70778779115</v>
      </c>
      <c r="G115" s="1">
        <v>3742623.9877829831</v>
      </c>
      <c r="H115" s="1">
        <v>1453154.5011317134</v>
      </c>
      <c r="I115" s="1">
        <v>-1670577.4059056763</v>
      </c>
      <c r="J115" s="1">
        <v>0</v>
      </c>
      <c r="K115" s="1">
        <v>0</v>
      </c>
      <c r="L115" s="1">
        <v>-118960.75332511647</v>
      </c>
      <c r="M115" s="1">
        <v>-23325.637906885557</v>
      </c>
      <c r="N115" s="1">
        <v>0</v>
      </c>
      <c r="O115" s="1">
        <v>0</v>
      </c>
      <c r="P115" s="1">
        <v>-1029589.156205278</v>
      </c>
      <c r="Q115" s="12">
        <v>-581242.709137636</v>
      </c>
      <c r="R115" s="11">
        <v>0</v>
      </c>
      <c r="S115" s="1">
        <v>0</v>
      </c>
      <c r="T115" s="12">
        <v>0</v>
      </c>
      <c r="V115" s="3">
        <v>22.251975872794901</v>
      </c>
    </row>
    <row r="116" spans="1:28">
      <c r="A116" s="23"/>
      <c r="B116" s="11">
        <v>0</v>
      </c>
      <c r="C116" s="1">
        <v>0</v>
      </c>
      <c r="D116" s="1">
        <v>-206153.7200646798</v>
      </c>
      <c r="E116" s="1">
        <v>280598.11897692544</v>
      </c>
      <c r="F116" s="1">
        <v>-1228688.3530575251</v>
      </c>
      <c r="G116" s="1">
        <v>1453154.5011317134</v>
      </c>
      <c r="H116" s="1">
        <v>6377052.0806033146</v>
      </c>
      <c r="I116" s="1">
        <v>60080.069103766815</v>
      </c>
      <c r="J116" s="1">
        <v>-1392391.9154057975</v>
      </c>
      <c r="K116" s="1">
        <v>-1871079.3799337749</v>
      </c>
      <c r="L116" s="1">
        <v>-2467755.5804956895</v>
      </c>
      <c r="M116" s="1">
        <v>153229.9907167496</v>
      </c>
      <c r="N116" s="1">
        <v>0</v>
      </c>
      <c r="O116" s="1">
        <v>0</v>
      </c>
      <c r="P116" s="1">
        <v>-1082062.5115796223</v>
      </c>
      <c r="Q116" s="12">
        <v>-75983.299995380643</v>
      </c>
      <c r="R116" s="11">
        <v>1</v>
      </c>
      <c r="S116" s="1">
        <v>0</v>
      </c>
      <c r="T116" s="12">
        <v>-490</v>
      </c>
      <c r="V116" s="3">
        <v>235.30039842295946</v>
      </c>
    </row>
    <row r="117" spans="1:28">
      <c r="A117" s="23"/>
      <c r="B117" s="11">
        <v>0</v>
      </c>
      <c r="C117" s="1">
        <v>0</v>
      </c>
      <c r="D117" s="1">
        <v>280598.11897692544</v>
      </c>
      <c r="E117" s="1">
        <v>-381925.21749637101</v>
      </c>
      <c r="F117" s="1">
        <v>-445656.71277180343</v>
      </c>
      <c r="G117" s="1">
        <v>-1670577.4059056763</v>
      </c>
      <c r="H117" s="1">
        <v>60080.069103766815</v>
      </c>
      <c r="I117" s="1">
        <v>5042162.4770097015</v>
      </c>
      <c r="J117" s="1">
        <v>206717.33386082284</v>
      </c>
      <c r="K117" s="1">
        <v>-1289173.0999804328</v>
      </c>
      <c r="L117" s="1">
        <v>419604.13171809318</v>
      </c>
      <c r="M117" s="1">
        <v>-1351047.3176757013</v>
      </c>
      <c r="N117" s="1">
        <v>0</v>
      </c>
      <c r="O117" s="1">
        <v>0</v>
      </c>
      <c r="P117" s="1">
        <v>-521342.94088780507</v>
      </c>
      <c r="Q117" s="12">
        <v>-349439.43595151976</v>
      </c>
      <c r="R117" s="11">
        <v>0</v>
      </c>
      <c r="S117" s="1">
        <v>1</v>
      </c>
      <c r="T117" s="12">
        <v>295</v>
      </c>
      <c r="V117" s="3">
        <v>4651.5166145749708</v>
      </c>
    </row>
    <row r="118" spans="1:28">
      <c r="A118" s="23"/>
      <c r="B118" s="11">
        <v>0</v>
      </c>
      <c r="C118" s="1">
        <v>0</v>
      </c>
      <c r="D118" s="1">
        <v>0</v>
      </c>
      <c r="E118" s="1">
        <v>0</v>
      </c>
      <c r="F118" s="1">
        <v>0</v>
      </c>
      <c r="G118" s="1">
        <v>0</v>
      </c>
      <c r="H118" s="1">
        <v>-1392391.9154057975</v>
      </c>
      <c r="I118" s="1">
        <v>206717.33386082284</v>
      </c>
      <c r="J118" s="1">
        <v>1701793.3868240844</v>
      </c>
      <c r="K118" s="1">
        <v>7240.3260361686116</v>
      </c>
      <c r="L118" s="1">
        <v>-834516.91488046269</v>
      </c>
      <c r="M118" s="1">
        <v>-668089.34624797455</v>
      </c>
      <c r="N118" s="1">
        <v>333331.8231710103</v>
      </c>
      <c r="O118" s="1">
        <v>14175.26468405878</v>
      </c>
      <c r="P118" s="1">
        <v>191783.62029116554</v>
      </c>
      <c r="Q118" s="12">
        <v>439956.42166692443</v>
      </c>
      <c r="R118" s="11">
        <v>0</v>
      </c>
      <c r="S118" s="1">
        <v>0</v>
      </c>
      <c r="T118" s="96">
        <v>0</v>
      </c>
      <c r="V118" s="3">
        <v>-230.03022489782555</v>
      </c>
      <c r="Y118" s="21" t="s">
        <v>60</v>
      </c>
    </row>
    <row r="119" spans="1:28">
      <c r="A119" s="23"/>
      <c r="B119" s="11">
        <v>0</v>
      </c>
      <c r="C119" s="1">
        <v>0</v>
      </c>
      <c r="D119" s="1">
        <v>0</v>
      </c>
      <c r="E119" s="1">
        <v>0</v>
      </c>
      <c r="F119" s="1">
        <v>0</v>
      </c>
      <c r="G119" s="1">
        <v>0</v>
      </c>
      <c r="H119" s="1">
        <v>-1871079.3799337749</v>
      </c>
      <c r="I119" s="1">
        <v>-1289173.0999804328</v>
      </c>
      <c r="J119" s="1">
        <v>7240.3260361686116</v>
      </c>
      <c r="K119" s="1">
        <v>3931596.8471509041</v>
      </c>
      <c r="L119" s="1">
        <v>1048095.1029333562</v>
      </c>
      <c r="M119" s="1">
        <v>-1893001.5849928446</v>
      </c>
      <c r="N119" s="1">
        <v>156700.7037369154</v>
      </c>
      <c r="O119" s="1">
        <v>-571436.66811286635</v>
      </c>
      <c r="P119" s="1">
        <v>659043.24722733488</v>
      </c>
      <c r="Q119" s="12">
        <v>-177985.49406476028</v>
      </c>
      <c r="R119" s="11">
        <v>0</v>
      </c>
      <c r="S119" s="1">
        <v>0</v>
      </c>
      <c r="T119" s="96">
        <v>0</v>
      </c>
      <c r="V119" s="3">
        <v>-2370.7655555576466</v>
      </c>
      <c r="Y119" s="75" cm="1">
        <f t="array" ref="Y119:Y150">MMULT(B76:Q107,_xlfn.ANCHORARRAY(V131))+S76:S107</f>
        <v>1.1096535842044699</v>
      </c>
    </row>
    <row r="120" spans="1:28">
      <c r="A120" s="23"/>
      <c r="B120" s="11">
        <v>-60305.207298351786</v>
      </c>
      <c r="C120" s="1">
        <v>266347.99890105415</v>
      </c>
      <c r="D120" s="1">
        <v>0</v>
      </c>
      <c r="E120" s="1">
        <v>0</v>
      </c>
      <c r="F120" s="1">
        <v>-606699.84195809462</v>
      </c>
      <c r="G120" s="1">
        <v>-118960.75332511647</v>
      </c>
      <c r="H120" s="1">
        <v>-2467755.5804956895</v>
      </c>
      <c r="I120" s="1">
        <v>419604.13171809318</v>
      </c>
      <c r="J120" s="1">
        <v>-834516.91488046269</v>
      </c>
      <c r="K120" s="1">
        <v>1048095.1029333562</v>
      </c>
      <c r="L120" s="1">
        <v>7233417.6956599038</v>
      </c>
      <c r="M120" s="1">
        <v>183839.16970383108</v>
      </c>
      <c r="N120" s="1">
        <v>-641554.03692130232</v>
      </c>
      <c r="O120" s="1">
        <v>-1300053.589493115</v>
      </c>
      <c r="P120" s="1">
        <v>-2622586.1141060032</v>
      </c>
      <c r="Q120" s="12">
        <v>-498872.0604381031</v>
      </c>
      <c r="R120" s="11">
        <v>1</v>
      </c>
      <c r="S120" s="1">
        <v>0</v>
      </c>
      <c r="T120" s="12">
        <v>-560</v>
      </c>
      <c r="V120" s="3">
        <v>1381.0073700955072</v>
      </c>
      <c r="Y120" s="3">
        <v>-0.30866690578846034</v>
      </c>
    </row>
    <row r="121" spans="1:28">
      <c r="A121" s="23"/>
      <c r="B121" s="11">
        <v>266347.99890105415</v>
      </c>
      <c r="C121" s="1">
        <v>-1176370.3284796574</v>
      </c>
      <c r="D121" s="1">
        <v>0</v>
      </c>
      <c r="E121" s="1">
        <v>0</v>
      </c>
      <c r="F121" s="1">
        <v>-118960.75332511647</v>
      </c>
      <c r="G121" s="1">
        <v>-23325.637906885557</v>
      </c>
      <c r="H121" s="1">
        <v>153229.9907167496</v>
      </c>
      <c r="I121" s="1">
        <v>-1351047.3176757013</v>
      </c>
      <c r="J121" s="1">
        <v>-668089.34624797455</v>
      </c>
      <c r="K121" s="1">
        <v>-1893001.5849928446</v>
      </c>
      <c r="L121" s="1">
        <v>183839.16970383108</v>
      </c>
      <c r="M121" s="1">
        <v>7842926.8281508982</v>
      </c>
      <c r="N121" s="1">
        <v>-227611.33802902643</v>
      </c>
      <c r="O121" s="1">
        <v>-2619099.022196786</v>
      </c>
      <c r="P121" s="1">
        <v>411244.27828048274</v>
      </c>
      <c r="Q121" s="12">
        <v>-780082.93689902383</v>
      </c>
      <c r="R121" s="11">
        <v>0</v>
      </c>
      <c r="S121" s="1">
        <v>1</v>
      </c>
      <c r="T121" s="12">
        <v>145</v>
      </c>
      <c r="V121" s="3">
        <v>-2156.4891883735745</v>
      </c>
      <c r="Y121" s="3">
        <v>8.2019896589878627E-2</v>
      </c>
    </row>
    <row r="122" spans="1:28">
      <c r="A122" s="23"/>
      <c r="B122" s="11">
        <v>-551395.99241820117</v>
      </c>
      <c r="C122" s="1">
        <v>497031.56705191021</v>
      </c>
      <c r="D122" s="1">
        <v>0</v>
      </c>
      <c r="E122" s="1">
        <v>0</v>
      </c>
      <c r="F122" s="1">
        <v>0</v>
      </c>
      <c r="G122" s="1">
        <v>0</v>
      </c>
      <c r="H122" s="1">
        <v>0</v>
      </c>
      <c r="I122" s="1">
        <v>0</v>
      </c>
      <c r="J122" s="1">
        <v>333331.8231710103</v>
      </c>
      <c r="K122" s="1">
        <v>156700.7037369154</v>
      </c>
      <c r="L122" s="1">
        <v>-641554.03692130232</v>
      </c>
      <c r="M122" s="1">
        <v>-227611.33802902643</v>
      </c>
      <c r="N122" s="1">
        <v>1603418.2072534848</v>
      </c>
      <c r="O122" s="1">
        <v>-541984.55080570292</v>
      </c>
      <c r="P122" s="1">
        <v>-743800.0010849915</v>
      </c>
      <c r="Q122" s="12">
        <v>115863.61804590373</v>
      </c>
      <c r="R122" s="11">
        <v>1</v>
      </c>
      <c r="S122" s="1">
        <v>0</v>
      </c>
      <c r="T122" s="12">
        <v>-272</v>
      </c>
      <c r="V122" s="3">
        <v>104.94010075610322</v>
      </c>
      <c r="Y122" s="3">
        <v>0.11707856230371516</v>
      </c>
    </row>
    <row r="123" spans="1:28">
      <c r="A123" s="23"/>
      <c r="B123" s="11">
        <v>1785040.8203876393</v>
      </c>
      <c r="C123" s="1">
        <v>-1166911.190013903</v>
      </c>
      <c r="D123" s="1">
        <v>0</v>
      </c>
      <c r="E123" s="1">
        <v>0</v>
      </c>
      <c r="F123" s="1">
        <v>0</v>
      </c>
      <c r="G123" s="1">
        <v>0</v>
      </c>
      <c r="H123" s="1">
        <v>0</v>
      </c>
      <c r="I123" s="1">
        <v>0</v>
      </c>
      <c r="J123" s="1">
        <v>14175.26468405878</v>
      </c>
      <c r="K123" s="1">
        <v>-571436.66811286635</v>
      </c>
      <c r="L123" s="1">
        <v>-1300053.589493115</v>
      </c>
      <c r="M123" s="1">
        <v>-2619099.022196786</v>
      </c>
      <c r="N123" s="1">
        <v>-541984.55080570292</v>
      </c>
      <c r="O123" s="1">
        <v>5683020.4019816006</v>
      </c>
      <c r="P123" s="1">
        <v>42822.055227119708</v>
      </c>
      <c r="Q123" s="12">
        <v>-1325573.5216580448</v>
      </c>
      <c r="R123" s="11">
        <v>0</v>
      </c>
      <c r="S123" s="1">
        <v>1</v>
      </c>
      <c r="T123" s="12">
        <v>313</v>
      </c>
      <c r="V123" s="3">
        <v>3273.295223438698</v>
      </c>
      <c r="Y123" s="3">
        <v>-0.38494389272437507</v>
      </c>
    </row>
    <row r="124" spans="1:28">
      <c r="A124" s="23"/>
      <c r="B124" s="11">
        <v>-2190966.5404966711</v>
      </c>
      <c r="C124" s="1">
        <v>700573.58129570296</v>
      </c>
      <c r="D124" s="1">
        <v>-744343.66647322965</v>
      </c>
      <c r="E124" s="1">
        <v>-39464.619138981216</v>
      </c>
      <c r="F124" s="1">
        <v>-1509651.600087069</v>
      </c>
      <c r="G124" s="1">
        <v>-1029589.156205278</v>
      </c>
      <c r="H124" s="1">
        <v>-1082062.5115796223</v>
      </c>
      <c r="I124" s="1">
        <v>-521342.94088780507</v>
      </c>
      <c r="J124" s="1">
        <v>191783.62029116554</v>
      </c>
      <c r="K124" s="1">
        <v>659043.24722733488</v>
      </c>
      <c r="L124" s="1">
        <v>-2622586.1141060032</v>
      </c>
      <c r="M124" s="1">
        <v>411244.27828048274</v>
      </c>
      <c r="N124" s="1">
        <v>-743800.0010849915</v>
      </c>
      <c r="O124" s="1">
        <v>42822.055227119708</v>
      </c>
      <c r="P124" s="1">
        <v>8701626.8135364205</v>
      </c>
      <c r="Q124" s="12">
        <v>-223286.44579857611</v>
      </c>
      <c r="R124" s="11">
        <v>0</v>
      </c>
      <c r="S124" s="1">
        <v>0</v>
      </c>
      <c r="T124" s="96">
        <v>0</v>
      </c>
      <c r="V124" s="3">
        <v>3321.765136715449</v>
      </c>
      <c r="Y124" s="3">
        <v>1.4738131793816969</v>
      </c>
    </row>
    <row r="125" spans="1:28">
      <c r="A125" s="23"/>
      <c r="B125" s="13">
        <v>974149.92145825725</v>
      </c>
      <c r="C125" s="14">
        <v>-1200086.3052042355</v>
      </c>
      <c r="D125" s="14">
        <v>-404891.06186200911</v>
      </c>
      <c r="E125" s="14">
        <v>-3167112.6011221213</v>
      </c>
      <c r="F125" s="14">
        <v>-326937.09307701665</v>
      </c>
      <c r="G125" s="14">
        <v>-581242.709137636</v>
      </c>
      <c r="H125" s="14">
        <v>-75983.299995380643</v>
      </c>
      <c r="I125" s="14">
        <v>-349439.43595151976</v>
      </c>
      <c r="J125" s="14">
        <v>439956.42166692443</v>
      </c>
      <c r="K125" s="14">
        <v>-177985.49406476028</v>
      </c>
      <c r="L125" s="14">
        <v>-498872.0604381031</v>
      </c>
      <c r="M125" s="14">
        <v>-780082.93689902383</v>
      </c>
      <c r="N125" s="14">
        <v>115863.61804590373</v>
      </c>
      <c r="O125" s="14">
        <v>-1325573.5216580448</v>
      </c>
      <c r="P125" s="14">
        <v>-223286.44579857611</v>
      </c>
      <c r="Q125" s="15">
        <v>7581523.004037343</v>
      </c>
      <c r="R125" s="13">
        <v>0</v>
      </c>
      <c r="S125" s="14">
        <v>0</v>
      </c>
      <c r="T125" s="97">
        <v>0</v>
      </c>
      <c r="V125" s="4">
        <v>-3151.8203832018557</v>
      </c>
      <c r="Y125" s="3">
        <v>2.0682107123936033E-3</v>
      </c>
    </row>
    <row r="126" spans="1:28" ht="25.75" customHeight="1">
      <c r="A126" s="260" t="s">
        <v>61</v>
      </c>
      <c r="B126" s="8">
        <v>0</v>
      </c>
      <c r="C126" s="9">
        <v>0</v>
      </c>
      <c r="D126" s="9">
        <v>0</v>
      </c>
      <c r="E126" s="9">
        <v>0</v>
      </c>
      <c r="F126" s="9">
        <v>0</v>
      </c>
      <c r="G126" s="9">
        <v>0</v>
      </c>
      <c r="H126" s="9">
        <v>1</v>
      </c>
      <c r="I126" s="9">
        <v>0</v>
      </c>
      <c r="J126" s="9">
        <v>0</v>
      </c>
      <c r="K126" s="9">
        <v>0</v>
      </c>
      <c r="L126" s="9">
        <v>1</v>
      </c>
      <c r="M126" s="9">
        <v>0</v>
      </c>
      <c r="N126" s="9">
        <v>1</v>
      </c>
      <c r="O126" s="9">
        <v>0</v>
      </c>
      <c r="P126" s="9">
        <v>0</v>
      </c>
      <c r="Q126" s="10">
        <v>0</v>
      </c>
      <c r="R126" s="23">
        <v>0</v>
      </c>
      <c r="S126" s="23">
        <v>0</v>
      </c>
      <c r="T126" s="23">
        <v>0</v>
      </c>
      <c r="Y126" s="3">
        <v>-1.1894584909427306</v>
      </c>
    </row>
    <row r="127" spans="1:28">
      <c r="A127" s="261"/>
      <c r="B127" s="11">
        <v>0</v>
      </c>
      <c r="C127" s="1">
        <v>0</v>
      </c>
      <c r="D127" s="1">
        <v>0</v>
      </c>
      <c r="E127" s="1">
        <v>0</v>
      </c>
      <c r="F127" s="1">
        <v>0</v>
      </c>
      <c r="G127" s="1">
        <v>0</v>
      </c>
      <c r="H127" s="1">
        <v>0</v>
      </c>
      <c r="I127" s="1">
        <v>1</v>
      </c>
      <c r="J127" s="1">
        <v>0</v>
      </c>
      <c r="K127" s="1">
        <v>0</v>
      </c>
      <c r="L127" s="1">
        <v>0</v>
      </c>
      <c r="M127" s="1">
        <v>1</v>
      </c>
      <c r="N127" s="1">
        <v>0</v>
      </c>
      <c r="O127" s="1">
        <v>1</v>
      </c>
      <c r="P127" s="1">
        <v>0</v>
      </c>
      <c r="Q127" s="12">
        <v>0</v>
      </c>
      <c r="R127" s="23">
        <v>0</v>
      </c>
      <c r="S127" s="23">
        <v>0</v>
      </c>
      <c r="T127" s="23">
        <v>0</v>
      </c>
      <c r="Y127" s="3">
        <v>-0.68269565053967196</v>
      </c>
    </row>
    <row r="128" spans="1:28">
      <c r="A128" s="262"/>
      <c r="B128" s="13">
        <v>0</v>
      </c>
      <c r="C128" s="14">
        <v>0</v>
      </c>
      <c r="D128" s="14">
        <v>0</v>
      </c>
      <c r="E128" s="14">
        <v>0</v>
      </c>
      <c r="F128" s="14">
        <v>0</v>
      </c>
      <c r="G128" s="14">
        <v>0</v>
      </c>
      <c r="H128" s="14">
        <f>-AB112</f>
        <v>-490</v>
      </c>
      <c r="I128" s="14">
        <f>AA112</f>
        <v>295</v>
      </c>
      <c r="J128" s="80">
        <v>0</v>
      </c>
      <c r="K128" s="80">
        <v>0</v>
      </c>
      <c r="L128" s="31">
        <f>-AB113</f>
        <v>-560</v>
      </c>
      <c r="M128" s="31">
        <f>AA113</f>
        <v>145</v>
      </c>
      <c r="N128" s="31">
        <f>-AB114</f>
        <v>-272</v>
      </c>
      <c r="O128" s="31">
        <f>AA114</f>
        <v>313</v>
      </c>
      <c r="P128" s="80">
        <v>0</v>
      </c>
      <c r="Q128" s="97">
        <v>0</v>
      </c>
      <c r="R128" s="23">
        <v>0</v>
      </c>
      <c r="S128" s="23">
        <v>0</v>
      </c>
      <c r="T128" s="23">
        <v>0</v>
      </c>
      <c r="Y128" s="3">
        <v>-0.12232426692848986</v>
      </c>
    </row>
    <row r="129" spans="2:31">
      <c r="V129" s="23"/>
      <c r="W129" s="23"/>
      <c r="X129" s="23"/>
      <c r="Y129" s="3">
        <v>-1.1222947226809965</v>
      </c>
      <c r="Z129" s="23"/>
      <c r="AA129" s="21" t="s">
        <v>62</v>
      </c>
      <c r="AB129" s="87" cm="1">
        <f t="array" ref="AB129">MMULT(TRANSPOSE(_xlfn.ANCHORARRAY(Y119)),S76:S107)</f>
        <v>16.225205536485568</v>
      </c>
      <c r="AC129" s="23"/>
      <c r="AD129" s="23"/>
      <c r="AE129" s="23"/>
    </row>
    <row r="130" spans="2:31">
      <c r="B130" s="269" t="s">
        <v>63</v>
      </c>
      <c r="C130" s="270"/>
      <c r="D130" s="270"/>
      <c r="E130" s="270"/>
      <c r="F130" s="270"/>
      <c r="G130" s="270"/>
      <c r="H130" s="270"/>
      <c r="I130" s="270"/>
      <c r="J130" s="270"/>
      <c r="K130" s="270"/>
      <c r="L130" s="270"/>
      <c r="M130" s="270"/>
      <c r="N130" s="270"/>
      <c r="O130" s="270"/>
      <c r="P130" s="270"/>
      <c r="Q130" s="271"/>
      <c r="R130" s="257" t="s">
        <v>64</v>
      </c>
      <c r="S130" s="258"/>
      <c r="T130" s="259"/>
      <c r="V130" s="69" t="s">
        <v>52</v>
      </c>
      <c r="W130" s="69" t="s">
        <v>65</v>
      </c>
      <c r="X130" s="23"/>
      <c r="Y130" s="3">
        <v>-0.38440162258364236</v>
      </c>
      <c r="Z130" s="23"/>
      <c r="AA130" s="21" t="s">
        <v>66</v>
      </c>
      <c r="AB130" s="88" cm="1">
        <f t="array" ref="AB130">MMULT(TRANSPOSE(_xlfn.ANCHORARRAY(Y119)),_xlfn.ANCHORARRAY(Y119))</f>
        <v>16.225205536485561</v>
      </c>
      <c r="AC130" s="23"/>
      <c r="AD130" s="23"/>
      <c r="AE130" s="23"/>
    </row>
    <row r="131" spans="2:31">
      <c r="B131" s="64" cm="1">
        <f t="array" ref="B131:T149">MINVERSE(B110:T128)</f>
        <v>2.4133904342982537E-6</v>
      </c>
      <c r="C131" s="65">
        <v>5.9199989876310136E-7</v>
      </c>
      <c r="D131" s="65">
        <v>1.4101580360528816E-6</v>
      </c>
      <c r="E131" s="65">
        <v>1.9244469086255182E-6</v>
      </c>
      <c r="F131" s="65">
        <v>-9.9376888544099867E-8</v>
      </c>
      <c r="G131" s="65">
        <v>1.5298898293653022E-6</v>
      </c>
      <c r="H131" s="65">
        <v>-3.3486602137508541E-7</v>
      </c>
      <c r="I131" s="65">
        <v>5.7909385255916089E-7</v>
      </c>
      <c r="J131" s="65">
        <v>-5.6542488962107419E-7</v>
      </c>
      <c r="K131" s="65">
        <v>-2.6811407153066798E-7</v>
      </c>
      <c r="L131" s="65">
        <v>2.4551707334369925E-7</v>
      </c>
      <c r="M131" s="65">
        <v>-4.8403653626675228E-8</v>
      </c>
      <c r="N131" s="65">
        <v>8.9348948031386288E-8</v>
      </c>
      <c r="O131" s="65">
        <v>-5.3069019893248563E-7</v>
      </c>
      <c r="P131" s="65">
        <v>9.8529129570248041E-7</v>
      </c>
      <c r="Q131" s="66">
        <v>7.7173864537360914E-7</v>
      </c>
      <c r="R131" s="64">
        <v>3.7106892701248619</v>
      </c>
      <c r="S131" s="65">
        <v>-1.9237133285960828</v>
      </c>
      <c r="T131" s="66">
        <v>7.6641965282712452E-3</v>
      </c>
      <c r="V131" s="92" cm="1">
        <f t="array" ref="V131:V146">-MMULT(B131:Q146,_xlfn.ANCHORARRAY(V110))</f>
        <v>2.3731281226896019E-3</v>
      </c>
      <c r="W131" s="89">
        <f>$AB$131*SQRT(INDEX($B$131:$Q$146,1,1))</f>
        <v>1.4355955271937867E-3</v>
      </c>
      <c r="X131" s="23"/>
      <c r="Y131" s="3">
        <v>-7.330129713477529E-2</v>
      </c>
      <c r="Z131" s="23"/>
      <c r="AA131" s="21" t="s">
        <v>67</v>
      </c>
      <c r="AB131" s="88">
        <f>SQRT(AB130/(32-16+3))</f>
        <v>0.92409858030992509</v>
      </c>
      <c r="AC131" s="23"/>
      <c r="AD131" s="23"/>
      <c r="AE131" s="23"/>
    </row>
    <row r="132" spans="2:31">
      <c r="B132" s="67">
        <v>5.9199989876310051E-7</v>
      </c>
      <c r="C132" s="25">
        <v>5.5331371403367278E-7</v>
      </c>
      <c r="D132" s="25">
        <v>3.9872178418300869E-7</v>
      </c>
      <c r="E132" s="25">
        <v>4.2883245432250654E-7</v>
      </c>
      <c r="F132" s="25">
        <v>-4.3742331760256611E-8</v>
      </c>
      <c r="G132" s="25">
        <v>3.1036446008918226E-7</v>
      </c>
      <c r="H132" s="25">
        <v>-6.9594314888338703E-8</v>
      </c>
      <c r="I132" s="25">
        <v>6.3582644034811903E-8</v>
      </c>
      <c r="J132" s="25">
        <v>-1.2744818828193315E-7</v>
      </c>
      <c r="K132" s="25">
        <v>-5.1337612534566227E-8</v>
      </c>
      <c r="L132" s="25">
        <v>4.2174804522109238E-8</v>
      </c>
      <c r="M132" s="25">
        <v>1.1194817563474786E-8</v>
      </c>
      <c r="N132" s="25">
        <v>2.7419510366229388E-8</v>
      </c>
      <c r="O132" s="25">
        <v>-7.4777461598286595E-8</v>
      </c>
      <c r="P132" s="25">
        <v>1.9256000195068109E-7</v>
      </c>
      <c r="Q132" s="45">
        <v>2.3838964620165061E-7</v>
      </c>
      <c r="R132" s="67">
        <v>0.42496531654992709</v>
      </c>
      <c r="S132" s="25">
        <v>9.127668933780006E-2</v>
      </c>
      <c r="T132" s="45">
        <v>9.6436909958379767E-4</v>
      </c>
      <c r="V132" s="93">
        <v>9.9417204633298799E-4</v>
      </c>
      <c r="W132" s="90">
        <f>$AB$131*SQRT(INDEX($B$131:$Q$146,2,2))</f>
        <v>6.8739128274768072E-4</v>
      </c>
      <c r="X132" s="23"/>
      <c r="Y132" s="3">
        <v>-0.22474638111545645</v>
      </c>
      <c r="Z132" s="23"/>
      <c r="AA132" s="23"/>
      <c r="AB132" s="23"/>
      <c r="AC132" s="23"/>
      <c r="AD132" s="23"/>
      <c r="AE132" s="23"/>
    </row>
    <row r="133" spans="2:31">
      <c r="B133" s="67">
        <v>1.4101580360528812E-6</v>
      </c>
      <c r="C133" s="25">
        <v>3.9872178418300891E-7</v>
      </c>
      <c r="D133" s="25">
        <v>1.5300691332634422E-6</v>
      </c>
      <c r="E133" s="25">
        <v>1.105660335642309E-6</v>
      </c>
      <c r="F133" s="25">
        <v>-5.5300936454089545E-8</v>
      </c>
      <c r="G133" s="25">
        <v>8.9448229149712597E-7</v>
      </c>
      <c r="H133" s="25">
        <v>-1.9385881781302851E-7</v>
      </c>
      <c r="I133" s="25">
        <v>3.1042230387007975E-7</v>
      </c>
      <c r="J133" s="25">
        <v>-3.4288929607775573E-7</v>
      </c>
      <c r="K133" s="25">
        <v>-1.678778949266379E-7</v>
      </c>
      <c r="L133" s="25">
        <v>1.4311869859564642E-7</v>
      </c>
      <c r="M133" s="25">
        <v>-2.7050978464091054E-8</v>
      </c>
      <c r="N133" s="25">
        <v>5.0740119217382011E-8</v>
      </c>
      <c r="O133" s="25">
        <v>-2.8337132540598863E-7</v>
      </c>
      <c r="P133" s="25">
        <v>6.3270945799916938E-7</v>
      </c>
      <c r="Q133" s="45">
        <v>4.9497599241764195E-7</v>
      </c>
      <c r="R133" s="67">
        <v>2.0331945995330436</v>
      </c>
      <c r="S133" s="25">
        <v>-0.96822657598213457</v>
      </c>
      <c r="T133" s="45">
        <v>3.857476398335198E-3</v>
      </c>
      <c r="V133" s="93">
        <v>5.2858188606955277E-4</v>
      </c>
      <c r="W133" s="90">
        <f>$AB$131*SQRT(INDEX($B$131:$Q$146,3,3))</f>
        <v>1.1430726406035637E-3</v>
      </c>
      <c r="X133" s="23"/>
      <c r="Y133" s="3">
        <v>1.0167600693987229</v>
      </c>
      <c r="Z133" s="23"/>
      <c r="AA133" s="69" t="s">
        <v>68</v>
      </c>
      <c r="AB133" s="23"/>
      <c r="AC133" s="23"/>
      <c r="AD133" s="23"/>
      <c r="AE133" s="23"/>
    </row>
    <row r="134" spans="2:31">
      <c r="B134" s="67">
        <v>1.9244469086255191E-6</v>
      </c>
      <c r="C134" s="25">
        <v>4.2883245432250691E-7</v>
      </c>
      <c r="D134" s="25">
        <v>1.1056603356423094E-6</v>
      </c>
      <c r="E134" s="25">
        <v>2.0870713708267397E-6</v>
      </c>
      <c r="F134" s="25">
        <v>-2.1882924917153863E-7</v>
      </c>
      <c r="G134" s="25">
        <v>1.526688011918096E-6</v>
      </c>
      <c r="H134" s="25">
        <v>-3.3416281328195504E-7</v>
      </c>
      <c r="I134" s="25">
        <v>5.1558207801848224E-7</v>
      </c>
      <c r="J134" s="25">
        <v>-5.6048350212975173E-7</v>
      </c>
      <c r="K134" s="25">
        <v>-2.5544475805876505E-7</v>
      </c>
      <c r="L134" s="25">
        <v>2.558772850400486E-7</v>
      </c>
      <c r="M134" s="25">
        <v>-6.0271679764287436E-8</v>
      </c>
      <c r="N134" s="25">
        <v>7.8285528241906573E-8</v>
      </c>
      <c r="O134" s="25">
        <v>-4.5531039825419483E-7</v>
      </c>
      <c r="P134" s="25">
        <v>8.287587508830439E-7</v>
      </c>
      <c r="Q134" s="45">
        <v>8.6030124614988122E-7</v>
      </c>
      <c r="R134" s="67">
        <v>3.5786552972625456</v>
      </c>
      <c r="S134" s="25">
        <v>-1.7050384055764223</v>
      </c>
      <c r="T134" s="45">
        <v>8.1210029438635676E-3</v>
      </c>
      <c r="V134" s="93">
        <v>1.9322441245496185E-3</v>
      </c>
      <c r="W134" s="90">
        <f>$AB$131*SQRT(INDEX($B$131:$Q$146,4,4))</f>
        <v>1.3350174838393559E-3</v>
      </c>
      <c r="X134" s="23"/>
      <c r="Y134" s="3">
        <v>-0.28345222906185402</v>
      </c>
      <c r="Z134" s="23"/>
      <c r="AA134" s="2" cm="1">
        <f t="array" ref="AA134:AA149">MMULT(_xlfn.ANCHORARRAY(U92),_xlfn.ANCHORARRAY(Y119))</f>
        <v>-1.4779288903810084E-12</v>
      </c>
      <c r="AB134" s="23"/>
      <c r="AC134" s="23"/>
      <c r="AD134" s="23"/>
      <c r="AE134" s="23"/>
    </row>
    <row r="135" spans="2:31">
      <c r="B135" s="67">
        <v>-9.9376888544100846E-8</v>
      </c>
      <c r="C135" s="25">
        <v>-4.374233176025677E-8</v>
      </c>
      <c r="D135" s="25">
        <v>-5.5300936454089856E-8</v>
      </c>
      <c r="E135" s="25">
        <v>-2.188292491715389E-7</v>
      </c>
      <c r="F135" s="25">
        <v>4.119535064963045E-7</v>
      </c>
      <c r="G135" s="25">
        <v>-6.6554540524613021E-8</v>
      </c>
      <c r="H135" s="25">
        <v>4.3667782276743578E-8</v>
      </c>
      <c r="I135" s="25">
        <v>1.2869644813707686E-8</v>
      </c>
      <c r="J135" s="25">
        <v>3.5974413812990254E-8</v>
      </c>
      <c r="K135" s="25">
        <v>1.3391160061178904E-8</v>
      </c>
      <c r="L135" s="25">
        <v>-2.1022282589337601E-8</v>
      </c>
      <c r="M135" s="25">
        <v>-2.200483784075979E-8</v>
      </c>
      <c r="N135" s="25">
        <v>-2.2645499687406156E-8</v>
      </c>
      <c r="O135" s="25">
        <v>9.1351930270522726E-9</v>
      </c>
      <c r="P135" s="25">
        <v>3.150410559522811E-8</v>
      </c>
      <c r="Q135" s="45">
        <v>-7.737888007125205E-8</v>
      </c>
      <c r="R135" s="67">
        <v>-0.51659729976651947</v>
      </c>
      <c r="S135" s="25">
        <v>0.48411328799106612</v>
      </c>
      <c r="T135" s="45">
        <v>-1.9287381991675934E-3</v>
      </c>
      <c r="V135" s="93">
        <v>6.1991195607259751E-4</v>
      </c>
      <c r="W135" s="90">
        <f>$AB$131*SQRT(INDEX($B$131:$Q$146,5,5))</f>
        <v>5.9311977641772723E-4</v>
      </c>
      <c r="X135" s="23"/>
      <c r="Y135" s="3">
        <v>0.45015207732512985</v>
      </c>
      <c r="Z135" s="23"/>
      <c r="AA135" s="3">
        <v>1.5916157281026244E-12</v>
      </c>
      <c r="AB135" s="23"/>
      <c r="AC135" s="23"/>
      <c r="AD135" s="23"/>
      <c r="AE135" s="23"/>
    </row>
    <row r="136" spans="2:31">
      <c r="B136" s="67">
        <v>1.5298898293653022E-6</v>
      </c>
      <c r="C136" s="25">
        <v>3.1036446008918274E-7</v>
      </c>
      <c r="D136" s="25">
        <v>8.9448229149712618E-7</v>
      </c>
      <c r="E136" s="25">
        <v>1.5266880119180954E-6</v>
      </c>
      <c r="F136" s="25">
        <v>-6.6554540524612332E-8</v>
      </c>
      <c r="G136" s="25">
        <v>1.4876762784391041E-6</v>
      </c>
      <c r="H136" s="25">
        <v>-2.886073121169018E-7</v>
      </c>
      <c r="I136" s="25">
        <v>4.7198608261090457E-7</v>
      </c>
      <c r="J136" s="25">
        <v>-4.6458299017543751E-7</v>
      </c>
      <c r="K136" s="25">
        <v>-2.2985648144780132E-7</v>
      </c>
      <c r="L136" s="25">
        <v>2.3014168456066708E-7</v>
      </c>
      <c r="M136" s="25">
        <v>-7.0596194041569262E-8</v>
      </c>
      <c r="N136" s="25">
        <v>5.8465627556234876E-8</v>
      </c>
      <c r="O136" s="25">
        <v>-4.013898885693353E-7</v>
      </c>
      <c r="P136" s="25">
        <v>7.244696386646931E-7</v>
      </c>
      <c r="Q136" s="45">
        <v>6.4783418642993771E-7</v>
      </c>
      <c r="R136" s="67">
        <v>3.0418570026731646</v>
      </c>
      <c r="S136" s="25">
        <v>-1.3992826447399591</v>
      </c>
      <c r="T136" s="45">
        <v>6.9028525022840339E-3</v>
      </c>
      <c r="V136" s="93">
        <v>1.1705073353774596E-3</v>
      </c>
      <c r="W136" s="90">
        <f>$AB$131*SQRT(INDEX($B$131:$Q$146,6,6))</f>
        <v>1.1271261403612751E-3</v>
      </c>
      <c r="X136" s="23"/>
      <c r="Y136" s="3">
        <v>-0.13866045050786263</v>
      </c>
      <c r="Z136" s="23"/>
      <c r="AA136" s="3">
        <v>5.4001247917767614E-13</v>
      </c>
      <c r="AB136" s="23"/>
      <c r="AC136" s="23"/>
      <c r="AD136" s="23"/>
      <c r="AE136" s="23"/>
    </row>
    <row r="137" spans="2:31">
      <c r="B137" s="67">
        <v>-3.3486602137508662E-7</v>
      </c>
      <c r="C137" s="25">
        <v>-6.9594314888338901E-8</v>
      </c>
      <c r="D137" s="25">
        <v>-1.938588178130289E-7</v>
      </c>
      <c r="E137" s="25">
        <v>-3.3416281328195525E-7</v>
      </c>
      <c r="F137" s="25">
        <v>4.3667782276743592E-8</v>
      </c>
      <c r="G137" s="25">
        <v>-2.8860731211690275E-7</v>
      </c>
      <c r="H137" s="25">
        <v>1.5195815313125801E-7</v>
      </c>
      <c r="I137" s="25">
        <v>-7.3453677364776019E-8</v>
      </c>
      <c r="J137" s="25">
        <v>1.4138917303299857E-7</v>
      </c>
      <c r="K137" s="25">
        <v>1.0817693853530394E-7</v>
      </c>
      <c r="L137" s="25">
        <v>-1.0801230450226341E-7</v>
      </c>
      <c r="M137" s="25">
        <v>-4.1498065083125467E-9</v>
      </c>
      <c r="N137" s="25">
        <v>-4.3945848628994914E-8</v>
      </c>
      <c r="O137" s="25">
        <v>7.7603483873088794E-8</v>
      </c>
      <c r="P137" s="25">
        <v>-1.6038102791500785E-7</v>
      </c>
      <c r="Q137" s="45">
        <v>-1.4372452165606546E-7</v>
      </c>
      <c r="R137" s="67">
        <v>-1.2546949548269202</v>
      </c>
      <c r="S137" s="25">
        <v>0.90452745914120369</v>
      </c>
      <c r="T137" s="45">
        <v>-3.6036950563394562E-3</v>
      </c>
      <c r="V137" s="93">
        <v>-1.0415482632063515E-4</v>
      </c>
      <c r="W137" s="90">
        <f>$AB$131*SQRT(INDEX($B$131:$Q$146,7,7))</f>
        <v>3.6023035521143737E-4</v>
      </c>
      <c r="X137" s="23"/>
      <c r="Y137" s="3">
        <v>-0.59833934090979013</v>
      </c>
      <c r="Z137" s="23"/>
      <c r="AA137" s="3">
        <v>4.6043169277254492E-12</v>
      </c>
      <c r="AB137" s="23"/>
      <c r="AC137" s="23"/>
      <c r="AD137" s="23"/>
      <c r="AE137" s="23"/>
    </row>
    <row r="138" spans="2:31">
      <c r="B138" s="67">
        <v>5.7909385255916047E-7</v>
      </c>
      <c r="C138" s="25">
        <v>6.3582644034812022E-8</v>
      </c>
      <c r="D138" s="25">
        <v>3.1042230387007964E-7</v>
      </c>
      <c r="E138" s="25">
        <v>5.1558207801848224E-7</v>
      </c>
      <c r="F138" s="25">
        <v>1.2869644813707802E-8</v>
      </c>
      <c r="G138" s="25">
        <v>4.7198608261090479E-7</v>
      </c>
      <c r="H138" s="25">
        <v>-7.3453677364775966E-8</v>
      </c>
      <c r="I138" s="25">
        <v>2.9860193907353917E-7</v>
      </c>
      <c r="J138" s="25">
        <v>-1.6324611835316113E-7</v>
      </c>
      <c r="K138" s="25">
        <v>-5.996565635144537E-8</v>
      </c>
      <c r="L138" s="25">
        <v>7.5369132710780306E-8</v>
      </c>
      <c r="M138" s="25">
        <v>-6.5882401538733342E-8</v>
      </c>
      <c r="N138" s="25">
        <v>-1.9154553460043021E-9</v>
      </c>
      <c r="O138" s="25">
        <v>-2.3271953753480577E-7</v>
      </c>
      <c r="P138" s="25">
        <v>2.7627103659486173E-7</v>
      </c>
      <c r="Q138" s="45">
        <v>1.9110393068116807E-7</v>
      </c>
      <c r="R138" s="67">
        <v>1.163062971610328</v>
      </c>
      <c r="S138" s="25">
        <v>-0.32913748181233743</v>
      </c>
      <c r="T138" s="45">
        <v>2.6393259567556609E-3</v>
      </c>
      <c r="V138" s="93">
        <v>1.0507098205553864E-4</v>
      </c>
      <c r="W138" s="90">
        <f>$AB$131*SQRT(INDEX($B$131:$Q$146,8,8))</f>
        <v>5.0496888049303087E-4</v>
      </c>
      <c r="X138" s="23"/>
      <c r="Y138" s="3">
        <v>1.627331602170647</v>
      </c>
      <c r="Z138" s="23"/>
      <c r="AA138" s="3">
        <v>5.6843418860808015E-14</v>
      </c>
      <c r="AB138" s="23"/>
      <c r="AC138" s="23"/>
      <c r="AD138" s="23"/>
      <c r="AE138" s="23"/>
    </row>
    <row r="139" spans="2:31">
      <c r="B139" s="67">
        <v>-5.6542488962107525E-7</v>
      </c>
      <c r="C139" s="25">
        <v>-1.2744818828193358E-7</v>
      </c>
      <c r="D139" s="25">
        <v>-3.428892960777562E-7</v>
      </c>
      <c r="E139" s="25">
        <v>-5.6048350212975163E-7</v>
      </c>
      <c r="F139" s="25">
        <v>3.5974413812990009E-8</v>
      </c>
      <c r="G139" s="25">
        <v>-4.6458299017543878E-7</v>
      </c>
      <c r="H139" s="25">
        <v>1.4138917303299817E-7</v>
      </c>
      <c r="I139" s="25">
        <v>-1.6324611835316105E-7</v>
      </c>
      <c r="J139" s="25">
        <v>7.8349480822888705E-7</v>
      </c>
      <c r="K139" s="25">
        <v>1.0683397078079984E-7</v>
      </c>
      <c r="L139" s="25">
        <v>-1.0860403981608466E-7</v>
      </c>
      <c r="M139" s="25">
        <v>2.0199725453544937E-8</v>
      </c>
      <c r="N139" s="25">
        <v>-3.2785133216913853E-8</v>
      </c>
      <c r="O139" s="25">
        <v>1.4304639289961637E-7</v>
      </c>
      <c r="P139" s="25">
        <v>-2.7440696651258012E-7</v>
      </c>
      <c r="Q139" s="45">
        <v>-2.7074083710004795E-7</v>
      </c>
      <c r="R139" s="67">
        <v>-2.1940919703583384</v>
      </c>
      <c r="S139" s="25">
        <v>1.4396000406050149</v>
      </c>
      <c r="T139" s="45">
        <v>-5.7354583291036451E-3</v>
      </c>
      <c r="V139" s="93">
        <v>-2.859673778382283E-4</v>
      </c>
      <c r="W139" s="90">
        <f>$AB$131*SQRT(INDEX($B$131:$Q$146,9,9))</f>
        <v>8.1796809551354399E-4</v>
      </c>
      <c r="X139" s="23"/>
      <c r="Y139" s="3">
        <v>0.66893867557504905</v>
      </c>
      <c r="Z139" s="23"/>
      <c r="AA139" s="3">
        <v>1.7053025658242404E-12</v>
      </c>
      <c r="AB139" s="23"/>
      <c r="AC139" s="23"/>
      <c r="AD139" s="23"/>
      <c r="AE139" s="23"/>
    </row>
    <row r="140" spans="2:31">
      <c r="B140" s="67">
        <v>-2.6811407153066898E-7</v>
      </c>
      <c r="C140" s="25">
        <v>-5.1337612534566452E-8</v>
      </c>
      <c r="D140" s="25">
        <v>-1.6787789492663838E-7</v>
      </c>
      <c r="E140" s="25">
        <v>-2.5544475805876536E-7</v>
      </c>
      <c r="F140" s="25">
        <v>1.3391160061178755E-8</v>
      </c>
      <c r="G140" s="25">
        <v>-2.2985648144780193E-7</v>
      </c>
      <c r="H140" s="25">
        <v>1.0817693853530374E-7</v>
      </c>
      <c r="I140" s="25">
        <v>-5.9965656351445542E-8</v>
      </c>
      <c r="J140" s="25">
        <v>1.0683397078079997E-7</v>
      </c>
      <c r="K140" s="25">
        <v>3.4941402843420524E-7</v>
      </c>
      <c r="L140" s="25">
        <v>-9.2366341915849465E-8</v>
      </c>
      <c r="M140" s="25">
        <v>2.4394736222585634E-8</v>
      </c>
      <c r="N140" s="25">
        <v>-1.5810596619454446E-8</v>
      </c>
      <c r="O140" s="25">
        <v>3.5570920128860084E-8</v>
      </c>
      <c r="P140" s="25">
        <v>-1.5600988037871756E-7</v>
      </c>
      <c r="Q140" s="45">
        <v>-1.0777409473260913E-7</v>
      </c>
      <c r="R140" s="67">
        <v>-0.84993063309985339</v>
      </c>
      <c r="S140" s="25">
        <v>0.81744662132439994</v>
      </c>
      <c r="T140" s="45">
        <v>-1.9287381991675953E-3</v>
      </c>
      <c r="V140" s="93">
        <v>7.6334049733891695E-4</v>
      </c>
      <c r="W140" s="90">
        <f>$AB$131*SQRT(INDEX($B$131:$Q$146,10,10))</f>
        <v>5.4624625392796645E-4</v>
      </c>
      <c r="X140" s="23"/>
      <c r="Y140" s="3">
        <v>4.0063050041278636E-2</v>
      </c>
      <c r="Z140" s="23"/>
      <c r="AA140" s="3">
        <v>3.6095570976613089E-12</v>
      </c>
      <c r="AB140" s="23"/>
      <c r="AC140" s="23"/>
      <c r="AD140" s="23"/>
      <c r="AE140" s="23"/>
    </row>
    <row r="141" spans="2:31">
      <c r="B141" s="67">
        <v>2.455170733436992E-7</v>
      </c>
      <c r="C141" s="25">
        <v>4.2174804522109252E-8</v>
      </c>
      <c r="D141" s="25">
        <v>1.4311869859564661E-7</v>
      </c>
      <c r="E141" s="25">
        <v>2.5587728504004913E-7</v>
      </c>
      <c r="F141" s="25">
        <v>-2.1022282589337667E-8</v>
      </c>
      <c r="G141" s="25">
        <v>2.3014168456066719E-7</v>
      </c>
      <c r="H141" s="25">
        <v>-1.0801230450226357E-7</v>
      </c>
      <c r="I141" s="25">
        <v>7.5369132710780439E-8</v>
      </c>
      <c r="J141" s="25">
        <v>-1.0860403981608487E-7</v>
      </c>
      <c r="K141" s="25">
        <v>-9.2366341915849478E-8</v>
      </c>
      <c r="L141" s="25">
        <v>9.7345751106657171E-8</v>
      </c>
      <c r="M141" s="25">
        <v>-3.4794870988201543E-8</v>
      </c>
      <c r="N141" s="25">
        <v>1.0666553395606277E-8</v>
      </c>
      <c r="O141" s="25">
        <v>-4.0574261722578737E-8</v>
      </c>
      <c r="P141" s="25">
        <v>1.3086042875371058E-7</v>
      </c>
      <c r="Q141" s="45">
        <v>1.1234792066534177E-7</v>
      </c>
      <c r="R141" s="67">
        <v>0.15440056847020622</v>
      </c>
      <c r="S141" s="25">
        <v>0.10191858694548792</v>
      </c>
      <c r="T141" s="45">
        <v>-4.0605014719317868E-4</v>
      </c>
      <c r="V141" s="93">
        <v>-1.9680670396825614E-4</v>
      </c>
      <c r="W141" s="90">
        <f>$AB$131*SQRT(INDEX($B$131:$Q$146,11,11))</f>
        <v>2.8832135030653407E-4</v>
      </c>
      <c r="X141" s="23"/>
      <c r="Y141" s="3">
        <v>0.48147237893819578</v>
      </c>
      <c r="Z141" s="23"/>
      <c r="AA141" s="3">
        <v>-1.1368683772161603E-12</v>
      </c>
      <c r="AB141" s="23"/>
      <c r="AC141" s="23"/>
      <c r="AD141" s="23"/>
      <c r="AE141" s="23"/>
    </row>
    <row r="142" spans="2:31">
      <c r="B142" s="67">
        <v>-4.8403653626676002E-8</v>
      </c>
      <c r="C142" s="25">
        <v>1.11948175634747E-8</v>
      </c>
      <c r="D142" s="25">
        <v>-2.7050978464091405E-8</v>
      </c>
      <c r="E142" s="25">
        <v>-6.0271679764287648E-8</v>
      </c>
      <c r="F142" s="25">
        <v>-2.2004837840759823E-8</v>
      </c>
      <c r="G142" s="25">
        <v>-7.0596194041569778E-8</v>
      </c>
      <c r="H142" s="25">
        <v>-4.149806508312617E-9</v>
      </c>
      <c r="I142" s="25">
        <v>-6.5882401538733448E-8</v>
      </c>
      <c r="J142" s="25">
        <v>2.0199725453545073E-8</v>
      </c>
      <c r="K142" s="25">
        <v>2.4394736222585693E-8</v>
      </c>
      <c r="L142" s="25">
        <v>-3.4794870988201516E-8</v>
      </c>
      <c r="M142" s="25">
        <v>7.2092046970900864E-8</v>
      </c>
      <c r="N142" s="25">
        <v>3.894467749651404E-8</v>
      </c>
      <c r="O142" s="25">
        <v>-6.2096454321672865E-9</v>
      </c>
      <c r="P142" s="25">
        <v>-4.5819155085145408E-8</v>
      </c>
      <c r="Q142" s="45">
        <v>-2.6572179659863057E-8</v>
      </c>
      <c r="R142" s="67">
        <v>-0.38023212533414491</v>
      </c>
      <c r="S142" s="25">
        <v>0.54991033059249494</v>
      </c>
      <c r="T142" s="45">
        <v>-8.6285656278550381E-4</v>
      </c>
      <c r="V142" s="93">
        <v>4.6127860240330793E-4</v>
      </c>
      <c r="W142" s="90">
        <f>$AB$131*SQRT(INDEX($B$131:$Q$146,12,12))</f>
        <v>2.481201194295382E-4</v>
      </c>
      <c r="X142" s="23"/>
      <c r="Y142" s="3">
        <v>-2.8448388914902645E-2</v>
      </c>
      <c r="Z142" s="23"/>
      <c r="AA142" s="3">
        <v>9.0949470177292824E-13</v>
      </c>
      <c r="AB142" s="23"/>
      <c r="AC142" s="23"/>
      <c r="AD142" s="23"/>
      <c r="AE142" s="23"/>
    </row>
    <row r="143" spans="2:31">
      <c r="B143" s="67">
        <v>8.9348948031387003E-8</v>
      </c>
      <c r="C143" s="25">
        <v>2.7419510366229633E-8</v>
      </c>
      <c r="D143" s="25">
        <v>5.0740119217382421E-8</v>
      </c>
      <c r="E143" s="25">
        <v>7.8285528241906957E-8</v>
      </c>
      <c r="F143" s="25">
        <v>-2.2645499687405792E-8</v>
      </c>
      <c r="G143" s="25">
        <v>5.8465627556235101E-8</v>
      </c>
      <c r="H143" s="25">
        <v>-4.3945848628994642E-8</v>
      </c>
      <c r="I143" s="25">
        <v>-1.9154553460041437E-9</v>
      </c>
      <c r="J143" s="25">
        <v>-3.2785133216913787E-8</v>
      </c>
      <c r="K143" s="25">
        <v>-1.5810596619454403E-8</v>
      </c>
      <c r="L143" s="25">
        <v>1.0666553395606345E-8</v>
      </c>
      <c r="M143" s="25">
        <v>3.8944677496514073E-8</v>
      </c>
      <c r="N143" s="25">
        <v>3.3279295233388448E-8</v>
      </c>
      <c r="O143" s="25">
        <v>-3.7029222150509878E-8</v>
      </c>
      <c r="P143" s="25">
        <v>2.9520599161297137E-8</v>
      </c>
      <c r="Q143" s="45">
        <v>3.1376600990724042E-8</v>
      </c>
      <c r="R143" s="67">
        <v>2.1002943863567149</v>
      </c>
      <c r="S143" s="25">
        <v>-1.0064460460866917</v>
      </c>
      <c r="T143" s="45">
        <v>4.0097452035326364E-3</v>
      </c>
      <c r="V143" s="93">
        <v>3.0096153028889042E-4</v>
      </c>
      <c r="W143" s="90">
        <f>$AB$131*SQRT(INDEX($B$131:$Q$146,13,13))</f>
        <v>1.6857973363728043E-4</v>
      </c>
      <c r="X143" s="23"/>
      <c r="Y143" s="3">
        <v>1.399550069383982</v>
      </c>
      <c r="Z143" s="23"/>
      <c r="AA143" s="3">
        <v>-4.5474735088646412E-13</v>
      </c>
      <c r="AB143" s="23"/>
      <c r="AC143" s="23"/>
      <c r="AD143" s="23"/>
      <c r="AE143" s="23"/>
    </row>
    <row r="144" spans="2:31">
      <c r="B144" s="67">
        <v>-5.3069019893248595E-7</v>
      </c>
      <c r="C144" s="25">
        <v>-7.4777461598286806E-8</v>
      </c>
      <c r="D144" s="25">
        <v>-2.8337132540598879E-7</v>
      </c>
      <c r="E144" s="25">
        <v>-4.5531039825419457E-7</v>
      </c>
      <c r="F144" s="25">
        <v>9.135193027052003E-9</v>
      </c>
      <c r="G144" s="25">
        <v>-4.0138988856933551E-7</v>
      </c>
      <c r="H144" s="25">
        <v>7.7603483873088397E-8</v>
      </c>
      <c r="I144" s="25">
        <v>-2.3271953753480591E-7</v>
      </c>
      <c r="J144" s="25">
        <v>1.4304639289961608E-7</v>
      </c>
      <c r="K144" s="25">
        <v>3.557092012885978E-8</v>
      </c>
      <c r="L144" s="25">
        <v>-4.0574261722578751E-8</v>
      </c>
      <c r="M144" s="25">
        <v>-6.2096454321675628E-9</v>
      </c>
      <c r="N144" s="25">
        <v>-3.702922215050968E-8</v>
      </c>
      <c r="O144" s="25">
        <v>2.3892918296697359E-7</v>
      </c>
      <c r="P144" s="25">
        <v>-2.3045188150971634E-7</v>
      </c>
      <c r="Q144" s="45">
        <v>-1.6453175102130487E-7</v>
      </c>
      <c r="R144" s="67">
        <v>-0.78283084627618194</v>
      </c>
      <c r="S144" s="25">
        <v>0.77922715121984276</v>
      </c>
      <c r="T144" s="45">
        <v>-1.7764693939701565E-3</v>
      </c>
      <c r="V144" s="93">
        <v>-5.6634958445885009E-4</v>
      </c>
      <c r="W144" s="90">
        <f>$AB$131*SQRT(INDEX($B$131:$Q$146,14,14))</f>
        <v>4.5170292416608882E-4</v>
      </c>
      <c r="X144" s="23"/>
      <c r="Y144" s="3">
        <v>-0.56157578507563366</v>
      </c>
      <c r="Z144" s="23"/>
      <c r="AA144" s="3">
        <v>-9.3791641120333225E-13</v>
      </c>
      <c r="AB144" s="23"/>
      <c r="AC144" s="23"/>
      <c r="AD144" s="23"/>
      <c r="AE144" s="23"/>
    </row>
    <row r="145" spans="1:72">
      <c r="B145" s="67">
        <v>9.8529129570248062E-7</v>
      </c>
      <c r="C145" s="25">
        <v>1.925600019506813E-7</v>
      </c>
      <c r="D145" s="25">
        <v>6.327094579991698E-7</v>
      </c>
      <c r="E145" s="25">
        <v>8.2875875088304411E-7</v>
      </c>
      <c r="F145" s="25">
        <v>3.1504105595228348E-8</v>
      </c>
      <c r="G145" s="25">
        <v>7.2446963866469321E-7</v>
      </c>
      <c r="H145" s="25">
        <v>-1.6038102791500756E-7</v>
      </c>
      <c r="I145" s="25">
        <v>2.7627103659486179E-7</v>
      </c>
      <c r="J145" s="25">
        <v>-2.744069665125798E-7</v>
      </c>
      <c r="K145" s="25">
        <v>-1.5600988037871737E-7</v>
      </c>
      <c r="L145" s="25">
        <v>1.308604287537105E-7</v>
      </c>
      <c r="M145" s="25">
        <v>-4.5819155085145262E-8</v>
      </c>
      <c r="N145" s="25">
        <v>2.9520599161297011E-8</v>
      </c>
      <c r="O145" s="25">
        <v>-2.3045188150971645E-7</v>
      </c>
      <c r="P145" s="25">
        <v>5.6513122398278318E-7</v>
      </c>
      <c r="Q145" s="45">
        <v>3.439610338988827E-7</v>
      </c>
      <c r="R145" s="67">
        <v>1.6708557506852106</v>
      </c>
      <c r="S145" s="25">
        <v>-0.76184143741752164</v>
      </c>
      <c r="T145" s="45">
        <v>3.035224850269011E-3</v>
      </c>
      <c r="V145" s="93">
        <v>3.5578156256808077E-4</v>
      </c>
      <c r="W145" s="90">
        <f>$AB$131*SQRT(INDEX($B$131:$Q$146,15,15))</f>
        <v>6.9469305089242626E-4</v>
      </c>
      <c r="X145" s="23"/>
      <c r="Y145" s="3">
        <v>-0.16122354155340829</v>
      </c>
      <c r="Z145" s="23"/>
      <c r="AA145" s="3">
        <v>-1.8332002582610585E-12</v>
      </c>
      <c r="AB145" s="23"/>
      <c r="AC145" s="23"/>
      <c r="AD145" s="23"/>
      <c r="AE145" s="23"/>
    </row>
    <row r="146" spans="1:72">
      <c r="B146" s="68">
        <v>7.7173864537360978E-7</v>
      </c>
      <c r="C146" s="32">
        <v>2.383896462016508E-7</v>
      </c>
      <c r="D146" s="32">
        <v>4.9497599241764248E-7</v>
      </c>
      <c r="E146" s="32">
        <v>8.6030124614988186E-7</v>
      </c>
      <c r="F146" s="32">
        <v>-7.7378880071252116E-8</v>
      </c>
      <c r="G146" s="32">
        <v>6.4783418642993835E-7</v>
      </c>
      <c r="H146" s="32">
        <v>-1.4372452165606578E-7</v>
      </c>
      <c r="I146" s="32">
        <v>1.9110393068116833E-7</v>
      </c>
      <c r="J146" s="32">
        <v>-2.7074083710004843E-7</v>
      </c>
      <c r="K146" s="32">
        <v>-1.0777409473260919E-7</v>
      </c>
      <c r="L146" s="32">
        <v>1.1234792066534152E-7</v>
      </c>
      <c r="M146" s="32">
        <v>-2.6572179659863083E-8</v>
      </c>
      <c r="N146" s="32">
        <v>3.1376600990724187E-8</v>
      </c>
      <c r="O146" s="32">
        <v>-1.6453175102130516E-7</v>
      </c>
      <c r="P146" s="32">
        <v>3.4396103389888291E-7</v>
      </c>
      <c r="Q146" s="49">
        <v>5.087116287832136E-7</v>
      </c>
      <c r="R146" s="68">
        <v>1.4046222041755483</v>
      </c>
      <c r="S146" s="32">
        <v>-0.46672757418874516</v>
      </c>
      <c r="T146" s="49">
        <v>3.1874936554664481E-3</v>
      </c>
      <c r="V146" s="94">
        <v>1.1997285320607134E-3</v>
      </c>
      <c r="W146" s="91">
        <f>$AB$131*SQRT(INDEX($B$131:$Q$146,16,16))</f>
        <v>6.5910428596646805E-4</v>
      </c>
      <c r="X146" s="23"/>
      <c r="Y146" s="3">
        <v>1.0321572949157791</v>
      </c>
      <c r="Z146" s="23"/>
      <c r="AA146" s="3">
        <v>-2.1742607714259066E-12</v>
      </c>
      <c r="AB146" s="23"/>
      <c r="AC146" s="23"/>
      <c r="AD146" s="23"/>
      <c r="AE146" s="23"/>
    </row>
    <row r="147" spans="1:72">
      <c r="A147" s="260" t="s">
        <v>69</v>
      </c>
      <c r="B147" s="98">
        <v>3.7106892701248615</v>
      </c>
      <c r="C147" s="52">
        <v>0.42496531654992681</v>
      </c>
      <c r="D147" s="52">
        <v>2.033194599533044</v>
      </c>
      <c r="E147" s="52">
        <v>3.5786552972625456</v>
      </c>
      <c r="F147" s="52">
        <v>-0.51659729976651991</v>
      </c>
      <c r="G147" s="52">
        <v>3.0418570026731642</v>
      </c>
      <c r="H147" s="52">
        <v>-1.2546949548269206</v>
      </c>
      <c r="I147" s="52">
        <v>1.163062971610328</v>
      </c>
      <c r="J147" s="52">
        <v>-2.1940919703583392</v>
      </c>
      <c r="K147" s="52">
        <v>-0.84993063309985328</v>
      </c>
      <c r="L147" s="52">
        <v>0.15440056847020545</v>
      </c>
      <c r="M147" s="52">
        <v>-0.38023212533414508</v>
      </c>
      <c r="N147" s="52">
        <v>2.1002943863567141</v>
      </c>
      <c r="O147" s="52">
        <v>-0.7828308462761826</v>
      </c>
      <c r="P147" s="37">
        <v>1.6708557506852109</v>
      </c>
      <c r="Q147" s="53">
        <v>1.4046222041755483</v>
      </c>
      <c r="R147">
        <v>3.7741928346074673E-9</v>
      </c>
      <c r="S147">
        <v>-1.8803556551809988E-9</v>
      </c>
      <c r="T147">
        <v>5.1674887398839312E-12</v>
      </c>
      <c r="V147" s="23"/>
      <c r="W147" s="23"/>
      <c r="X147" s="23"/>
      <c r="Y147" s="3">
        <v>0.46834556533822025</v>
      </c>
      <c r="Z147" s="23"/>
      <c r="AA147" s="3">
        <v>1.1375345110309354E-12</v>
      </c>
      <c r="AB147" s="23"/>
      <c r="AC147" s="23"/>
      <c r="AD147" s="23"/>
      <c r="AE147" s="23"/>
    </row>
    <row r="148" spans="1:72">
      <c r="A148" s="261"/>
      <c r="B148" s="99">
        <v>-1.9237133285960812</v>
      </c>
      <c r="C148" s="43">
        <v>9.1276689337800226E-2</v>
      </c>
      <c r="D148" s="43">
        <v>-0.96822657598213413</v>
      </c>
      <c r="E148" s="43">
        <v>-1.7050384055764221</v>
      </c>
      <c r="F148" s="43">
        <v>0.48411328799106612</v>
      </c>
      <c r="G148" s="43">
        <v>-1.3992826447399587</v>
      </c>
      <c r="H148" s="43">
        <v>0.90452745914120347</v>
      </c>
      <c r="I148" s="43">
        <v>-0.32913748181233748</v>
      </c>
      <c r="J148" s="43">
        <v>1.4396000406050145</v>
      </c>
      <c r="K148" s="43">
        <v>0.81744662132439927</v>
      </c>
      <c r="L148" s="43">
        <v>0.10191858694548819</v>
      </c>
      <c r="M148" s="43">
        <v>0.5499103305924945</v>
      </c>
      <c r="N148" s="43">
        <v>-1.0064460460866909</v>
      </c>
      <c r="O148" s="43">
        <v>0.77922715121984276</v>
      </c>
      <c r="P148" s="25">
        <v>-0.76184143741752153</v>
      </c>
      <c r="Q148" s="45">
        <v>-0.46672757418874505</v>
      </c>
      <c r="R148">
        <v>-1.5610804899110167E-9</v>
      </c>
      <c r="S148">
        <v>1.1067509907245626E-9</v>
      </c>
      <c r="T148">
        <v>-2.1016667904912313E-12</v>
      </c>
      <c r="V148" s="23"/>
      <c r="W148" s="23"/>
      <c r="X148" s="23"/>
      <c r="Y148" s="3">
        <v>0.5976518924868226</v>
      </c>
      <c r="Z148" s="23"/>
      <c r="AA148" s="3">
        <v>-3.4106051316484809E-13</v>
      </c>
      <c r="AB148" s="23"/>
      <c r="AE148" s="23"/>
    </row>
    <row r="149" spans="1:72">
      <c r="A149" s="262"/>
      <c r="B149" s="100">
        <v>7.6641965282712426E-3</v>
      </c>
      <c r="C149" s="48">
        <v>9.6436909958379745E-4</v>
      </c>
      <c r="D149" s="48">
        <v>3.8574763983351972E-3</v>
      </c>
      <c r="E149" s="48">
        <v>8.1210029438635676E-3</v>
      </c>
      <c r="F149" s="48">
        <v>-1.9287381991675942E-3</v>
      </c>
      <c r="G149" s="48">
        <v>6.9028525022840331E-3</v>
      </c>
      <c r="H149" s="48">
        <v>-3.6036950563394566E-3</v>
      </c>
      <c r="I149" s="48">
        <v>2.6393259567556609E-3</v>
      </c>
      <c r="J149" s="48">
        <v>-5.7354583291036433E-3</v>
      </c>
      <c r="K149" s="48">
        <v>-1.9287381991675942E-3</v>
      </c>
      <c r="L149" s="48">
        <v>-4.0605014719318015E-4</v>
      </c>
      <c r="M149" s="48">
        <v>-8.6285656278550316E-4</v>
      </c>
      <c r="N149" s="48">
        <v>4.0097452035326338E-3</v>
      </c>
      <c r="O149" s="48">
        <v>-1.776469393970157E-3</v>
      </c>
      <c r="P149" s="32">
        <v>3.0352248502690101E-3</v>
      </c>
      <c r="Q149" s="49">
        <v>3.1874936554664481E-3</v>
      </c>
      <c r="R149">
        <v>6.6324297947993104E-12</v>
      </c>
      <c r="S149">
        <v>-3.5780561595899257E-12</v>
      </c>
      <c r="T149">
        <v>8.1409026225620614E-15</v>
      </c>
      <c r="V149" s="23"/>
      <c r="W149" s="23"/>
      <c r="X149" s="23"/>
      <c r="Y149" s="3">
        <v>8.356834371649835E-2</v>
      </c>
      <c r="Z149" s="23"/>
      <c r="AA149" s="4">
        <v>-5.7411853049416095E-12</v>
      </c>
      <c r="AB149" s="23"/>
      <c r="AE149" s="23"/>
    </row>
    <row r="150" spans="1:72">
      <c r="V150" s="23"/>
      <c r="W150" s="23"/>
      <c r="X150" s="23"/>
      <c r="Y150" s="4">
        <v>-0.47529533125788515</v>
      </c>
      <c r="Z150" s="23"/>
      <c r="AB150" s="23"/>
      <c r="AE150" s="23"/>
    </row>
    <row r="151" spans="1:72">
      <c r="V151" s="23"/>
      <c r="W151" s="23"/>
      <c r="X151" s="23"/>
      <c r="Z151" s="23"/>
      <c r="AA151" s="23"/>
      <c r="AB151" s="23"/>
      <c r="AE151" s="23"/>
    </row>
    <row r="152" spans="1:72">
      <c r="V152" s="23"/>
      <c r="W152" s="23"/>
      <c r="X152" s="23"/>
      <c r="Z152" s="23"/>
      <c r="AA152" s="23"/>
      <c r="AB152" s="23"/>
      <c r="AC152" s="23"/>
      <c r="AD152" s="23"/>
      <c r="AE152" s="23"/>
    </row>
    <row r="154" spans="1:72">
      <c r="B154" s="272" t="s">
        <v>70</v>
      </c>
      <c r="C154" s="273"/>
      <c r="D154" s="273"/>
      <c r="E154" s="273"/>
      <c r="F154" s="273"/>
      <c r="G154" s="273"/>
      <c r="H154" s="273"/>
      <c r="I154" s="273"/>
      <c r="J154" s="273"/>
      <c r="K154" s="273"/>
      <c r="L154" s="273"/>
      <c r="M154" s="273"/>
      <c r="N154" s="273"/>
      <c r="O154" s="273"/>
      <c r="P154" s="273"/>
      <c r="Q154" s="273"/>
      <c r="R154" s="273"/>
      <c r="S154" s="273"/>
      <c r="T154" s="273"/>
      <c r="U154" s="273"/>
      <c r="V154" s="273"/>
      <c r="W154" s="273"/>
      <c r="X154" s="273"/>
      <c r="Y154" s="273"/>
      <c r="Z154" s="273"/>
      <c r="AA154" s="273"/>
      <c r="AB154" s="273"/>
      <c r="AC154" s="273"/>
      <c r="AD154" s="273"/>
      <c r="AE154" s="273"/>
      <c r="AF154" s="273"/>
      <c r="AG154" s="274"/>
      <c r="AJ154" s="269" t="s">
        <v>71</v>
      </c>
      <c r="AK154" s="270"/>
      <c r="AL154" s="270"/>
      <c r="AM154" s="270"/>
      <c r="AN154" s="270"/>
      <c r="AO154" s="270"/>
      <c r="AP154" s="270"/>
      <c r="AQ154" s="270"/>
      <c r="AR154" s="270"/>
      <c r="AS154" s="270"/>
      <c r="AT154" s="270"/>
      <c r="AU154" s="270"/>
      <c r="AV154" s="270"/>
      <c r="AW154" s="270"/>
      <c r="AX154" s="270"/>
      <c r="AY154" s="270"/>
      <c r="AZ154" s="270"/>
      <c r="BA154" s="270"/>
      <c r="BB154" s="270"/>
      <c r="BC154" s="270"/>
      <c r="BD154" s="270"/>
      <c r="BE154" s="270"/>
      <c r="BF154" s="270"/>
      <c r="BG154" s="270"/>
      <c r="BH154" s="270"/>
      <c r="BI154" s="270"/>
      <c r="BJ154" s="270"/>
      <c r="BK154" s="270"/>
      <c r="BL154" s="270"/>
      <c r="BM154" s="270"/>
      <c r="BN154" s="270"/>
      <c r="BO154" s="271"/>
    </row>
    <row r="155" spans="1:72">
      <c r="A155">
        <v>1</v>
      </c>
      <c r="B155" s="8" cm="1">
        <f t="array" ref="B155:AG186">_xlfn.MUNIT(32)</f>
        <v>1</v>
      </c>
      <c r="C155" s="9">
        <v>0</v>
      </c>
      <c r="D155" s="9">
        <v>0</v>
      </c>
      <c r="E155" s="9">
        <v>0</v>
      </c>
      <c r="F155" s="9">
        <v>0</v>
      </c>
      <c r="G155" s="9">
        <v>0</v>
      </c>
      <c r="H155" s="9">
        <v>0</v>
      </c>
      <c r="I155" s="9">
        <v>0</v>
      </c>
      <c r="J155" s="9">
        <v>0</v>
      </c>
      <c r="K155" s="9">
        <v>0</v>
      </c>
      <c r="L155" s="9">
        <v>0</v>
      </c>
      <c r="M155" s="9">
        <v>0</v>
      </c>
      <c r="N155" s="9">
        <v>0</v>
      </c>
      <c r="O155" s="9">
        <v>0</v>
      </c>
      <c r="P155" s="9">
        <v>0</v>
      </c>
      <c r="Q155" s="9">
        <v>0</v>
      </c>
      <c r="R155" s="9">
        <v>0</v>
      </c>
      <c r="S155" s="9">
        <v>0</v>
      </c>
      <c r="T155" s="9">
        <v>0</v>
      </c>
      <c r="U155" s="9">
        <v>0</v>
      </c>
      <c r="V155" s="9">
        <v>0</v>
      </c>
      <c r="W155" s="9">
        <v>0</v>
      </c>
      <c r="X155" s="9">
        <v>0</v>
      </c>
      <c r="Y155" s="9">
        <v>0</v>
      </c>
      <c r="Z155" s="9">
        <v>0</v>
      </c>
      <c r="AA155" s="9">
        <v>0</v>
      </c>
      <c r="AB155" s="9">
        <v>0</v>
      </c>
      <c r="AC155" s="9">
        <v>0</v>
      </c>
      <c r="AD155" s="9">
        <v>0</v>
      </c>
      <c r="AE155" s="9">
        <v>0</v>
      </c>
      <c r="AF155" s="9">
        <v>0</v>
      </c>
      <c r="AG155" s="10">
        <v>0</v>
      </c>
      <c r="AH155" s="23"/>
      <c r="AI155" s="23">
        <v>1</v>
      </c>
      <c r="AJ155" s="8" cm="1">
        <f t="array" ref="AJ155:BO186">MMULT(MMULT(B76:Q107,B131:Q146),_xlfn.ANCHORARRAY(U92))</f>
        <v>0.26551532517538612</v>
      </c>
      <c r="AK155" s="9">
        <v>-4.5866562288462143E-3</v>
      </c>
      <c r="AL155" s="9">
        <v>-2.5145223961394597E-2</v>
      </c>
      <c r="AM155" s="9">
        <v>5.5711029091542727E-2</v>
      </c>
      <c r="AN155" s="9">
        <v>7.2598954586878456E-2</v>
      </c>
      <c r="AO155" s="9">
        <v>0.12860488592728334</v>
      </c>
      <c r="AP155" s="9">
        <v>-5.7209189673448464E-2</v>
      </c>
      <c r="AQ155" s="9">
        <v>5.5710956303027429E-2</v>
      </c>
      <c r="AR155" s="9">
        <v>4.5375592248927156E-2</v>
      </c>
      <c r="AS155" s="9">
        <v>9.2835979198404889E-2</v>
      </c>
      <c r="AT155" s="9">
        <v>0.20836720331970299</v>
      </c>
      <c r="AU155" s="9">
        <v>0.26551492848127223</v>
      </c>
      <c r="AV155" s="9">
        <v>-7.8161097423122897E-3</v>
      </c>
      <c r="AW155" s="9">
        <v>-6.153297287199222E-2</v>
      </c>
      <c r="AX155" s="9">
        <v>-3.422558325052269E-3</v>
      </c>
      <c r="AY155" s="9">
        <v>1.1114217287761151E-2</v>
      </c>
      <c r="AZ155" s="9">
        <v>1.1401494794726425E-2</v>
      </c>
      <c r="BA155" s="9">
        <v>3.3466188235907184E-2</v>
      </c>
      <c r="BB155" s="9">
        <v>4.9486552331661535E-2</v>
      </c>
      <c r="BC155" s="9">
        <v>-3.6789951666843634E-3</v>
      </c>
      <c r="BD155" s="9">
        <v>-4.6189304957522881E-2</v>
      </c>
      <c r="BE155" s="9">
        <v>-6.3655711128602077E-3</v>
      </c>
      <c r="BF155" s="9">
        <v>-3.2467671658609955E-2</v>
      </c>
      <c r="BG155" s="9">
        <v>-7.4305118258602532E-2</v>
      </c>
      <c r="BH155" s="9">
        <v>6.7775009253079443E-2</v>
      </c>
      <c r="BI155" s="9">
        <v>9.1552656734516097E-2</v>
      </c>
      <c r="BJ155" s="9">
        <v>-6.6268927975805844E-2</v>
      </c>
      <c r="BK155" s="9">
        <v>-4.1566407837367522E-4</v>
      </c>
      <c r="BL155" s="9">
        <v>1.6586856350141295E-2</v>
      </c>
      <c r="BM155" s="9">
        <v>-3.8755575361244313E-2</v>
      </c>
      <c r="BN155" s="9">
        <v>4.7150526264178816E-2</v>
      </c>
      <c r="BO155" s="10">
        <v>-2.5867361300831154E-2</v>
      </c>
      <c r="BP155" s="23"/>
      <c r="BQ155" s="23"/>
      <c r="BR155" s="23"/>
      <c r="BS155" s="23"/>
      <c r="BT155" s="23"/>
    </row>
    <row r="156" spans="1:72">
      <c r="A156">
        <v>2</v>
      </c>
      <c r="B156" s="11">
        <v>0</v>
      </c>
      <c r="C156" s="1">
        <v>1</v>
      </c>
      <c r="D156" s="1">
        <v>0</v>
      </c>
      <c r="E156" s="1">
        <v>0</v>
      </c>
      <c r="F156" s="1">
        <v>0</v>
      </c>
      <c r="G156" s="1">
        <v>0</v>
      </c>
      <c r="H156" s="1">
        <v>0</v>
      </c>
      <c r="I156" s="1">
        <v>0</v>
      </c>
      <c r="J156" s="1">
        <v>0</v>
      </c>
      <c r="K156" s="1">
        <v>0</v>
      </c>
      <c r="L156" s="1">
        <v>0</v>
      </c>
      <c r="M156" s="1">
        <v>0</v>
      </c>
      <c r="N156" s="1">
        <v>0</v>
      </c>
      <c r="O156" s="1">
        <v>0</v>
      </c>
      <c r="P156" s="1">
        <v>0</v>
      </c>
      <c r="Q156" s="1">
        <v>0</v>
      </c>
      <c r="R156" s="1">
        <v>0</v>
      </c>
      <c r="S156" s="1">
        <v>0</v>
      </c>
      <c r="T156" s="1">
        <v>0</v>
      </c>
      <c r="U156" s="1">
        <v>0</v>
      </c>
      <c r="V156" s="1">
        <v>0</v>
      </c>
      <c r="W156" s="1">
        <v>0</v>
      </c>
      <c r="X156" s="1">
        <v>0</v>
      </c>
      <c r="Y156" s="1">
        <v>0</v>
      </c>
      <c r="Z156" s="1">
        <v>0</v>
      </c>
      <c r="AA156" s="1">
        <v>0</v>
      </c>
      <c r="AB156" s="1">
        <v>0</v>
      </c>
      <c r="AC156" s="1">
        <v>0</v>
      </c>
      <c r="AD156" s="1">
        <v>0</v>
      </c>
      <c r="AE156" s="1">
        <v>0</v>
      </c>
      <c r="AF156" s="1">
        <v>0</v>
      </c>
      <c r="AG156" s="12">
        <v>0</v>
      </c>
      <c r="AH156" s="23"/>
      <c r="AI156" s="23">
        <v>2</v>
      </c>
      <c r="AJ156" s="11">
        <v>-4.5866562288461935E-3</v>
      </c>
      <c r="AK156" s="1">
        <v>0.22720812712528421</v>
      </c>
      <c r="AL156" s="1">
        <v>9.644525657834678E-2</v>
      </c>
      <c r="AM156" s="1">
        <v>-5.0989492643735979E-3</v>
      </c>
      <c r="AN156" s="1">
        <v>3.1228702231296125E-2</v>
      </c>
      <c r="AO156" s="1">
        <v>1.7181511233458319E-2</v>
      </c>
      <c r="AP156" s="1">
        <v>5.4257313940119324E-2</v>
      </c>
      <c r="AQ156" s="1">
        <v>-5.0989426024082365E-3</v>
      </c>
      <c r="AR156" s="1">
        <v>0.10136402407730682</v>
      </c>
      <c r="AS156" s="1">
        <v>-9.6110302755524016E-3</v>
      </c>
      <c r="AT156" s="1">
        <v>5.695137928985277E-3</v>
      </c>
      <c r="AU156" s="1">
        <v>-4.586649376136169E-3</v>
      </c>
      <c r="AV156" s="1">
        <v>3.2587542391212851E-2</v>
      </c>
      <c r="AW156" s="1">
        <v>-1.653066811839082E-2</v>
      </c>
      <c r="AX156" s="1">
        <v>7.6010434317281671E-3</v>
      </c>
      <c r="AY156" s="1">
        <v>-9.6755474002771236E-3</v>
      </c>
      <c r="AZ156" s="1">
        <v>0.10721626237630029</v>
      </c>
      <c r="BA156" s="1">
        <v>4.4245805223073989E-2</v>
      </c>
      <c r="BB156" s="1">
        <v>5.5621797974057037E-2</v>
      </c>
      <c r="BC156" s="1">
        <v>4.2717016762418666E-2</v>
      </c>
      <c r="BD156" s="1">
        <v>-4.791714670850572E-3</v>
      </c>
      <c r="BE156" s="1">
        <v>-2.6445574485602055E-2</v>
      </c>
      <c r="BF156" s="1">
        <v>-9.5672251022472996E-2</v>
      </c>
      <c r="BG156" s="1">
        <v>0.20870874742566431</v>
      </c>
      <c r="BH156" s="1">
        <v>-6.646206398367055E-2</v>
      </c>
      <c r="BI156" s="1">
        <v>-1.5337143263068131E-2</v>
      </c>
      <c r="BJ156" s="1">
        <v>-9.6840403671162784E-2</v>
      </c>
      <c r="BK156" s="1">
        <v>0.1070939128231064</v>
      </c>
      <c r="BL156" s="1">
        <v>0.14947050802207179</v>
      </c>
      <c r="BM156" s="1">
        <v>-8.182785595138431E-2</v>
      </c>
      <c r="BN156" s="1">
        <v>-0.1346699799852332</v>
      </c>
      <c r="BO156" s="12">
        <v>-7.4894806747873355E-2</v>
      </c>
      <c r="BP156" s="23"/>
      <c r="BQ156" s="23"/>
      <c r="BR156" s="23"/>
      <c r="BS156" s="23"/>
      <c r="BT156" s="23"/>
    </row>
    <row r="157" spans="1:72">
      <c r="A157">
        <v>3</v>
      </c>
      <c r="B157" s="11">
        <v>0</v>
      </c>
      <c r="C157" s="1">
        <v>0</v>
      </c>
      <c r="D157" s="1">
        <v>1</v>
      </c>
      <c r="E157" s="1">
        <v>0</v>
      </c>
      <c r="F157" s="1">
        <v>0</v>
      </c>
      <c r="G157" s="1">
        <v>0</v>
      </c>
      <c r="H157" s="1">
        <v>0</v>
      </c>
      <c r="I157" s="1">
        <v>0</v>
      </c>
      <c r="J157" s="1">
        <v>0</v>
      </c>
      <c r="K157" s="1">
        <v>0</v>
      </c>
      <c r="L157" s="1">
        <v>0</v>
      </c>
      <c r="M157" s="1">
        <v>0</v>
      </c>
      <c r="N157" s="1">
        <v>0</v>
      </c>
      <c r="O157" s="1">
        <v>0</v>
      </c>
      <c r="P157" s="1">
        <v>0</v>
      </c>
      <c r="Q157" s="1">
        <v>0</v>
      </c>
      <c r="R157" s="1">
        <v>0</v>
      </c>
      <c r="S157" s="1">
        <v>0</v>
      </c>
      <c r="T157" s="1">
        <v>0</v>
      </c>
      <c r="U157" s="1">
        <v>0</v>
      </c>
      <c r="V157" s="1">
        <v>0</v>
      </c>
      <c r="W157" s="1">
        <v>0</v>
      </c>
      <c r="X157" s="1">
        <v>0</v>
      </c>
      <c r="Y157" s="1">
        <v>0</v>
      </c>
      <c r="Z157" s="1">
        <v>0</v>
      </c>
      <c r="AA157" s="1">
        <v>0</v>
      </c>
      <c r="AB157" s="1">
        <v>0</v>
      </c>
      <c r="AC157" s="1">
        <v>0</v>
      </c>
      <c r="AD157" s="1">
        <v>0</v>
      </c>
      <c r="AE157" s="1">
        <v>0</v>
      </c>
      <c r="AF157" s="1">
        <v>0</v>
      </c>
      <c r="AG157" s="12">
        <v>0</v>
      </c>
      <c r="AH157" s="23"/>
      <c r="AI157" s="23">
        <v>3</v>
      </c>
      <c r="AJ157" s="11">
        <v>-2.5145223961394576E-2</v>
      </c>
      <c r="AK157" s="1">
        <v>9.6445256578346752E-2</v>
      </c>
      <c r="AL157" s="1">
        <v>0.2485273299862456</v>
      </c>
      <c r="AM157" s="1">
        <v>-4.0888664216185658E-2</v>
      </c>
      <c r="AN157" s="1">
        <v>-3.1708132794471884E-2</v>
      </c>
      <c r="AO157" s="1">
        <v>1.451237683416377E-2</v>
      </c>
      <c r="AP157" s="1">
        <v>1.0527357356532253E-2</v>
      </c>
      <c r="AQ157" s="1">
        <v>-4.0888610793637037E-2</v>
      </c>
      <c r="AR157" s="1">
        <v>0.17700290132975757</v>
      </c>
      <c r="AS157" s="1">
        <v>7.0464460536291268E-3</v>
      </c>
      <c r="AT157" s="1">
        <v>2.4168902350813388E-2</v>
      </c>
      <c r="AU157" s="1">
        <v>-2.5145186393083493E-2</v>
      </c>
      <c r="AV157" s="1">
        <v>3.9134983349880491E-3</v>
      </c>
      <c r="AW157" s="1">
        <v>-7.0041610829156111E-3</v>
      </c>
      <c r="AX157" s="1">
        <v>-1.8073236610641596E-3</v>
      </c>
      <c r="AY157" s="1">
        <v>-6.3253868098833918E-3</v>
      </c>
      <c r="AZ157" s="1">
        <v>3.1047277352109926E-2</v>
      </c>
      <c r="BA157" s="1">
        <v>1.3304156636339895E-2</v>
      </c>
      <c r="BB157" s="1">
        <v>0.17588554510780527</v>
      </c>
      <c r="BC157" s="1">
        <v>0.16968009327727721</v>
      </c>
      <c r="BD157" s="1">
        <v>-1.562749707860334E-2</v>
      </c>
      <c r="BE157" s="1">
        <v>-1.3536536008653312E-2</v>
      </c>
      <c r="BF157" s="1">
        <v>-3.2478501924136795E-2</v>
      </c>
      <c r="BG157" s="1">
        <v>0.11091149358397311</v>
      </c>
      <c r="BH157" s="1">
        <v>-4.6888438861815422E-2</v>
      </c>
      <c r="BI157" s="1">
        <v>-2.3805197107642528E-3</v>
      </c>
      <c r="BJ157" s="1">
        <v>-1.6376259943086786E-2</v>
      </c>
      <c r="BK157" s="1">
        <v>-5.5094321129637927E-2</v>
      </c>
      <c r="BL157" s="1">
        <v>-0.10557878183471553</v>
      </c>
      <c r="BM157" s="1">
        <v>0.18803984729517509</v>
      </c>
      <c r="BN157" s="1">
        <v>-0.11134325647389882</v>
      </c>
      <c r="BO157" s="12">
        <v>-1.9762941399467354E-2</v>
      </c>
      <c r="BP157" s="23"/>
      <c r="BQ157" s="23"/>
      <c r="BR157" s="23"/>
      <c r="BS157" s="23"/>
      <c r="BT157" s="23"/>
    </row>
    <row r="158" spans="1:72">
      <c r="A158">
        <v>4</v>
      </c>
      <c r="B158" s="11">
        <v>0</v>
      </c>
      <c r="C158" s="1">
        <v>0</v>
      </c>
      <c r="D158" s="1">
        <v>0</v>
      </c>
      <c r="E158" s="1">
        <v>1</v>
      </c>
      <c r="F158" s="1">
        <v>0</v>
      </c>
      <c r="G158" s="1">
        <v>0</v>
      </c>
      <c r="H158" s="1">
        <v>0</v>
      </c>
      <c r="I158" s="1">
        <v>0</v>
      </c>
      <c r="J158" s="1">
        <v>0</v>
      </c>
      <c r="K158" s="1">
        <v>0</v>
      </c>
      <c r="L158" s="1">
        <v>0</v>
      </c>
      <c r="M158" s="1">
        <v>0</v>
      </c>
      <c r="N158" s="1">
        <v>0</v>
      </c>
      <c r="O158" s="1">
        <v>0</v>
      </c>
      <c r="P158" s="1">
        <v>0</v>
      </c>
      <c r="Q158" s="1">
        <v>0</v>
      </c>
      <c r="R158" s="1">
        <v>0</v>
      </c>
      <c r="S158" s="1">
        <v>0</v>
      </c>
      <c r="T158" s="1">
        <v>0</v>
      </c>
      <c r="U158" s="1">
        <v>0</v>
      </c>
      <c r="V158" s="1">
        <v>0</v>
      </c>
      <c r="W158" s="1">
        <v>0</v>
      </c>
      <c r="X158" s="1">
        <v>0</v>
      </c>
      <c r="Y158" s="1">
        <v>0</v>
      </c>
      <c r="Z158" s="1">
        <v>0</v>
      </c>
      <c r="AA158" s="1">
        <v>0</v>
      </c>
      <c r="AB158" s="1">
        <v>0</v>
      </c>
      <c r="AC158" s="1">
        <v>0</v>
      </c>
      <c r="AD158" s="1">
        <v>0</v>
      </c>
      <c r="AE158" s="1">
        <v>0</v>
      </c>
      <c r="AF158" s="1">
        <v>0</v>
      </c>
      <c r="AG158" s="12">
        <v>0</v>
      </c>
      <c r="AH158" s="23"/>
      <c r="AI158" s="23">
        <v>4</v>
      </c>
      <c r="AJ158" s="11">
        <v>5.5711029091542727E-2</v>
      </c>
      <c r="AK158" s="1">
        <v>-5.0989492643735979E-3</v>
      </c>
      <c r="AL158" s="1">
        <v>-4.0888664216185644E-2</v>
      </c>
      <c r="AM158" s="1">
        <v>0.21758824202502108</v>
      </c>
      <c r="AN158" s="1">
        <v>5.7559771004522392E-2</v>
      </c>
      <c r="AO158" s="1">
        <v>-1.4365609085432718E-3</v>
      </c>
      <c r="AP158" s="1">
        <v>0.15284377414578154</v>
      </c>
      <c r="AQ158" s="1">
        <v>0.21758795773795378</v>
      </c>
      <c r="AR158" s="1">
        <v>0.14351812113858367</v>
      </c>
      <c r="AS158" s="1">
        <v>-3.3809428378350048E-2</v>
      </c>
      <c r="AT158" s="1">
        <v>-5.4420354358936787E-2</v>
      </c>
      <c r="AU158" s="1">
        <v>5.5710945856282126E-2</v>
      </c>
      <c r="AV158" s="1">
        <v>1.2232790217284684E-2</v>
      </c>
      <c r="AW158" s="1">
        <v>1.7094937458372039E-2</v>
      </c>
      <c r="AX158" s="1">
        <v>-6.9751472675833037E-4</v>
      </c>
      <c r="AY158" s="1">
        <v>-5.4375837793630005E-3</v>
      </c>
      <c r="AZ158" s="1">
        <v>3.2867068410814097E-3</v>
      </c>
      <c r="BA158" s="1">
        <v>1.9664805343708472E-2</v>
      </c>
      <c r="BB158" s="1">
        <v>1.0507488046316169E-2</v>
      </c>
      <c r="BC158" s="1">
        <v>-3.6077250996883942E-2</v>
      </c>
      <c r="BD158" s="1">
        <v>-1.5662871158552194E-2</v>
      </c>
      <c r="BE158" s="1">
        <v>-3.2878725227992511E-2</v>
      </c>
      <c r="BF158" s="1">
        <v>-3.4991088917147542E-2</v>
      </c>
      <c r="BG158" s="1">
        <v>-5.1393950238650579E-2</v>
      </c>
      <c r="BH158" s="1">
        <v>0.20553597678634744</v>
      </c>
      <c r="BI158" s="1">
        <v>-7.0609341244004614E-2</v>
      </c>
      <c r="BJ158" s="1">
        <v>6.2547747775596546E-2</v>
      </c>
      <c r="BK158" s="1">
        <v>3.1808986976565236E-2</v>
      </c>
      <c r="BL158" s="1">
        <v>1.6978084199756459E-2</v>
      </c>
      <c r="BM158" s="1">
        <v>-3.2196620368209902E-2</v>
      </c>
      <c r="BN158" s="1">
        <v>5.0125935394006269E-2</v>
      </c>
      <c r="BO158" s="12">
        <v>-1.2229241617681342E-2</v>
      </c>
      <c r="BP158" s="23"/>
      <c r="BQ158" s="23"/>
      <c r="BR158" s="23"/>
      <c r="BS158" s="23"/>
      <c r="BT158" s="23"/>
    </row>
    <row r="159" spans="1:72">
      <c r="A159">
        <v>5</v>
      </c>
      <c r="B159" s="11">
        <v>0</v>
      </c>
      <c r="C159" s="1">
        <v>0</v>
      </c>
      <c r="D159" s="1">
        <v>0</v>
      </c>
      <c r="E159" s="1">
        <v>0</v>
      </c>
      <c r="F159" s="1">
        <v>1</v>
      </c>
      <c r="G159" s="1">
        <v>0</v>
      </c>
      <c r="H159" s="1">
        <v>0</v>
      </c>
      <c r="I159" s="1">
        <v>0</v>
      </c>
      <c r="J159" s="1">
        <v>0</v>
      </c>
      <c r="K159" s="1">
        <v>0</v>
      </c>
      <c r="L159" s="1">
        <v>0</v>
      </c>
      <c r="M159" s="1">
        <v>0</v>
      </c>
      <c r="N159" s="1">
        <v>0</v>
      </c>
      <c r="O159" s="1">
        <v>0</v>
      </c>
      <c r="P159" s="1">
        <v>0</v>
      </c>
      <c r="Q159" s="1">
        <v>0</v>
      </c>
      <c r="R159" s="1">
        <v>0</v>
      </c>
      <c r="S159" s="1">
        <v>0</v>
      </c>
      <c r="T159" s="1">
        <v>0</v>
      </c>
      <c r="U159" s="1">
        <v>0</v>
      </c>
      <c r="V159" s="1">
        <v>0</v>
      </c>
      <c r="W159" s="1">
        <v>0</v>
      </c>
      <c r="X159" s="1">
        <v>0</v>
      </c>
      <c r="Y159" s="1">
        <v>0</v>
      </c>
      <c r="Z159" s="1">
        <v>0</v>
      </c>
      <c r="AA159" s="1">
        <v>0</v>
      </c>
      <c r="AB159" s="1">
        <v>0</v>
      </c>
      <c r="AC159" s="1">
        <v>0</v>
      </c>
      <c r="AD159" s="1">
        <v>0</v>
      </c>
      <c r="AE159" s="1">
        <v>0</v>
      </c>
      <c r="AF159" s="1">
        <v>0</v>
      </c>
      <c r="AG159" s="12">
        <v>0</v>
      </c>
      <c r="AH159" s="23"/>
      <c r="AI159" s="23">
        <v>5</v>
      </c>
      <c r="AJ159" s="11">
        <v>7.2598954586878428E-2</v>
      </c>
      <c r="AK159" s="1">
        <v>3.1228702231296122E-2</v>
      </c>
      <c r="AL159" s="1">
        <v>-3.1708132794471912E-2</v>
      </c>
      <c r="AM159" s="1">
        <v>5.755977100452235E-2</v>
      </c>
      <c r="AN159" s="1">
        <v>0.18779729480637131</v>
      </c>
      <c r="AO159" s="1">
        <v>2.4364516320575166E-4</v>
      </c>
      <c r="AP159" s="1">
        <v>2.4501523257525203E-2</v>
      </c>
      <c r="AQ159" s="1">
        <v>5.7559695800557517E-2</v>
      </c>
      <c r="AR159" s="1">
        <v>5.0688987796916947E-2</v>
      </c>
      <c r="AS159" s="1">
        <v>-3.8692117289562421E-2</v>
      </c>
      <c r="AT159" s="1">
        <v>-7.5898566660941802E-2</v>
      </c>
      <c r="AU159" s="1">
        <v>7.2598846120152716E-2</v>
      </c>
      <c r="AV159" s="1">
        <v>7.0979706374456164E-2</v>
      </c>
      <c r="AW159" s="1">
        <v>-3.2631778084408106E-2</v>
      </c>
      <c r="AX159" s="1">
        <v>4.3559553066843663E-2</v>
      </c>
      <c r="AY159" s="1">
        <v>3.7850421393767139E-2</v>
      </c>
      <c r="AZ159" s="1">
        <v>7.7850937276030915E-2</v>
      </c>
      <c r="BA159" s="1">
        <v>4.5086240218582756E-2</v>
      </c>
      <c r="BB159" s="1">
        <v>0.11957782970307201</v>
      </c>
      <c r="BC159" s="1">
        <v>7.9061122569618648E-3</v>
      </c>
      <c r="BD159" s="1">
        <v>0.11173607098958041</v>
      </c>
      <c r="BE159" s="1">
        <v>4.1667921164782143E-2</v>
      </c>
      <c r="BF159" s="1">
        <v>-3.2832100713948473E-2</v>
      </c>
      <c r="BG159" s="1">
        <v>-9.1028619532276561E-2</v>
      </c>
      <c r="BH159" s="1">
        <v>-7.0375187796777261E-2</v>
      </c>
      <c r="BI159" s="1">
        <v>4.0831915888639721E-2</v>
      </c>
      <c r="BJ159" s="1">
        <v>-0.10230803059559519</v>
      </c>
      <c r="BK159" s="1">
        <v>7.8326267150415352E-2</v>
      </c>
      <c r="BL159" s="1">
        <v>-6.3380586994575827E-3</v>
      </c>
      <c r="BM159" s="1">
        <v>-9.7800324358733218E-2</v>
      </c>
      <c r="BN159" s="1">
        <v>0.16543661845254165</v>
      </c>
      <c r="BO159" s="12">
        <v>-8.5349249445453371E-2</v>
      </c>
      <c r="BP159" s="23"/>
      <c r="BQ159" s="23"/>
      <c r="BR159" s="23"/>
      <c r="BS159" s="23"/>
      <c r="BT159" s="23"/>
    </row>
    <row r="160" spans="1:72">
      <c r="A160">
        <v>6</v>
      </c>
      <c r="B160" s="11">
        <v>0</v>
      </c>
      <c r="C160" s="1">
        <v>0</v>
      </c>
      <c r="D160" s="1">
        <v>0</v>
      </c>
      <c r="E160" s="1">
        <v>0</v>
      </c>
      <c r="F160" s="1">
        <v>0</v>
      </c>
      <c r="G160" s="1">
        <v>1</v>
      </c>
      <c r="H160" s="1">
        <v>0</v>
      </c>
      <c r="I160" s="1">
        <v>0</v>
      </c>
      <c r="J160" s="1">
        <v>0</v>
      </c>
      <c r="K160" s="1">
        <v>0</v>
      </c>
      <c r="L160" s="1">
        <v>0</v>
      </c>
      <c r="M160" s="1">
        <v>0</v>
      </c>
      <c r="N160" s="1">
        <v>0</v>
      </c>
      <c r="O160" s="1">
        <v>0</v>
      </c>
      <c r="P160" s="1">
        <v>0</v>
      </c>
      <c r="Q160" s="1">
        <v>0</v>
      </c>
      <c r="R160" s="1">
        <v>0</v>
      </c>
      <c r="S160" s="1">
        <v>0</v>
      </c>
      <c r="T160" s="1">
        <v>0</v>
      </c>
      <c r="U160" s="1">
        <v>0</v>
      </c>
      <c r="V160" s="1">
        <v>0</v>
      </c>
      <c r="W160" s="1">
        <v>0</v>
      </c>
      <c r="X160" s="1">
        <v>0</v>
      </c>
      <c r="Y160" s="1">
        <v>0</v>
      </c>
      <c r="Z160" s="1">
        <v>0</v>
      </c>
      <c r="AA160" s="1">
        <v>0</v>
      </c>
      <c r="AB160" s="1">
        <v>0</v>
      </c>
      <c r="AC160" s="1">
        <v>0</v>
      </c>
      <c r="AD160" s="1">
        <v>0</v>
      </c>
      <c r="AE160" s="1">
        <v>0</v>
      </c>
      <c r="AF160" s="1">
        <v>0</v>
      </c>
      <c r="AG160" s="12">
        <v>0</v>
      </c>
      <c r="AH160" s="23"/>
      <c r="AI160" s="23">
        <v>6</v>
      </c>
      <c r="AJ160" s="11">
        <v>0.12860488592728334</v>
      </c>
      <c r="AK160" s="1">
        <v>1.7181511233458333E-2</v>
      </c>
      <c r="AL160" s="1">
        <v>1.4512376834163773E-2</v>
      </c>
      <c r="AM160" s="1">
        <v>-1.4365609085432371E-3</v>
      </c>
      <c r="AN160" s="1">
        <v>2.4364516320590085E-4</v>
      </c>
      <c r="AO160" s="1">
        <v>0.30496026222840344</v>
      </c>
      <c r="AP160" s="1">
        <v>0.20911173452293169</v>
      </c>
      <c r="AQ160" s="1">
        <v>-1.4365590316233537E-3</v>
      </c>
      <c r="AR160" s="1">
        <v>-2.3245237133629738E-2</v>
      </c>
      <c r="AS160" s="1">
        <v>4.4722970373039628E-2</v>
      </c>
      <c r="AT160" s="1">
        <v>0.10742108410420695</v>
      </c>
      <c r="AU160" s="1">
        <v>0.12860469378469722</v>
      </c>
      <c r="AV160" s="1">
        <v>-2.6193980892579405E-2</v>
      </c>
      <c r="AW160" s="1">
        <v>-8.4678518282021217E-3</v>
      </c>
      <c r="AX160" s="1">
        <v>-2.0883528001205742E-2</v>
      </c>
      <c r="AY160" s="1">
        <v>-1.8471674423889851E-2</v>
      </c>
      <c r="AZ160" s="1">
        <v>-2.6960448993693514E-3</v>
      </c>
      <c r="BA160" s="1">
        <v>7.4295106480821715E-3</v>
      </c>
      <c r="BB160" s="1">
        <v>-3.620916405079902E-3</v>
      </c>
      <c r="BC160" s="1">
        <v>-2.9658086456110698E-2</v>
      </c>
      <c r="BD160" s="1">
        <v>-7.7886042105369868E-2</v>
      </c>
      <c r="BE160" s="1">
        <v>-3.7804994771343886E-2</v>
      </c>
      <c r="BF160" s="1">
        <v>-3.1223752105135963E-2</v>
      </c>
      <c r="BG160" s="1">
        <v>1.5347671626865317E-2</v>
      </c>
      <c r="BH160" s="1">
        <v>-0.13340098013922747</v>
      </c>
      <c r="BI160" s="1">
        <v>0.26496809749421191</v>
      </c>
      <c r="BJ160" s="1">
        <v>0.13402833715725837</v>
      </c>
      <c r="BK160" s="1">
        <v>3.4993143734999586E-2</v>
      </c>
      <c r="BL160" s="1">
        <v>-1.249842069812733E-3</v>
      </c>
      <c r="BM160" s="1">
        <v>4.3483204646852257E-2</v>
      </c>
      <c r="BN160" s="1">
        <v>-1.4664953617848845E-2</v>
      </c>
      <c r="BO160" s="12">
        <v>8.2415485793312458E-3</v>
      </c>
      <c r="BP160" s="23"/>
      <c r="BQ160" s="23"/>
      <c r="BR160" s="23"/>
      <c r="BS160" s="23"/>
      <c r="BT160" s="23"/>
    </row>
    <row r="161" spans="1:72">
      <c r="A161">
        <v>7</v>
      </c>
      <c r="B161" s="11">
        <v>0</v>
      </c>
      <c r="C161" s="1">
        <v>0</v>
      </c>
      <c r="D161" s="1">
        <v>0</v>
      </c>
      <c r="E161" s="1">
        <v>0</v>
      </c>
      <c r="F161" s="1">
        <v>0</v>
      </c>
      <c r="G161" s="1">
        <v>0</v>
      </c>
      <c r="H161" s="1">
        <v>1</v>
      </c>
      <c r="I161" s="1">
        <v>0</v>
      </c>
      <c r="J161" s="1">
        <v>0</v>
      </c>
      <c r="K161" s="1">
        <v>0</v>
      </c>
      <c r="L161" s="1">
        <v>0</v>
      </c>
      <c r="M161" s="1">
        <v>0</v>
      </c>
      <c r="N161" s="1">
        <v>0</v>
      </c>
      <c r="O161" s="1">
        <v>0</v>
      </c>
      <c r="P161" s="1">
        <v>0</v>
      </c>
      <c r="Q161" s="1">
        <v>0</v>
      </c>
      <c r="R161" s="1">
        <v>0</v>
      </c>
      <c r="S161" s="1">
        <v>0</v>
      </c>
      <c r="T161" s="1">
        <v>0</v>
      </c>
      <c r="U161" s="1">
        <v>0</v>
      </c>
      <c r="V161" s="1">
        <v>0</v>
      </c>
      <c r="W161" s="1">
        <v>0</v>
      </c>
      <c r="X161" s="1">
        <v>0</v>
      </c>
      <c r="Y161" s="1">
        <v>0</v>
      </c>
      <c r="Z161" s="1">
        <v>0</v>
      </c>
      <c r="AA161" s="1">
        <v>0</v>
      </c>
      <c r="AB161" s="1">
        <v>0</v>
      </c>
      <c r="AC161" s="1">
        <v>0</v>
      </c>
      <c r="AD161" s="1">
        <v>0</v>
      </c>
      <c r="AE161" s="1">
        <v>0</v>
      </c>
      <c r="AF161" s="1">
        <v>0</v>
      </c>
      <c r="AG161" s="12">
        <v>0</v>
      </c>
      <c r="AH161" s="23"/>
      <c r="AI161" s="23">
        <v>7</v>
      </c>
      <c r="AJ161" s="11">
        <v>-5.7209189673448402E-2</v>
      </c>
      <c r="AK161" s="1">
        <v>5.4257313940119359E-2</v>
      </c>
      <c r="AL161" s="1">
        <v>1.0527357356532208E-2</v>
      </c>
      <c r="AM161" s="1">
        <v>0.15284377414578165</v>
      </c>
      <c r="AN161" s="1">
        <v>2.4501523257525332E-2</v>
      </c>
      <c r="AO161" s="1">
        <v>0.20911173452293161</v>
      </c>
      <c r="AP161" s="1">
        <v>0.55199704638376068</v>
      </c>
      <c r="AQ161" s="1">
        <v>0.15284357444975077</v>
      </c>
      <c r="AR161" s="1">
        <v>6.9784872785447885E-2</v>
      </c>
      <c r="AS161" s="1">
        <v>-4.8858649567717904E-4</v>
      </c>
      <c r="AT161" s="1">
        <v>-1.5293336827921056E-2</v>
      </c>
      <c r="AU161" s="1">
        <v>-5.7209104199855323E-2</v>
      </c>
      <c r="AV161" s="1">
        <v>5.168871660555574E-3</v>
      </c>
      <c r="AW161" s="1">
        <v>-5.4217781864456457E-3</v>
      </c>
      <c r="AX161" s="1">
        <v>6.9636412207840781E-3</v>
      </c>
      <c r="AY161" s="1">
        <v>-2.4099252778867347E-3</v>
      </c>
      <c r="AZ161" s="1">
        <v>4.9375701809351275E-2</v>
      </c>
      <c r="BA161" s="1">
        <v>-1.6926656380652244E-2</v>
      </c>
      <c r="BB161" s="1">
        <v>-2.5370396987786925E-2</v>
      </c>
      <c r="BC161" s="1">
        <v>-5.5112447298938494E-2</v>
      </c>
      <c r="BD161" s="1">
        <v>3.9902939440467078E-2</v>
      </c>
      <c r="BE161" s="1">
        <v>3.3377865928935879E-2</v>
      </c>
      <c r="BF161" s="1">
        <v>9.4851257174397574E-3</v>
      </c>
      <c r="BG161" s="1">
        <v>8.2855599490751858E-2</v>
      </c>
      <c r="BH161" s="1">
        <v>-0.12157084355110316</v>
      </c>
      <c r="BI161" s="1">
        <v>-4.4050687026491175E-2</v>
      </c>
      <c r="BJ161" s="1">
        <v>0.29516476633235456</v>
      </c>
      <c r="BK161" s="1">
        <v>0.13498676667465748</v>
      </c>
      <c r="BL161" s="1">
        <v>-2.2560565015294534E-2</v>
      </c>
      <c r="BM161" s="1">
        <v>2.8769850994326482E-2</v>
      </c>
      <c r="BN161" s="1">
        <v>4.2221026929326666E-2</v>
      </c>
      <c r="BO161" s="12">
        <v>-1.346156718990793E-2</v>
      </c>
      <c r="BP161" s="23"/>
      <c r="BQ161" s="23"/>
      <c r="BR161" s="23"/>
      <c r="BS161" s="23"/>
      <c r="BT161" s="23"/>
    </row>
    <row r="162" spans="1:72">
      <c r="A162">
        <v>8</v>
      </c>
      <c r="B162" s="11">
        <v>0</v>
      </c>
      <c r="C162" s="1">
        <v>0</v>
      </c>
      <c r="D162" s="1">
        <v>0</v>
      </c>
      <c r="E162" s="1">
        <v>0</v>
      </c>
      <c r="F162" s="1">
        <v>0</v>
      </c>
      <c r="G162" s="1">
        <v>0</v>
      </c>
      <c r="H162" s="1">
        <v>0</v>
      </c>
      <c r="I162" s="1">
        <v>1</v>
      </c>
      <c r="J162" s="1">
        <v>0</v>
      </c>
      <c r="K162" s="1">
        <v>0</v>
      </c>
      <c r="L162" s="1">
        <v>0</v>
      </c>
      <c r="M162" s="1">
        <v>0</v>
      </c>
      <c r="N162" s="1">
        <v>0</v>
      </c>
      <c r="O162" s="1">
        <v>0</v>
      </c>
      <c r="P162" s="1">
        <v>0</v>
      </c>
      <c r="Q162" s="1">
        <v>0</v>
      </c>
      <c r="R162" s="1">
        <v>0</v>
      </c>
      <c r="S162" s="1">
        <v>0</v>
      </c>
      <c r="T162" s="1">
        <v>0</v>
      </c>
      <c r="U162" s="1">
        <v>0</v>
      </c>
      <c r="V162" s="1">
        <v>0</v>
      </c>
      <c r="W162" s="1">
        <v>0</v>
      </c>
      <c r="X162" s="1">
        <v>0</v>
      </c>
      <c r="Y162" s="1">
        <v>0</v>
      </c>
      <c r="Z162" s="1">
        <v>0</v>
      </c>
      <c r="AA162" s="1">
        <v>0</v>
      </c>
      <c r="AB162" s="1">
        <v>0</v>
      </c>
      <c r="AC162" s="1">
        <v>0</v>
      </c>
      <c r="AD162" s="1">
        <v>0</v>
      </c>
      <c r="AE162" s="1">
        <v>0</v>
      </c>
      <c r="AF162" s="1">
        <v>0</v>
      </c>
      <c r="AG162" s="12">
        <v>0</v>
      </c>
      <c r="AH162" s="23"/>
      <c r="AI162" s="23">
        <v>8</v>
      </c>
      <c r="AJ162" s="11">
        <v>5.5710956303027442E-2</v>
      </c>
      <c r="AK162" s="1">
        <v>-5.0989426024082365E-3</v>
      </c>
      <c r="AL162" s="1">
        <v>-4.088861079363703E-2</v>
      </c>
      <c r="AM162" s="1">
        <v>0.21758795773795381</v>
      </c>
      <c r="AN162" s="1">
        <v>5.7559695800557586E-2</v>
      </c>
      <c r="AO162" s="1">
        <v>-1.4365590316234023E-3</v>
      </c>
      <c r="AP162" s="1">
        <v>0.15284357444975072</v>
      </c>
      <c r="AQ162" s="1">
        <v>0.2175876734512579</v>
      </c>
      <c r="AR162" s="1">
        <v>0.14351793362686249</v>
      </c>
      <c r="AS162" s="1">
        <v>-3.380938420508417E-2</v>
      </c>
      <c r="AT162" s="1">
        <v>-5.4420283256735646E-2</v>
      </c>
      <c r="AU162" s="1">
        <v>5.5710873067875588E-2</v>
      </c>
      <c r="AV162" s="1">
        <v>1.2232774234692878E-2</v>
      </c>
      <c r="AW162" s="1">
        <v>1.7094915123205393E-2</v>
      </c>
      <c r="AX162" s="1">
        <v>-6.9751381542965118E-4</v>
      </c>
      <c r="AY162" s="1">
        <v>-5.4375766749591437E-3</v>
      </c>
      <c r="AZ162" s="1">
        <v>3.2867025468776186E-3</v>
      </c>
      <c r="BA162" s="1">
        <v>1.9664779650914635E-2</v>
      </c>
      <c r="BB162" s="1">
        <v>1.050747431789531E-2</v>
      </c>
      <c r="BC162" s="1">
        <v>-3.6077203860624255E-2</v>
      </c>
      <c r="BD162" s="1">
        <v>-1.5662850694432906E-2</v>
      </c>
      <c r="BE162" s="1">
        <v>-3.2878682270724824E-2</v>
      </c>
      <c r="BF162" s="1">
        <v>-3.499104319999867E-2</v>
      </c>
      <c r="BG162" s="1">
        <v>-5.139388309055816E-2</v>
      </c>
      <c r="BH162" s="1">
        <v>0.20553570824600931</v>
      </c>
      <c r="BI162" s="1">
        <v>-7.0609248990294776E-2</v>
      </c>
      <c r="BJ162" s="1">
        <v>6.2547666054656129E-2</v>
      </c>
      <c r="BK162" s="1">
        <v>3.180894541695E-2</v>
      </c>
      <c r="BL162" s="1">
        <v>1.697806201726295E-2</v>
      </c>
      <c r="BM162" s="1">
        <v>-3.2196578302137291E-2</v>
      </c>
      <c r="BN162" s="1">
        <v>5.0125869902622008E-2</v>
      </c>
      <c r="BO162" s="12">
        <v>-1.2229225639725937E-2</v>
      </c>
      <c r="BP162" s="23"/>
      <c r="BQ162" s="23"/>
      <c r="BR162" s="23"/>
      <c r="BS162" s="23"/>
      <c r="BT162" s="23"/>
    </row>
    <row r="163" spans="1:72">
      <c r="A163">
        <v>9</v>
      </c>
      <c r="B163" s="11">
        <v>0</v>
      </c>
      <c r="C163" s="1">
        <v>0</v>
      </c>
      <c r="D163" s="1">
        <v>0</v>
      </c>
      <c r="E163" s="1">
        <v>0</v>
      </c>
      <c r="F163" s="1">
        <v>0</v>
      </c>
      <c r="G163" s="1">
        <v>0</v>
      </c>
      <c r="H163" s="1">
        <v>0</v>
      </c>
      <c r="I163" s="1">
        <v>0</v>
      </c>
      <c r="J163" s="1">
        <v>1</v>
      </c>
      <c r="K163" s="1">
        <v>0</v>
      </c>
      <c r="L163" s="1">
        <v>0</v>
      </c>
      <c r="M163" s="1">
        <v>0</v>
      </c>
      <c r="N163" s="1">
        <v>0</v>
      </c>
      <c r="O163" s="1">
        <v>0</v>
      </c>
      <c r="P163" s="1">
        <v>0</v>
      </c>
      <c r="Q163" s="1">
        <v>0</v>
      </c>
      <c r="R163" s="1">
        <v>0</v>
      </c>
      <c r="S163" s="1">
        <v>0</v>
      </c>
      <c r="T163" s="1">
        <v>0</v>
      </c>
      <c r="U163" s="1">
        <v>0</v>
      </c>
      <c r="V163" s="1">
        <v>0</v>
      </c>
      <c r="W163" s="1">
        <v>0</v>
      </c>
      <c r="X163" s="1">
        <v>0</v>
      </c>
      <c r="Y163" s="1">
        <v>0</v>
      </c>
      <c r="Z163" s="1">
        <v>0</v>
      </c>
      <c r="AA163" s="1">
        <v>0</v>
      </c>
      <c r="AB163" s="1">
        <v>0</v>
      </c>
      <c r="AC163" s="1">
        <v>0</v>
      </c>
      <c r="AD163" s="1">
        <v>0</v>
      </c>
      <c r="AE163" s="1">
        <v>0</v>
      </c>
      <c r="AF163" s="1">
        <v>0</v>
      </c>
      <c r="AG163" s="12">
        <v>0</v>
      </c>
      <c r="AH163" s="23"/>
      <c r="AI163" s="23">
        <v>9</v>
      </c>
      <c r="AJ163" s="11">
        <v>4.5375592248927177E-2</v>
      </c>
      <c r="AK163" s="1">
        <v>0.1013640240773068</v>
      </c>
      <c r="AL163" s="1">
        <v>0.17700290132975754</v>
      </c>
      <c r="AM163" s="1">
        <v>0.14351812113858364</v>
      </c>
      <c r="AN163" s="1">
        <v>5.0688987796916982E-2</v>
      </c>
      <c r="AO163" s="1">
        <v>-2.324523713362979E-2</v>
      </c>
      <c r="AP163" s="1">
        <v>6.978487278544783E-2</v>
      </c>
      <c r="AQ163" s="1">
        <v>0.14351793362686247</v>
      </c>
      <c r="AR163" s="1">
        <v>0.2978950282412372</v>
      </c>
      <c r="AS163" s="1">
        <v>-2.8149626614159456E-2</v>
      </c>
      <c r="AT163" s="1">
        <v>-3.3518785459383617E-2</v>
      </c>
      <c r="AU163" s="1">
        <v>4.5375524455362623E-2</v>
      </c>
      <c r="AV163" s="1">
        <v>1.6133310730986672E-2</v>
      </c>
      <c r="AW163" s="1">
        <v>1.1375102680091185E-2</v>
      </c>
      <c r="AX163" s="1">
        <v>-3.2489012665392197E-3</v>
      </c>
      <c r="AY163" s="1">
        <v>-1.59815891727959E-2</v>
      </c>
      <c r="AZ163" s="1">
        <v>4.8642925008163612E-2</v>
      </c>
      <c r="BA163" s="1">
        <v>3.0963576024931206E-2</v>
      </c>
      <c r="BB163" s="1">
        <v>0.15957153608250602</v>
      </c>
      <c r="BC163" s="1">
        <v>8.2692745626762557E-2</v>
      </c>
      <c r="BD163" s="1">
        <v>-3.1007216103653423E-2</v>
      </c>
      <c r="BE163" s="1">
        <v>-4.6193240061393373E-2</v>
      </c>
      <c r="BF163" s="1">
        <v>-7.302695765798059E-2</v>
      </c>
      <c r="BG163" s="1">
        <v>6.7619727363402243E-2</v>
      </c>
      <c r="BH163" s="1">
        <v>0.14506297354320785</v>
      </c>
      <c r="BI163" s="1">
        <v>-6.2455287083582708E-2</v>
      </c>
      <c r="BJ163" s="1">
        <v>-8.2188016544886014E-2</v>
      </c>
      <c r="BK163" s="1">
        <v>4.3019553471066715E-2</v>
      </c>
      <c r="BL163" s="1">
        <v>-8.1304283303928845E-2</v>
      </c>
      <c r="BM163" s="1">
        <v>0.14481501504326094</v>
      </c>
      <c r="BN163" s="1">
        <v>-2.5197265364341574E-2</v>
      </c>
      <c r="BO163" s="12">
        <v>-3.5946242710450806E-2</v>
      </c>
      <c r="BP163" s="23"/>
      <c r="BQ163" s="23"/>
      <c r="BR163" s="23"/>
      <c r="BS163" s="23"/>
      <c r="BT163" s="23"/>
    </row>
    <row r="164" spans="1:72">
      <c r="A164">
        <v>10</v>
      </c>
      <c r="B164" s="11">
        <v>0</v>
      </c>
      <c r="C164" s="1">
        <v>0</v>
      </c>
      <c r="D164" s="1">
        <v>0</v>
      </c>
      <c r="E164" s="1">
        <v>0</v>
      </c>
      <c r="F164" s="1">
        <v>0</v>
      </c>
      <c r="G164" s="1">
        <v>0</v>
      </c>
      <c r="H164" s="1">
        <v>0</v>
      </c>
      <c r="I164" s="1">
        <v>0</v>
      </c>
      <c r="J164" s="1">
        <v>0</v>
      </c>
      <c r="K164" s="1">
        <v>1</v>
      </c>
      <c r="L164" s="1">
        <v>0</v>
      </c>
      <c r="M164" s="1">
        <v>0</v>
      </c>
      <c r="N164" s="1">
        <v>0</v>
      </c>
      <c r="O164" s="1">
        <v>0</v>
      </c>
      <c r="P164" s="1">
        <v>0</v>
      </c>
      <c r="Q164" s="1">
        <v>0</v>
      </c>
      <c r="R164" s="1">
        <v>0</v>
      </c>
      <c r="S164" s="1">
        <v>0</v>
      </c>
      <c r="T164" s="1">
        <v>0</v>
      </c>
      <c r="U164" s="1">
        <v>0</v>
      </c>
      <c r="V164" s="1">
        <v>0</v>
      </c>
      <c r="W164" s="1">
        <v>0</v>
      </c>
      <c r="X164" s="1">
        <v>0</v>
      </c>
      <c r="Y164" s="1">
        <v>0</v>
      </c>
      <c r="Z164" s="1">
        <v>0</v>
      </c>
      <c r="AA164" s="1">
        <v>0</v>
      </c>
      <c r="AB164" s="1">
        <v>0</v>
      </c>
      <c r="AC164" s="1">
        <v>0</v>
      </c>
      <c r="AD164" s="1">
        <v>0</v>
      </c>
      <c r="AE164" s="1">
        <v>0</v>
      </c>
      <c r="AF164" s="1">
        <v>0</v>
      </c>
      <c r="AG164" s="12">
        <v>0</v>
      </c>
      <c r="AH164" s="23"/>
      <c r="AI164" s="23">
        <v>10</v>
      </c>
      <c r="AJ164" s="11">
        <v>9.2835979198405097E-2</v>
      </c>
      <c r="AK164" s="1">
        <v>-9.611030275552504E-3</v>
      </c>
      <c r="AL164" s="1">
        <v>7.0464460536291112E-3</v>
      </c>
      <c r="AM164" s="1">
        <v>-3.3809428378350062E-2</v>
      </c>
      <c r="AN164" s="1">
        <v>-3.8692117289562435E-2</v>
      </c>
      <c r="AO164" s="1">
        <v>4.4722970373039711E-2</v>
      </c>
      <c r="AP164" s="1">
        <v>-4.8858649567736553E-4</v>
      </c>
      <c r="AQ164" s="1">
        <v>-3.3809384205084302E-2</v>
      </c>
      <c r="AR164" s="1">
        <v>-2.8149626614159495E-2</v>
      </c>
      <c r="AS164" s="1">
        <v>0.46776558752457831</v>
      </c>
      <c r="AT164" s="1">
        <v>0.24104000207500301</v>
      </c>
      <c r="AU164" s="1">
        <v>9.2835840496480873E-2</v>
      </c>
      <c r="AV164" s="1">
        <v>0.11749319579297113</v>
      </c>
      <c r="AW164" s="1">
        <v>0.30045342774525141</v>
      </c>
      <c r="AX164" s="1">
        <v>3.6027662320870395E-2</v>
      </c>
      <c r="AY164" s="1">
        <v>-3.6656322264936397E-2</v>
      </c>
      <c r="AZ164" s="1">
        <v>-2.9758498502098978E-2</v>
      </c>
      <c r="BA164" s="1">
        <v>-3.1804047541219314E-2</v>
      </c>
      <c r="BB164" s="1">
        <v>-2.9853105984760729E-2</v>
      </c>
      <c r="BC164" s="1">
        <v>9.4194947351104279E-3</v>
      </c>
      <c r="BD164" s="1">
        <v>0.18636068770851841</v>
      </c>
      <c r="BE164" s="1">
        <v>-8.1946124763595418E-2</v>
      </c>
      <c r="BF164" s="1">
        <v>-6.9645390329387789E-3</v>
      </c>
      <c r="BG164" s="1">
        <v>3.687680048761055E-2</v>
      </c>
      <c r="BH164" s="1">
        <v>-2.3276578237856185E-2</v>
      </c>
      <c r="BI164" s="1">
        <v>-0.1110502461617386</v>
      </c>
      <c r="BJ164" s="1">
        <v>1.5503003830108478E-2</v>
      </c>
      <c r="BK164" s="1">
        <v>-2.6508214634453717E-3</v>
      </c>
      <c r="BL164" s="1">
        <v>-2.4579881662974111E-2</v>
      </c>
      <c r="BM164" s="1">
        <v>1.199121594826961E-2</v>
      </c>
      <c r="BN164" s="1">
        <v>-4.08055644569927E-3</v>
      </c>
      <c r="BO164" s="12">
        <v>2.3878893731127091E-2</v>
      </c>
      <c r="BP164" s="23"/>
      <c r="BQ164" s="23"/>
      <c r="BR164" s="23"/>
      <c r="BS164" s="23"/>
      <c r="BT164" s="23"/>
    </row>
    <row r="165" spans="1:72">
      <c r="A165">
        <v>11</v>
      </c>
      <c r="B165" s="11">
        <v>0</v>
      </c>
      <c r="C165" s="1">
        <v>0</v>
      </c>
      <c r="D165" s="1">
        <v>0</v>
      </c>
      <c r="E165" s="1">
        <v>0</v>
      </c>
      <c r="F165" s="1">
        <v>0</v>
      </c>
      <c r="G165" s="1">
        <v>0</v>
      </c>
      <c r="H165" s="1">
        <v>0</v>
      </c>
      <c r="I165" s="1">
        <v>0</v>
      </c>
      <c r="J165" s="1">
        <v>0</v>
      </c>
      <c r="K165" s="1">
        <v>0</v>
      </c>
      <c r="L165" s="1">
        <v>1</v>
      </c>
      <c r="M165" s="1">
        <v>0</v>
      </c>
      <c r="N165" s="1">
        <v>0</v>
      </c>
      <c r="O165" s="1">
        <v>0</v>
      </c>
      <c r="P165" s="1">
        <v>0</v>
      </c>
      <c r="Q165" s="1">
        <v>0</v>
      </c>
      <c r="R165" s="1">
        <v>0</v>
      </c>
      <c r="S165" s="1">
        <v>0</v>
      </c>
      <c r="T165" s="1">
        <v>0</v>
      </c>
      <c r="U165" s="1">
        <v>0</v>
      </c>
      <c r="V165" s="1">
        <v>0</v>
      </c>
      <c r="W165" s="1">
        <v>0</v>
      </c>
      <c r="X165" s="1">
        <v>0</v>
      </c>
      <c r="Y165" s="1">
        <v>0</v>
      </c>
      <c r="Z165" s="1">
        <v>0</v>
      </c>
      <c r="AA165" s="1">
        <v>0</v>
      </c>
      <c r="AB165" s="1">
        <v>0</v>
      </c>
      <c r="AC165" s="1">
        <v>0</v>
      </c>
      <c r="AD165" s="1">
        <v>0</v>
      </c>
      <c r="AE165" s="1">
        <v>0</v>
      </c>
      <c r="AF165" s="1">
        <v>0</v>
      </c>
      <c r="AG165" s="12">
        <v>0</v>
      </c>
      <c r="AH165" s="23"/>
      <c r="AI165" s="23">
        <v>11</v>
      </c>
      <c r="AJ165" s="11">
        <v>0.2083672033197031</v>
      </c>
      <c r="AK165" s="1">
        <v>5.6951379289852354E-3</v>
      </c>
      <c r="AL165" s="1">
        <v>2.4168902350813364E-2</v>
      </c>
      <c r="AM165" s="1">
        <v>-5.4420354358936759E-2</v>
      </c>
      <c r="AN165" s="1">
        <v>-7.5898566660941774E-2</v>
      </c>
      <c r="AO165" s="1">
        <v>0.10742108410420695</v>
      </c>
      <c r="AP165" s="1">
        <v>-1.529333682792099E-2</v>
      </c>
      <c r="AQ165" s="1">
        <v>-5.4420283256735653E-2</v>
      </c>
      <c r="AR165" s="1">
        <v>-3.3518785459383645E-2</v>
      </c>
      <c r="AS165" s="1">
        <v>0.24104000207500295</v>
      </c>
      <c r="AT165" s="1">
        <v>0.47035368744935396</v>
      </c>
      <c r="AU165" s="1">
        <v>0.20836689200794339</v>
      </c>
      <c r="AV165" s="1">
        <v>-6.3815913623576123E-2</v>
      </c>
      <c r="AW165" s="1">
        <v>-0.13079501119591302</v>
      </c>
      <c r="AX165" s="1">
        <v>-1.206533178943224E-2</v>
      </c>
      <c r="AY165" s="1">
        <v>1.9907990167498873E-2</v>
      </c>
      <c r="AZ165" s="1">
        <v>6.9693182407154644E-3</v>
      </c>
      <c r="BA165" s="1">
        <v>-2.8033094353982106E-2</v>
      </c>
      <c r="BB165" s="1">
        <v>-4.7373649130423398E-2</v>
      </c>
      <c r="BC165" s="1">
        <v>1.2200560687870515E-2</v>
      </c>
      <c r="BD165" s="1">
        <v>-3.5518917829258916E-2</v>
      </c>
      <c r="BE165" s="1">
        <v>8.7817476383006493E-2</v>
      </c>
      <c r="BF165" s="1">
        <v>6.6574845029766697E-2</v>
      </c>
      <c r="BG165" s="1">
        <v>7.2395112690400568E-2</v>
      </c>
      <c r="BH165" s="1">
        <v>-1.7751734960046912E-2</v>
      </c>
      <c r="BI165" s="1">
        <v>-0.17351678131386791</v>
      </c>
      <c r="BJ165" s="1">
        <v>2.1068124754105612E-2</v>
      </c>
      <c r="BK165" s="1">
        <v>-1.3837523869852545E-2</v>
      </c>
      <c r="BL165" s="1">
        <v>-5.0264570014402956E-3</v>
      </c>
      <c r="BM165" s="1">
        <v>2.6509766918873787E-2</v>
      </c>
      <c r="BN165" s="1">
        <v>-5.7992645260746108E-2</v>
      </c>
      <c r="BO165" s="12">
        <v>1.5634494023554067E-2</v>
      </c>
      <c r="BP165" s="23"/>
      <c r="BQ165" s="23"/>
      <c r="BR165" s="23"/>
      <c r="BS165" s="23"/>
      <c r="BT165" s="23"/>
    </row>
    <row r="166" spans="1:72">
      <c r="A166">
        <v>12</v>
      </c>
      <c r="B166" s="11">
        <v>0</v>
      </c>
      <c r="C166" s="1">
        <v>0</v>
      </c>
      <c r="D166" s="1">
        <v>0</v>
      </c>
      <c r="E166" s="1">
        <v>0</v>
      </c>
      <c r="F166" s="1">
        <v>0</v>
      </c>
      <c r="G166" s="1">
        <v>0</v>
      </c>
      <c r="H166" s="1">
        <v>0</v>
      </c>
      <c r="I166" s="1">
        <v>0</v>
      </c>
      <c r="J166" s="1">
        <v>0</v>
      </c>
      <c r="K166" s="1">
        <v>0</v>
      </c>
      <c r="L166" s="1">
        <v>0</v>
      </c>
      <c r="M166" s="1">
        <v>1</v>
      </c>
      <c r="N166" s="1">
        <v>0</v>
      </c>
      <c r="O166" s="1">
        <v>0</v>
      </c>
      <c r="P166" s="1">
        <v>0</v>
      </c>
      <c r="Q166" s="1">
        <v>0</v>
      </c>
      <c r="R166" s="1">
        <v>0</v>
      </c>
      <c r="S166" s="1">
        <v>0</v>
      </c>
      <c r="T166" s="1">
        <v>0</v>
      </c>
      <c r="U166" s="1">
        <v>0</v>
      </c>
      <c r="V166" s="1">
        <v>0</v>
      </c>
      <c r="W166" s="1">
        <v>0</v>
      </c>
      <c r="X166" s="1">
        <v>0</v>
      </c>
      <c r="Y166" s="1">
        <v>0</v>
      </c>
      <c r="Z166" s="1">
        <v>0</v>
      </c>
      <c r="AA166" s="1">
        <v>0</v>
      </c>
      <c r="AB166" s="1">
        <v>0</v>
      </c>
      <c r="AC166" s="1">
        <v>0</v>
      </c>
      <c r="AD166" s="1">
        <v>0</v>
      </c>
      <c r="AE166" s="1">
        <v>0</v>
      </c>
      <c r="AF166" s="1">
        <v>0</v>
      </c>
      <c r="AG166" s="12">
        <v>0</v>
      </c>
      <c r="AH166" s="23"/>
      <c r="AI166" s="23">
        <v>12</v>
      </c>
      <c r="AJ166" s="11">
        <v>0.26551492848127228</v>
      </c>
      <c r="AK166" s="1">
        <v>-4.5866493761361794E-3</v>
      </c>
      <c r="AL166" s="1">
        <v>-2.5145186393083507E-2</v>
      </c>
      <c r="AM166" s="1">
        <v>5.5710945856282099E-2</v>
      </c>
      <c r="AN166" s="1">
        <v>7.2598846120152744E-2</v>
      </c>
      <c r="AO166" s="1">
        <v>0.12860469378469724</v>
      </c>
      <c r="AP166" s="1">
        <v>-5.7209104199855351E-2</v>
      </c>
      <c r="AQ166" s="1">
        <v>5.5710873067875553E-2</v>
      </c>
      <c r="AR166" s="1">
        <v>4.5375524455362581E-2</v>
      </c>
      <c r="AS166" s="1">
        <v>9.2835840496480665E-2</v>
      </c>
      <c r="AT166" s="1">
        <v>0.20836689200794337</v>
      </c>
      <c r="AU166" s="1">
        <v>0.26551453178775108</v>
      </c>
      <c r="AV166" s="1">
        <v>-7.8160980646258017E-3</v>
      </c>
      <c r="AW166" s="1">
        <v>-6.1532880938435709E-2</v>
      </c>
      <c r="AX166" s="1">
        <v>-3.4225532115668839E-3</v>
      </c>
      <c r="AY166" s="1">
        <v>1.1114200682525336E-2</v>
      </c>
      <c r="AZ166" s="1">
        <v>1.140147776028266E-2</v>
      </c>
      <c r="BA166" s="1">
        <v>3.3466138235629841E-2</v>
      </c>
      <c r="BB166" s="1">
        <v>4.9486478396102408E-2</v>
      </c>
      <c r="BC166" s="1">
        <v>-3.6789896700686036E-3</v>
      </c>
      <c r="BD166" s="1">
        <v>-4.6189235948227936E-2</v>
      </c>
      <c r="BE166" s="1">
        <v>-6.3655616023561012E-3</v>
      </c>
      <c r="BF166" s="1">
        <v>-3.2467623150169905E-2</v>
      </c>
      <c r="BG166" s="1">
        <v>-7.430500724277686E-2</v>
      </c>
      <c r="BH166" s="1">
        <v>6.777490799358632E-2</v>
      </c>
      <c r="BI166" s="1">
        <v>9.1552519949944469E-2</v>
      </c>
      <c r="BJ166" s="1">
        <v>-6.6268828966478718E-2</v>
      </c>
      <c r="BK166" s="1">
        <v>-4.1566345734919338E-4</v>
      </c>
      <c r="BL166" s="1">
        <v>1.6586831568489672E-2</v>
      </c>
      <c r="BM166" s="1">
        <v>-3.8755517458339411E-2</v>
      </c>
      <c r="BN166" s="1">
        <v>4.7150455818767797E-2</v>
      </c>
      <c r="BO166" s="12">
        <v>-2.5867322653608259E-2</v>
      </c>
      <c r="BP166" s="23"/>
      <c r="BQ166" s="23"/>
      <c r="BR166" s="23"/>
      <c r="BS166" s="23"/>
      <c r="BT166" s="23"/>
    </row>
    <row r="167" spans="1:72">
      <c r="A167">
        <v>13</v>
      </c>
      <c r="B167" s="11">
        <v>0</v>
      </c>
      <c r="C167" s="1">
        <v>0</v>
      </c>
      <c r="D167" s="1">
        <v>0</v>
      </c>
      <c r="E167" s="1">
        <v>0</v>
      </c>
      <c r="F167" s="1">
        <v>0</v>
      </c>
      <c r="G167" s="1">
        <v>0</v>
      </c>
      <c r="H167" s="1">
        <v>0</v>
      </c>
      <c r="I167" s="1">
        <v>0</v>
      </c>
      <c r="J167" s="1">
        <v>0</v>
      </c>
      <c r="K167" s="1">
        <v>0</v>
      </c>
      <c r="L167" s="1">
        <v>0</v>
      </c>
      <c r="M167" s="1">
        <v>0</v>
      </c>
      <c r="N167" s="1">
        <v>1</v>
      </c>
      <c r="O167" s="1">
        <v>0</v>
      </c>
      <c r="P167" s="1">
        <v>0</v>
      </c>
      <c r="Q167" s="1">
        <v>0</v>
      </c>
      <c r="R167" s="1">
        <v>0</v>
      </c>
      <c r="S167" s="1">
        <v>0</v>
      </c>
      <c r="T167" s="1">
        <v>0</v>
      </c>
      <c r="U167" s="1">
        <v>0</v>
      </c>
      <c r="V167" s="1">
        <v>0</v>
      </c>
      <c r="W167" s="1">
        <v>0</v>
      </c>
      <c r="X167" s="1">
        <v>0</v>
      </c>
      <c r="Y167" s="1">
        <v>0</v>
      </c>
      <c r="Z167" s="1">
        <v>0</v>
      </c>
      <c r="AA167" s="1">
        <v>0</v>
      </c>
      <c r="AB167" s="1">
        <v>0</v>
      </c>
      <c r="AC167" s="1">
        <v>0</v>
      </c>
      <c r="AD167" s="1">
        <v>0</v>
      </c>
      <c r="AE167" s="1">
        <v>0</v>
      </c>
      <c r="AF167" s="1">
        <v>0</v>
      </c>
      <c r="AG167" s="12">
        <v>0</v>
      </c>
      <c r="AH167" s="23"/>
      <c r="AI167" s="23">
        <v>13</v>
      </c>
      <c r="AJ167" s="11">
        <v>-7.81610974231234E-3</v>
      </c>
      <c r="AK167" s="1">
        <v>3.2587542391212865E-2</v>
      </c>
      <c r="AL167" s="1">
        <v>3.9134983349880473E-3</v>
      </c>
      <c r="AM167" s="1">
        <v>1.2232790217284659E-2</v>
      </c>
      <c r="AN167" s="1">
        <v>7.097970637445622E-2</v>
      </c>
      <c r="AO167" s="1">
        <v>-2.6193980892579606E-2</v>
      </c>
      <c r="AP167" s="1">
        <v>5.1688716605554248E-3</v>
      </c>
      <c r="AQ167" s="1">
        <v>1.2232774234692854E-2</v>
      </c>
      <c r="AR167" s="1">
        <v>1.6133310730986644E-2</v>
      </c>
      <c r="AS167" s="1">
        <v>0.11749319579297134</v>
      </c>
      <c r="AT167" s="1">
        <v>-6.3815913623576123E-2</v>
      </c>
      <c r="AU167" s="1">
        <v>-7.8160980646258538E-3</v>
      </c>
      <c r="AV167" s="1">
        <v>0.35141324046431138</v>
      </c>
      <c r="AW167" s="1">
        <v>0.25835200255510177</v>
      </c>
      <c r="AX167" s="1">
        <v>0.19948857783851479</v>
      </c>
      <c r="AY167" s="1">
        <v>0.12538725810923934</v>
      </c>
      <c r="AZ167" s="1">
        <v>5.9217225391996975E-2</v>
      </c>
      <c r="BA167" s="1">
        <v>4.5568951247791346E-2</v>
      </c>
      <c r="BB167" s="1">
        <v>7.4482089190183273E-2</v>
      </c>
      <c r="BC167" s="1">
        <v>-3.2953034539100791E-2</v>
      </c>
      <c r="BD167" s="1">
        <v>-6.3453505169733748E-2</v>
      </c>
      <c r="BE167" s="1">
        <v>0.12834772218954188</v>
      </c>
      <c r="BF167" s="1">
        <v>6.1836772414213717E-2</v>
      </c>
      <c r="BG167" s="1">
        <v>-8.9907630323771706E-2</v>
      </c>
      <c r="BH167" s="1">
        <v>-3.9186652751371814E-2</v>
      </c>
      <c r="BI167" s="1">
        <v>2.3632936411217137E-3</v>
      </c>
      <c r="BJ167" s="1">
        <v>-7.5946182017719846E-3</v>
      </c>
      <c r="BK167" s="1">
        <v>-1.2837846433232117E-2</v>
      </c>
      <c r="BL167" s="1">
        <v>8.2305825815446654E-2</v>
      </c>
      <c r="BM167" s="1">
        <v>1.2598692027296337E-2</v>
      </c>
      <c r="BN167" s="1">
        <v>-5.1910758627491713E-2</v>
      </c>
      <c r="BO167" s="12">
        <v>-0.15574578324700875</v>
      </c>
      <c r="BP167" s="23"/>
      <c r="BQ167" s="23"/>
      <c r="BR167" s="23"/>
      <c r="BS167" s="23"/>
      <c r="BT167" s="23"/>
    </row>
    <row r="168" spans="1:72">
      <c r="A168">
        <v>14</v>
      </c>
      <c r="B168" s="11">
        <v>0</v>
      </c>
      <c r="C168" s="1">
        <v>0</v>
      </c>
      <c r="D168" s="1">
        <v>0</v>
      </c>
      <c r="E168" s="1">
        <v>0</v>
      </c>
      <c r="F168" s="1">
        <v>0</v>
      </c>
      <c r="G168" s="1">
        <v>0</v>
      </c>
      <c r="H168" s="1">
        <v>0</v>
      </c>
      <c r="I168" s="1">
        <v>0</v>
      </c>
      <c r="J168" s="1">
        <v>0</v>
      </c>
      <c r="K168" s="1">
        <v>0</v>
      </c>
      <c r="L168" s="1">
        <v>0</v>
      </c>
      <c r="M168" s="1">
        <v>0</v>
      </c>
      <c r="N168" s="1">
        <v>0</v>
      </c>
      <c r="O168" s="1">
        <v>1</v>
      </c>
      <c r="P168" s="1">
        <v>0</v>
      </c>
      <c r="Q168" s="1">
        <v>0</v>
      </c>
      <c r="R168" s="1">
        <v>0</v>
      </c>
      <c r="S168" s="1">
        <v>0</v>
      </c>
      <c r="T168" s="1">
        <v>0</v>
      </c>
      <c r="U168" s="1">
        <v>0</v>
      </c>
      <c r="V168" s="1">
        <v>0</v>
      </c>
      <c r="W168" s="1">
        <v>0</v>
      </c>
      <c r="X168" s="1">
        <v>0</v>
      </c>
      <c r="Y168" s="1">
        <v>0</v>
      </c>
      <c r="Z168" s="1">
        <v>0</v>
      </c>
      <c r="AA168" s="1">
        <v>0</v>
      </c>
      <c r="AB168" s="1">
        <v>0</v>
      </c>
      <c r="AC168" s="1">
        <v>0</v>
      </c>
      <c r="AD168" s="1">
        <v>0</v>
      </c>
      <c r="AE168" s="1">
        <v>0</v>
      </c>
      <c r="AF168" s="1">
        <v>0</v>
      </c>
      <c r="AG168" s="12">
        <v>0</v>
      </c>
      <c r="AH168" s="23"/>
      <c r="AI168" s="23">
        <v>14</v>
      </c>
      <c r="AJ168" s="11">
        <v>-6.153297287199222E-2</v>
      </c>
      <c r="AK168" s="1">
        <v>-1.6530668118390841E-2</v>
      </c>
      <c r="AL168" s="1">
        <v>-7.0041610829155772E-3</v>
      </c>
      <c r="AM168" s="1">
        <v>1.7094937458371991E-2</v>
      </c>
      <c r="AN168" s="1">
        <v>-3.2631778084407981E-2</v>
      </c>
      <c r="AO168" s="1">
        <v>-8.4678518282021095E-3</v>
      </c>
      <c r="AP168" s="1">
        <v>-5.4217781864457255E-3</v>
      </c>
      <c r="AQ168" s="1">
        <v>1.7094915123205379E-2</v>
      </c>
      <c r="AR168" s="1">
        <v>1.1375102680091162E-2</v>
      </c>
      <c r="AS168" s="1">
        <v>0.30045342774525141</v>
      </c>
      <c r="AT168" s="1">
        <v>-0.13079501119591297</v>
      </c>
      <c r="AU168" s="1">
        <v>-6.1532880938435675E-2</v>
      </c>
      <c r="AV168" s="1">
        <v>0.25835200255510193</v>
      </c>
      <c r="AW168" s="1">
        <v>0.58296837635147036</v>
      </c>
      <c r="AX168" s="1">
        <v>9.1573670745334762E-2</v>
      </c>
      <c r="AY168" s="1">
        <v>-5.3855728380468648E-2</v>
      </c>
      <c r="AZ168" s="1">
        <v>-3.4140011113333799E-2</v>
      </c>
      <c r="BA168" s="1">
        <v>-5.9911310543642383E-2</v>
      </c>
      <c r="BB168" s="1">
        <v>-4.1496021646198575E-2</v>
      </c>
      <c r="BC168" s="1">
        <v>2.2199523527976502E-2</v>
      </c>
      <c r="BD168" s="1">
        <v>-7.457033706959304E-2</v>
      </c>
      <c r="BE168" s="1">
        <v>-0.12508195682657136</v>
      </c>
      <c r="BF168" s="1">
        <v>-7.1531246832822609E-4</v>
      </c>
      <c r="BG168" s="1">
        <v>5.4179768083804702E-2</v>
      </c>
      <c r="BH168" s="1">
        <v>5.6066119368337608E-2</v>
      </c>
      <c r="BI168" s="1">
        <v>9.0121718912350282E-2</v>
      </c>
      <c r="BJ168" s="1">
        <v>-7.993687502164535E-3</v>
      </c>
      <c r="BK168" s="1">
        <v>1.4169242354164759E-2</v>
      </c>
      <c r="BL168" s="1">
        <v>-4.8575950971192994E-2</v>
      </c>
      <c r="BM168" s="1">
        <v>-2.182712898411359E-2</v>
      </c>
      <c r="BN168" s="1">
        <v>4.370085478721298E-2</v>
      </c>
      <c r="BO168" s="12">
        <v>2.3288387740575869E-2</v>
      </c>
      <c r="BP168" s="23"/>
      <c r="BQ168" s="23"/>
      <c r="BR168" s="23"/>
      <c r="BS168" s="23"/>
      <c r="BT168" s="23"/>
    </row>
    <row r="169" spans="1:72">
      <c r="A169">
        <v>15</v>
      </c>
      <c r="B169" s="11">
        <v>0</v>
      </c>
      <c r="C169" s="1">
        <v>0</v>
      </c>
      <c r="D169" s="1">
        <v>0</v>
      </c>
      <c r="E169" s="1">
        <v>0</v>
      </c>
      <c r="F169" s="1">
        <v>0</v>
      </c>
      <c r="G169" s="1">
        <v>0</v>
      </c>
      <c r="H169" s="1">
        <v>0</v>
      </c>
      <c r="I169" s="1">
        <v>0</v>
      </c>
      <c r="J169" s="1">
        <v>0</v>
      </c>
      <c r="K169" s="1">
        <v>0</v>
      </c>
      <c r="L169" s="1">
        <v>0</v>
      </c>
      <c r="M169" s="1">
        <v>0</v>
      </c>
      <c r="N169" s="1">
        <v>0</v>
      </c>
      <c r="O169" s="1">
        <v>0</v>
      </c>
      <c r="P169" s="1">
        <v>1</v>
      </c>
      <c r="Q169" s="1">
        <v>0</v>
      </c>
      <c r="R169" s="1">
        <v>0</v>
      </c>
      <c r="S169" s="1">
        <v>0</v>
      </c>
      <c r="T169" s="1">
        <v>0</v>
      </c>
      <c r="U169" s="1">
        <v>0</v>
      </c>
      <c r="V169" s="1">
        <v>0</v>
      </c>
      <c r="W169" s="1">
        <v>0</v>
      </c>
      <c r="X169" s="1">
        <v>0</v>
      </c>
      <c r="Y169" s="1">
        <v>0</v>
      </c>
      <c r="Z169" s="1">
        <v>0</v>
      </c>
      <c r="AA169" s="1">
        <v>0</v>
      </c>
      <c r="AB169" s="1">
        <v>0</v>
      </c>
      <c r="AC169" s="1">
        <v>0</v>
      </c>
      <c r="AD169" s="1">
        <v>0</v>
      </c>
      <c r="AE169" s="1">
        <v>0</v>
      </c>
      <c r="AF169" s="1">
        <v>0</v>
      </c>
      <c r="AG169" s="12">
        <v>0</v>
      </c>
      <c r="AH169" s="23"/>
      <c r="AI169" s="23">
        <v>15</v>
      </c>
      <c r="AJ169" s="11">
        <v>-3.4225583250522985E-3</v>
      </c>
      <c r="AK169" s="1">
        <v>7.6010434317281307E-3</v>
      </c>
      <c r="AL169" s="1">
        <v>-1.8073236610643226E-3</v>
      </c>
      <c r="AM169" s="1">
        <v>-6.9751472675835639E-4</v>
      </c>
      <c r="AN169" s="1">
        <v>4.3559553066843656E-2</v>
      </c>
      <c r="AO169" s="1">
        <v>-2.0883528001205971E-2</v>
      </c>
      <c r="AP169" s="1">
        <v>6.9636412207836687E-3</v>
      </c>
      <c r="AQ169" s="1">
        <v>-6.9751381542962256E-4</v>
      </c>
      <c r="AR169" s="1">
        <v>-3.248901266539277E-3</v>
      </c>
      <c r="AS169" s="1">
        <v>3.6027662320870568E-2</v>
      </c>
      <c r="AT169" s="1">
        <v>-1.2065331789432206E-2</v>
      </c>
      <c r="AU169" s="1">
        <v>-3.4225532115669025E-3</v>
      </c>
      <c r="AV169" s="1">
        <v>0.19948857783851456</v>
      </c>
      <c r="AW169" s="1">
        <v>9.157367074533472E-2</v>
      </c>
      <c r="AX169" s="1">
        <v>0.30842411295148997</v>
      </c>
      <c r="AY169" s="1">
        <v>1.1137072743129658E-3</v>
      </c>
      <c r="AZ169" s="1">
        <v>5.0640301986786949E-2</v>
      </c>
      <c r="BA169" s="1">
        <v>0.15204709861768376</v>
      </c>
      <c r="BB169" s="1">
        <v>4.4048109144191522E-2</v>
      </c>
      <c r="BC169" s="1">
        <v>-2.251917707373215E-2</v>
      </c>
      <c r="BD169" s="1">
        <v>-5.8701672424736367E-2</v>
      </c>
      <c r="BE169" s="1">
        <v>0.2895526943706746</v>
      </c>
      <c r="BF169" s="1">
        <v>-9.5108971377246027E-2</v>
      </c>
      <c r="BG169" s="1">
        <v>-6.6421539659161102E-2</v>
      </c>
      <c r="BH169" s="1">
        <v>-3.9475384243096212E-2</v>
      </c>
      <c r="BI169" s="1">
        <v>-2.9845126666434831E-2</v>
      </c>
      <c r="BJ169" s="1">
        <v>4.334476048433256E-3</v>
      </c>
      <c r="BK169" s="1">
        <v>-1.1332034717352129E-2</v>
      </c>
      <c r="BL169" s="1">
        <v>3.9052776029050419E-2</v>
      </c>
      <c r="BM169" s="1">
        <v>1.4134201505454976E-2</v>
      </c>
      <c r="BN169" s="1">
        <v>-2.1173193004731184E-2</v>
      </c>
      <c r="BO169" s="12">
        <v>0.16598392079271412</v>
      </c>
      <c r="BP169" s="23"/>
      <c r="BQ169" s="23"/>
      <c r="BR169" s="23"/>
      <c r="BS169" s="23"/>
      <c r="BT169" s="23"/>
    </row>
    <row r="170" spans="1:72">
      <c r="A170">
        <v>16</v>
      </c>
      <c r="B170" s="11">
        <v>0</v>
      </c>
      <c r="C170" s="1">
        <v>0</v>
      </c>
      <c r="D170" s="1">
        <v>0</v>
      </c>
      <c r="E170" s="1">
        <v>0</v>
      </c>
      <c r="F170" s="1">
        <v>0</v>
      </c>
      <c r="G170" s="1">
        <v>0</v>
      </c>
      <c r="H170" s="1">
        <v>0</v>
      </c>
      <c r="I170" s="1">
        <v>0</v>
      </c>
      <c r="J170" s="1">
        <v>0</v>
      </c>
      <c r="K170" s="1">
        <v>0</v>
      </c>
      <c r="L170" s="1">
        <v>0</v>
      </c>
      <c r="M170" s="1">
        <v>0</v>
      </c>
      <c r="N170" s="1">
        <v>0</v>
      </c>
      <c r="O170" s="1">
        <v>0</v>
      </c>
      <c r="P170" s="1">
        <v>0</v>
      </c>
      <c r="Q170" s="1">
        <v>1</v>
      </c>
      <c r="R170" s="1">
        <v>0</v>
      </c>
      <c r="S170" s="1">
        <v>0</v>
      </c>
      <c r="T170" s="1">
        <v>0</v>
      </c>
      <c r="U170" s="1">
        <v>0</v>
      </c>
      <c r="V170" s="1">
        <v>0</v>
      </c>
      <c r="W170" s="1">
        <v>0</v>
      </c>
      <c r="X170" s="1">
        <v>0</v>
      </c>
      <c r="Y170" s="1">
        <v>0</v>
      </c>
      <c r="Z170" s="1">
        <v>0</v>
      </c>
      <c r="AA170" s="1">
        <v>0</v>
      </c>
      <c r="AB170" s="1">
        <v>0</v>
      </c>
      <c r="AC170" s="1">
        <v>0</v>
      </c>
      <c r="AD170" s="1">
        <v>0</v>
      </c>
      <c r="AE170" s="1">
        <v>0</v>
      </c>
      <c r="AF170" s="1">
        <v>0</v>
      </c>
      <c r="AG170" s="12">
        <v>0</v>
      </c>
      <c r="AH170" s="23"/>
      <c r="AI170" s="23">
        <v>16</v>
      </c>
      <c r="AJ170" s="11">
        <v>1.1114217287761118E-2</v>
      </c>
      <c r="AK170" s="1">
        <v>-9.6755474002771305E-3</v>
      </c>
      <c r="AL170" s="1">
        <v>-6.3253868098833224E-3</v>
      </c>
      <c r="AM170" s="1">
        <v>-5.4375837793630595E-3</v>
      </c>
      <c r="AN170" s="1">
        <v>3.7850421393767195E-2</v>
      </c>
      <c r="AO170" s="1">
        <v>-1.8471674423889816E-2</v>
      </c>
      <c r="AP170" s="1">
        <v>-2.409925277886615E-3</v>
      </c>
      <c r="AQ170" s="1">
        <v>-5.4375766749591914E-3</v>
      </c>
      <c r="AR170" s="1">
        <v>-1.5981589172795928E-2</v>
      </c>
      <c r="AS170" s="1">
        <v>-3.66563222649363E-2</v>
      </c>
      <c r="AT170" s="1">
        <v>1.9907990167498849E-2</v>
      </c>
      <c r="AU170" s="1">
        <v>1.1114200682525303E-2</v>
      </c>
      <c r="AV170" s="1">
        <v>0.12538725810923942</v>
      </c>
      <c r="AW170" s="1">
        <v>-5.3855728380468738E-2</v>
      </c>
      <c r="AX170" s="1">
        <v>1.1137072743130777E-3</v>
      </c>
      <c r="AY170" s="1">
        <v>0.32724014934318879</v>
      </c>
      <c r="AZ170" s="1">
        <v>0.21535800349026318</v>
      </c>
      <c r="BA170" s="1">
        <v>0.12016312611018931</v>
      </c>
      <c r="BB170" s="1">
        <v>4.5438203768553884E-2</v>
      </c>
      <c r="BC170" s="1">
        <v>-3.6683275464135759E-2</v>
      </c>
      <c r="BD170" s="1">
        <v>-3.2689284854191258E-2</v>
      </c>
      <c r="BE170" s="1">
        <v>-9.8904889623451092E-2</v>
      </c>
      <c r="BF170" s="1">
        <v>0.31377869002776593</v>
      </c>
      <c r="BG170" s="1">
        <v>-0.10186786005863628</v>
      </c>
      <c r="BH170" s="1">
        <v>-3.6690718983130401E-2</v>
      </c>
      <c r="BI170" s="1">
        <v>-4.3625936508356861E-2</v>
      </c>
      <c r="BJ170" s="1">
        <v>2.2779028965461332E-2</v>
      </c>
      <c r="BK170" s="1">
        <v>-3.55430149255919E-2</v>
      </c>
      <c r="BL170" s="1">
        <v>4.8160819694687967E-2</v>
      </c>
      <c r="BM170" s="1">
        <v>3.7629014560875376E-2</v>
      </c>
      <c r="BN170" s="1">
        <v>-4.2513252302088821E-2</v>
      </c>
      <c r="BO170" s="12">
        <v>-5.3175637621074419E-2</v>
      </c>
      <c r="BP170" s="23"/>
      <c r="BQ170" s="23"/>
      <c r="BR170" s="23"/>
      <c r="BS170" s="23"/>
      <c r="BT170" s="23"/>
    </row>
    <row r="171" spans="1:72">
      <c r="A171">
        <v>17</v>
      </c>
      <c r="B171" s="11">
        <v>0</v>
      </c>
      <c r="C171" s="1">
        <v>0</v>
      </c>
      <c r="D171" s="1">
        <v>0</v>
      </c>
      <c r="E171" s="1">
        <v>0</v>
      </c>
      <c r="F171" s="1">
        <v>0</v>
      </c>
      <c r="G171" s="1">
        <v>0</v>
      </c>
      <c r="H171" s="1">
        <v>0</v>
      </c>
      <c r="I171" s="1">
        <v>0</v>
      </c>
      <c r="J171" s="1">
        <v>0</v>
      </c>
      <c r="K171" s="1">
        <v>0</v>
      </c>
      <c r="L171" s="1">
        <v>0</v>
      </c>
      <c r="M171" s="1">
        <v>0</v>
      </c>
      <c r="N171" s="1">
        <v>0</v>
      </c>
      <c r="O171" s="1">
        <v>0</v>
      </c>
      <c r="P171" s="1">
        <v>0</v>
      </c>
      <c r="Q171" s="1">
        <v>0</v>
      </c>
      <c r="R171" s="1">
        <v>1</v>
      </c>
      <c r="S171" s="1">
        <v>0</v>
      </c>
      <c r="T171" s="1">
        <v>0</v>
      </c>
      <c r="U171" s="1">
        <v>0</v>
      </c>
      <c r="V171" s="1">
        <v>0</v>
      </c>
      <c r="W171" s="1">
        <v>0</v>
      </c>
      <c r="X171" s="1">
        <v>0</v>
      </c>
      <c r="Y171" s="1">
        <v>0</v>
      </c>
      <c r="Z171" s="1">
        <v>0</v>
      </c>
      <c r="AA171" s="1">
        <v>0</v>
      </c>
      <c r="AB171" s="1">
        <v>0</v>
      </c>
      <c r="AC171" s="1">
        <v>0</v>
      </c>
      <c r="AD171" s="1">
        <v>0</v>
      </c>
      <c r="AE171" s="1">
        <v>0</v>
      </c>
      <c r="AF171" s="1">
        <v>0</v>
      </c>
      <c r="AG171" s="12">
        <v>0</v>
      </c>
      <c r="AH171" s="23"/>
      <c r="AI171" s="23">
        <v>17</v>
      </c>
      <c r="AJ171" s="11">
        <v>1.1401494794726434E-2</v>
      </c>
      <c r="AK171" s="1">
        <v>0.10721626237630022</v>
      </c>
      <c r="AL171" s="1">
        <v>3.1047277352109909E-2</v>
      </c>
      <c r="AM171" s="1">
        <v>3.2867068410814028E-3</v>
      </c>
      <c r="AN171" s="1">
        <v>7.7850937276030929E-2</v>
      </c>
      <c r="AO171" s="1">
        <v>-2.6960448993693775E-3</v>
      </c>
      <c r="AP171" s="1">
        <v>4.937570180935117E-2</v>
      </c>
      <c r="AQ171" s="1">
        <v>3.2867025468776186E-3</v>
      </c>
      <c r="AR171" s="1">
        <v>4.8642925008163612E-2</v>
      </c>
      <c r="AS171" s="1">
        <v>-2.9758498502098996E-2</v>
      </c>
      <c r="AT171" s="1">
        <v>6.9693182407154497E-3</v>
      </c>
      <c r="AU171" s="1">
        <v>1.1401477760282682E-2</v>
      </c>
      <c r="AV171" s="1">
        <v>5.9217225391996975E-2</v>
      </c>
      <c r="AW171" s="1">
        <v>-3.4140011113333771E-2</v>
      </c>
      <c r="AX171" s="1">
        <v>5.0640301986787005E-2</v>
      </c>
      <c r="AY171" s="1">
        <v>0.21535800349026324</v>
      </c>
      <c r="AZ171" s="1">
        <v>0.30054276699669752</v>
      </c>
      <c r="BA171" s="1">
        <v>0.17884120431417677</v>
      </c>
      <c r="BB171" s="1">
        <v>5.7850755813063183E-2</v>
      </c>
      <c r="BC171" s="1">
        <v>3.174481940607915E-2</v>
      </c>
      <c r="BD171" s="1">
        <v>-2.6962073027519018E-2</v>
      </c>
      <c r="BE171" s="1">
        <v>-9.3112401406864276E-2</v>
      </c>
      <c r="BF171" s="1">
        <v>0.17032315689675392</v>
      </c>
      <c r="BG171" s="1">
        <v>8.1440267212843059E-2</v>
      </c>
      <c r="BH171" s="1">
        <v>-8.646139446019066E-2</v>
      </c>
      <c r="BI171" s="1">
        <v>-4.5227555215023051E-2</v>
      </c>
      <c r="BJ171" s="1">
        <v>-7.673547688908966E-2</v>
      </c>
      <c r="BK171" s="1">
        <v>9.0809554426875425E-2</v>
      </c>
      <c r="BL171" s="1">
        <v>3.5277901098467214E-2</v>
      </c>
      <c r="BM171" s="1">
        <v>-7.8466989716046959E-2</v>
      </c>
      <c r="BN171" s="1">
        <v>3.1040071101589871E-2</v>
      </c>
      <c r="BO171" s="12">
        <v>0.13658357554618683</v>
      </c>
      <c r="BP171" s="23"/>
      <c r="BQ171" s="23"/>
      <c r="BR171" s="23"/>
      <c r="BS171" s="23"/>
      <c r="BT171" s="23"/>
    </row>
    <row r="172" spans="1:72">
      <c r="A172">
        <v>18</v>
      </c>
      <c r="B172" s="11">
        <v>0</v>
      </c>
      <c r="C172" s="1">
        <v>0</v>
      </c>
      <c r="D172" s="1">
        <v>0</v>
      </c>
      <c r="E172" s="1">
        <v>0</v>
      </c>
      <c r="F172" s="1">
        <v>0</v>
      </c>
      <c r="G172" s="1">
        <v>0</v>
      </c>
      <c r="H172" s="1">
        <v>0</v>
      </c>
      <c r="I172" s="1">
        <v>0</v>
      </c>
      <c r="J172" s="1">
        <v>0</v>
      </c>
      <c r="K172" s="1">
        <v>0</v>
      </c>
      <c r="L172" s="1">
        <v>0</v>
      </c>
      <c r="M172" s="1">
        <v>0</v>
      </c>
      <c r="N172" s="1">
        <v>0</v>
      </c>
      <c r="O172" s="1">
        <v>0</v>
      </c>
      <c r="P172" s="1">
        <v>0</v>
      </c>
      <c r="Q172" s="1">
        <v>0</v>
      </c>
      <c r="R172" s="1">
        <v>0</v>
      </c>
      <c r="S172" s="1">
        <v>1</v>
      </c>
      <c r="T172" s="1">
        <v>0</v>
      </c>
      <c r="U172" s="1">
        <v>0</v>
      </c>
      <c r="V172" s="1">
        <v>0</v>
      </c>
      <c r="W172" s="1">
        <v>0</v>
      </c>
      <c r="X172" s="1">
        <v>0</v>
      </c>
      <c r="Y172" s="1">
        <v>0</v>
      </c>
      <c r="Z172" s="1">
        <v>0</v>
      </c>
      <c r="AA172" s="1">
        <v>0</v>
      </c>
      <c r="AB172" s="1">
        <v>0</v>
      </c>
      <c r="AC172" s="1">
        <v>0</v>
      </c>
      <c r="AD172" s="1">
        <v>0</v>
      </c>
      <c r="AE172" s="1">
        <v>0</v>
      </c>
      <c r="AF172" s="1">
        <v>0</v>
      </c>
      <c r="AG172" s="12">
        <v>0</v>
      </c>
      <c r="AH172" s="23"/>
      <c r="AI172" s="23">
        <v>18</v>
      </c>
      <c r="AJ172" s="11">
        <v>3.3466188235907177E-2</v>
      </c>
      <c r="AK172" s="1">
        <v>4.4245805223073913E-2</v>
      </c>
      <c r="AL172" s="1">
        <v>1.3304156636339829E-2</v>
      </c>
      <c r="AM172" s="1">
        <v>1.9664805343708368E-2</v>
      </c>
      <c r="AN172" s="1">
        <v>4.508624021858279E-2</v>
      </c>
      <c r="AO172" s="1">
        <v>7.4295106480821993E-3</v>
      </c>
      <c r="AP172" s="1">
        <v>-1.6926656380652487E-2</v>
      </c>
      <c r="AQ172" s="1">
        <v>1.9664779650914552E-2</v>
      </c>
      <c r="AR172" s="1">
        <v>3.0963576024931085E-2</v>
      </c>
      <c r="AS172" s="1">
        <v>-3.1804047541219412E-2</v>
      </c>
      <c r="AT172" s="1">
        <v>-2.8033094353982067E-2</v>
      </c>
      <c r="AU172" s="1">
        <v>3.3466138235629862E-2</v>
      </c>
      <c r="AV172" s="1">
        <v>4.5568951247791312E-2</v>
      </c>
      <c r="AW172" s="1">
        <v>-5.9911310543642293E-2</v>
      </c>
      <c r="AX172" s="1">
        <v>0.15204709861768384</v>
      </c>
      <c r="AY172" s="1">
        <v>0.12016312611018932</v>
      </c>
      <c r="AZ172" s="1">
        <v>0.17884120431417677</v>
      </c>
      <c r="BA172" s="1">
        <v>0.29174259758190446</v>
      </c>
      <c r="BB172" s="1">
        <v>6.3548929167367554E-2</v>
      </c>
      <c r="BC172" s="1">
        <v>-3.4911063529292748E-2</v>
      </c>
      <c r="BD172" s="1">
        <v>8.8094520199125337E-2</v>
      </c>
      <c r="BE172" s="1">
        <v>-3.437698075048215E-2</v>
      </c>
      <c r="BF172" s="1">
        <v>-3.2604596569059646E-2</v>
      </c>
      <c r="BG172" s="1">
        <v>-7.3528332474411581E-2</v>
      </c>
      <c r="BH172" s="1">
        <v>6.68551497538971E-3</v>
      </c>
      <c r="BI172" s="1">
        <v>4.5729874619438331E-2</v>
      </c>
      <c r="BJ172" s="1">
        <v>-8.7719817493743576E-3</v>
      </c>
      <c r="BK172" s="1">
        <v>-2.8136266857432552E-2</v>
      </c>
      <c r="BL172" s="1">
        <v>0.10959516337618577</v>
      </c>
      <c r="BM172" s="1">
        <v>2.1289059140880903E-2</v>
      </c>
      <c r="BN172" s="1">
        <v>-0.102308034136753</v>
      </c>
      <c r="BO172" s="12">
        <v>0.27301598336210248</v>
      </c>
      <c r="BP172" s="23"/>
      <c r="BQ172" s="23"/>
      <c r="BR172" s="23"/>
      <c r="BS172" s="23"/>
      <c r="BT172" s="23"/>
    </row>
    <row r="173" spans="1:72">
      <c r="A173">
        <v>19</v>
      </c>
      <c r="B173" s="11">
        <v>0</v>
      </c>
      <c r="C173" s="1">
        <v>0</v>
      </c>
      <c r="D173" s="1">
        <v>0</v>
      </c>
      <c r="E173" s="1">
        <v>0</v>
      </c>
      <c r="F173" s="1">
        <v>0</v>
      </c>
      <c r="G173" s="1">
        <v>0</v>
      </c>
      <c r="H173" s="1">
        <v>0</v>
      </c>
      <c r="I173" s="1">
        <v>0</v>
      </c>
      <c r="J173" s="1">
        <v>0</v>
      </c>
      <c r="K173" s="1">
        <v>0</v>
      </c>
      <c r="L173" s="1">
        <v>0</v>
      </c>
      <c r="M173" s="1">
        <v>0</v>
      </c>
      <c r="N173" s="1">
        <v>0</v>
      </c>
      <c r="O173" s="1">
        <v>0</v>
      </c>
      <c r="P173" s="1">
        <v>0</v>
      </c>
      <c r="Q173" s="1">
        <v>0</v>
      </c>
      <c r="R173" s="1">
        <v>0</v>
      </c>
      <c r="S173" s="1">
        <v>0</v>
      </c>
      <c r="T173" s="1">
        <v>1</v>
      </c>
      <c r="U173" s="1">
        <v>0</v>
      </c>
      <c r="V173" s="1">
        <v>0</v>
      </c>
      <c r="W173" s="1">
        <v>0</v>
      </c>
      <c r="X173" s="1">
        <v>0</v>
      </c>
      <c r="Y173" s="1">
        <v>0</v>
      </c>
      <c r="Z173" s="1">
        <v>0</v>
      </c>
      <c r="AA173" s="1">
        <v>0</v>
      </c>
      <c r="AB173" s="1">
        <v>0</v>
      </c>
      <c r="AC173" s="1">
        <v>0</v>
      </c>
      <c r="AD173" s="1">
        <v>0</v>
      </c>
      <c r="AE173" s="1">
        <v>0</v>
      </c>
      <c r="AF173" s="1">
        <v>0</v>
      </c>
      <c r="AG173" s="12">
        <v>0</v>
      </c>
      <c r="AH173" s="23"/>
      <c r="AI173" s="23">
        <v>19</v>
      </c>
      <c r="AJ173" s="11">
        <v>4.9486552331661493E-2</v>
      </c>
      <c r="AK173" s="1">
        <v>5.5621797974057002E-2</v>
      </c>
      <c r="AL173" s="1">
        <v>0.17588554510780524</v>
      </c>
      <c r="AM173" s="1">
        <v>1.0507488046316068E-2</v>
      </c>
      <c r="AN173" s="1">
        <v>0.11957782970307206</v>
      </c>
      <c r="AO173" s="1">
        <v>-3.6209164050800425E-3</v>
      </c>
      <c r="AP173" s="1">
        <v>-2.537039698778697E-2</v>
      </c>
      <c r="AQ173" s="1">
        <v>1.0507474317895189E-2</v>
      </c>
      <c r="AR173" s="1">
        <v>0.15957153608250593</v>
      </c>
      <c r="AS173" s="1">
        <v>-2.9853105984760736E-2</v>
      </c>
      <c r="AT173" s="1">
        <v>-4.7373649130423398E-2</v>
      </c>
      <c r="AU173" s="1">
        <v>4.948647839610236E-2</v>
      </c>
      <c r="AV173" s="1">
        <v>7.4482089190183162E-2</v>
      </c>
      <c r="AW173" s="1">
        <v>-4.1496021646198755E-2</v>
      </c>
      <c r="AX173" s="1">
        <v>4.4048109144191772E-2</v>
      </c>
      <c r="AY173" s="1">
        <v>4.5438203768553703E-2</v>
      </c>
      <c r="AZ173" s="1">
        <v>5.7850755813063183E-2</v>
      </c>
      <c r="BA173" s="1">
        <v>6.3548929167367652E-2</v>
      </c>
      <c r="BB173" s="1">
        <v>0.29186749941073931</v>
      </c>
      <c r="BC173" s="1">
        <v>0.22902257694445838</v>
      </c>
      <c r="BD173" s="1">
        <v>9.5870263890288049E-2</v>
      </c>
      <c r="BE173" s="1">
        <v>2.7344025683931725E-2</v>
      </c>
      <c r="BF173" s="1">
        <v>-4.4223609792484783E-2</v>
      </c>
      <c r="BG173" s="1">
        <v>-6.6807497279415665E-2</v>
      </c>
      <c r="BH173" s="1">
        <v>-6.0749991798416753E-2</v>
      </c>
      <c r="BI173" s="1">
        <v>4.8566809296097399E-2</v>
      </c>
      <c r="BJ173" s="1">
        <v>-8.2727917149430785E-3</v>
      </c>
      <c r="BK173" s="1">
        <v>-0.12283200245872425</v>
      </c>
      <c r="BL173" s="1">
        <v>-7.8859825787565646E-2</v>
      </c>
      <c r="BM173" s="1">
        <v>2.5387443585242003E-2</v>
      </c>
      <c r="BN173" s="1">
        <v>2.0974630436492676E-2</v>
      </c>
      <c r="BO173" s="12">
        <v>-8.9448944319483206E-2</v>
      </c>
      <c r="BP173" s="23"/>
      <c r="BQ173" s="23"/>
      <c r="BR173" s="23"/>
      <c r="BS173" s="23"/>
      <c r="BT173" s="23"/>
    </row>
    <row r="174" spans="1:72">
      <c r="A174">
        <v>20</v>
      </c>
      <c r="B174" s="11">
        <v>0</v>
      </c>
      <c r="C174" s="1">
        <v>0</v>
      </c>
      <c r="D174" s="1">
        <v>0</v>
      </c>
      <c r="E174" s="1">
        <v>0</v>
      </c>
      <c r="F174" s="1">
        <v>0</v>
      </c>
      <c r="G174" s="1">
        <v>0</v>
      </c>
      <c r="H174" s="1">
        <v>0</v>
      </c>
      <c r="I174" s="1">
        <v>0</v>
      </c>
      <c r="J174" s="1">
        <v>0</v>
      </c>
      <c r="K174" s="1">
        <v>0</v>
      </c>
      <c r="L174" s="1">
        <v>0</v>
      </c>
      <c r="M174" s="1">
        <v>0</v>
      </c>
      <c r="N174" s="1">
        <v>0</v>
      </c>
      <c r="O174" s="1">
        <v>0</v>
      </c>
      <c r="P174" s="1">
        <v>0</v>
      </c>
      <c r="Q174" s="1">
        <v>0</v>
      </c>
      <c r="R174" s="1">
        <v>0</v>
      </c>
      <c r="S174" s="1">
        <v>0</v>
      </c>
      <c r="T174" s="1">
        <v>0</v>
      </c>
      <c r="U174" s="1">
        <v>1</v>
      </c>
      <c r="V174" s="1">
        <v>0</v>
      </c>
      <c r="W174" s="1">
        <v>0</v>
      </c>
      <c r="X174" s="1">
        <v>0</v>
      </c>
      <c r="Y174" s="1">
        <v>0</v>
      </c>
      <c r="Z174" s="1">
        <v>0</v>
      </c>
      <c r="AA174" s="1">
        <v>0</v>
      </c>
      <c r="AB174" s="1">
        <v>0</v>
      </c>
      <c r="AC174" s="1">
        <v>0</v>
      </c>
      <c r="AD174" s="1">
        <v>0</v>
      </c>
      <c r="AE174" s="1">
        <v>0</v>
      </c>
      <c r="AF174" s="1">
        <v>0</v>
      </c>
      <c r="AG174" s="12">
        <v>0</v>
      </c>
      <c r="AH174" s="23"/>
      <c r="AI174" s="23">
        <v>20</v>
      </c>
      <c r="AJ174" s="11">
        <v>-3.6789951666843842E-3</v>
      </c>
      <c r="AK174" s="1">
        <v>4.2717016762418646E-2</v>
      </c>
      <c r="AL174" s="1">
        <v>0.16968009327727723</v>
      </c>
      <c r="AM174" s="1">
        <v>-3.6077250996883935E-2</v>
      </c>
      <c r="AN174" s="1">
        <v>7.9061122569618926E-3</v>
      </c>
      <c r="AO174" s="1">
        <v>-2.9658086456110809E-2</v>
      </c>
      <c r="AP174" s="1">
        <v>-5.5112447298938452E-2</v>
      </c>
      <c r="AQ174" s="1">
        <v>-3.6077203860624268E-2</v>
      </c>
      <c r="AR174" s="1">
        <v>8.2692745626762598E-2</v>
      </c>
      <c r="AS174" s="1">
        <v>9.419494735110473E-3</v>
      </c>
      <c r="AT174" s="1">
        <v>1.2200560687870629E-2</v>
      </c>
      <c r="AU174" s="1">
        <v>-3.6789896700686227E-3</v>
      </c>
      <c r="AV174" s="1">
        <v>-3.2953034539100839E-2</v>
      </c>
      <c r="AW174" s="1">
        <v>2.2199523527976526E-2</v>
      </c>
      <c r="AX174" s="1">
        <v>-2.2519177073731897E-2</v>
      </c>
      <c r="AY174" s="1">
        <v>-3.6683275464135912E-2</v>
      </c>
      <c r="AZ174" s="1">
        <v>3.1744819406079199E-2</v>
      </c>
      <c r="BA174" s="1">
        <v>-3.4911063529292685E-2</v>
      </c>
      <c r="BB174" s="1">
        <v>0.22902257694445835</v>
      </c>
      <c r="BC174" s="1">
        <v>0.4457262820437829</v>
      </c>
      <c r="BD174" s="1">
        <v>-4.2628130971346712E-2</v>
      </c>
      <c r="BE174" s="1">
        <v>-1.1889297581520799E-2</v>
      </c>
      <c r="BF174" s="1">
        <v>-3.9607691641665253E-3</v>
      </c>
      <c r="BG174" s="1">
        <v>0.10562850507983466</v>
      </c>
      <c r="BH174" s="1">
        <v>-2.9062351031274407E-2</v>
      </c>
      <c r="BI174" s="1">
        <v>-1.8087956331526215E-2</v>
      </c>
      <c r="BJ174" s="1">
        <v>0.10989953790021739</v>
      </c>
      <c r="BK174" s="1">
        <v>-0.23372937763409349</v>
      </c>
      <c r="BL174" s="1">
        <v>-0.11811640118536323</v>
      </c>
      <c r="BM174" s="1">
        <v>-0.21208096964396178</v>
      </c>
      <c r="BN174" s="1">
        <v>6.4629207329711419E-2</v>
      </c>
      <c r="BO174" s="12">
        <v>2.2936981086509382E-2</v>
      </c>
      <c r="BP174" s="23"/>
      <c r="BQ174" s="23"/>
      <c r="BR174" s="23"/>
      <c r="BS174" s="23"/>
      <c r="BT174" s="23"/>
    </row>
    <row r="175" spans="1:72">
      <c r="A175">
        <v>21</v>
      </c>
      <c r="B175" s="11">
        <v>0</v>
      </c>
      <c r="C175" s="1">
        <v>0</v>
      </c>
      <c r="D175" s="1">
        <v>0</v>
      </c>
      <c r="E175" s="1">
        <v>0</v>
      </c>
      <c r="F175" s="1">
        <v>0</v>
      </c>
      <c r="G175" s="1">
        <v>0</v>
      </c>
      <c r="H175" s="1">
        <v>0</v>
      </c>
      <c r="I175" s="1">
        <v>0</v>
      </c>
      <c r="J175" s="1">
        <v>0</v>
      </c>
      <c r="K175" s="1">
        <v>0</v>
      </c>
      <c r="L175" s="1">
        <v>0</v>
      </c>
      <c r="M175" s="1">
        <v>0</v>
      </c>
      <c r="N175" s="1">
        <v>0</v>
      </c>
      <c r="O175" s="1">
        <v>0</v>
      </c>
      <c r="P175" s="1">
        <v>0</v>
      </c>
      <c r="Q175" s="1">
        <v>0</v>
      </c>
      <c r="R175" s="1">
        <v>0</v>
      </c>
      <c r="S175" s="1">
        <v>0</v>
      </c>
      <c r="T175" s="1">
        <v>0</v>
      </c>
      <c r="U175" s="1">
        <v>0</v>
      </c>
      <c r="V175" s="1">
        <v>1</v>
      </c>
      <c r="W175" s="1">
        <v>0</v>
      </c>
      <c r="X175" s="1">
        <v>0</v>
      </c>
      <c r="Y175" s="1">
        <v>0</v>
      </c>
      <c r="Z175" s="1">
        <v>0</v>
      </c>
      <c r="AA175" s="1">
        <v>0</v>
      </c>
      <c r="AB175" s="1">
        <v>0</v>
      </c>
      <c r="AC175" s="1">
        <v>0</v>
      </c>
      <c r="AD175" s="1">
        <v>0</v>
      </c>
      <c r="AE175" s="1">
        <v>0</v>
      </c>
      <c r="AF175" s="1">
        <v>0</v>
      </c>
      <c r="AG175" s="12">
        <v>0</v>
      </c>
      <c r="AH175" s="23"/>
      <c r="AI175" s="23">
        <v>21</v>
      </c>
      <c r="AJ175" s="11">
        <v>-4.6189304957522756E-2</v>
      </c>
      <c r="AK175" s="1">
        <v>-4.7917146708507281E-3</v>
      </c>
      <c r="AL175" s="1">
        <v>-1.562749707860342E-2</v>
      </c>
      <c r="AM175" s="1">
        <v>-1.5662871158552416E-2</v>
      </c>
      <c r="AN175" s="1">
        <v>0.11173607098958041</v>
      </c>
      <c r="AO175" s="1">
        <v>-7.788604210536991E-2</v>
      </c>
      <c r="AP175" s="1">
        <v>3.9902939440466918E-2</v>
      </c>
      <c r="AQ175" s="1">
        <v>-1.566285069443327E-2</v>
      </c>
      <c r="AR175" s="1">
        <v>-3.1007216103653652E-2</v>
      </c>
      <c r="AS175" s="1">
        <v>0.18636068770851849</v>
      </c>
      <c r="AT175" s="1">
        <v>-3.5518917829258964E-2</v>
      </c>
      <c r="AU175" s="1">
        <v>-4.6189235948227811E-2</v>
      </c>
      <c r="AV175" s="1">
        <v>-6.3453505169734734E-2</v>
      </c>
      <c r="AW175" s="1">
        <v>-7.4570337069593512E-2</v>
      </c>
      <c r="AX175" s="1">
        <v>-5.8701672424737096E-2</v>
      </c>
      <c r="AY175" s="1">
        <v>-3.268928485419164E-2</v>
      </c>
      <c r="AZ175" s="1">
        <v>-2.6962073027518983E-2</v>
      </c>
      <c r="BA175" s="1">
        <v>8.8094520199125642E-2</v>
      </c>
      <c r="BB175" s="1">
        <v>9.5870263890287924E-2</v>
      </c>
      <c r="BC175" s="1">
        <v>-4.2628130971346698E-2</v>
      </c>
      <c r="BD175" s="1">
        <v>0.71851726687083883</v>
      </c>
      <c r="BE175" s="1">
        <v>-0.15047871940258908</v>
      </c>
      <c r="BF175" s="1">
        <v>-0.15043195275849658</v>
      </c>
      <c r="BG175" s="1">
        <v>-0.15190033092748559</v>
      </c>
      <c r="BH175" s="1">
        <v>-0.13713106848292883</v>
      </c>
      <c r="BI175" s="1">
        <v>-0.1285751952993387</v>
      </c>
      <c r="BJ175" s="1">
        <v>1.525532251474504E-2</v>
      </c>
      <c r="BK175" s="1">
        <v>-7.2691012995189444E-3</v>
      </c>
      <c r="BL175" s="1">
        <v>3.9278072864108581E-2</v>
      </c>
      <c r="BM175" s="1">
        <v>2.2079293852059909E-2</v>
      </c>
      <c r="BN175" s="1">
        <v>1.9213058501066783E-2</v>
      </c>
      <c r="BO175" s="12">
        <v>-1.2746454155898845E-2</v>
      </c>
      <c r="BP175" s="23"/>
      <c r="BQ175" s="23"/>
      <c r="BR175" s="23"/>
      <c r="BS175" s="23"/>
      <c r="BT175" s="23"/>
    </row>
    <row r="176" spans="1:72">
      <c r="A176">
        <v>22</v>
      </c>
      <c r="B176" s="11">
        <v>0</v>
      </c>
      <c r="C176" s="1">
        <v>0</v>
      </c>
      <c r="D176" s="1">
        <v>0</v>
      </c>
      <c r="E176" s="1">
        <v>0</v>
      </c>
      <c r="F176" s="1">
        <v>0</v>
      </c>
      <c r="G176" s="1">
        <v>0</v>
      </c>
      <c r="H176" s="1">
        <v>0</v>
      </c>
      <c r="I176" s="1">
        <v>0</v>
      </c>
      <c r="J176" s="1">
        <v>0</v>
      </c>
      <c r="K176" s="1">
        <v>0</v>
      </c>
      <c r="L176" s="1">
        <v>0</v>
      </c>
      <c r="M176" s="1">
        <v>0</v>
      </c>
      <c r="N176" s="1">
        <v>0</v>
      </c>
      <c r="O176" s="1">
        <v>0</v>
      </c>
      <c r="P176" s="1">
        <v>0</v>
      </c>
      <c r="Q176" s="1">
        <v>0</v>
      </c>
      <c r="R176" s="1">
        <v>0</v>
      </c>
      <c r="S176" s="1">
        <v>0</v>
      </c>
      <c r="T176" s="1">
        <v>0</v>
      </c>
      <c r="U176" s="1">
        <v>0</v>
      </c>
      <c r="V176" s="1">
        <v>0</v>
      </c>
      <c r="W176" s="1">
        <v>1</v>
      </c>
      <c r="X176" s="1">
        <v>0</v>
      </c>
      <c r="Y176" s="1">
        <v>0</v>
      </c>
      <c r="Z176" s="1">
        <v>0</v>
      </c>
      <c r="AA176" s="1">
        <v>0</v>
      </c>
      <c r="AB176" s="1">
        <v>0</v>
      </c>
      <c r="AC176" s="1">
        <v>0</v>
      </c>
      <c r="AD176" s="1">
        <v>0</v>
      </c>
      <c r="AE176" s="1">
        <v>0</v>
      </c>
      <c r="AF176" s="1">
        <v>0</v>
      </c>
      <c r="AG176" s="12">
        <v>0</v>
      </c>
      <c r="AH176" s="23"/>
      <c r="AI176" s="23">
        <v>22</v>
      </c>
      <c r="AJ176" s="11">
        <v>-6.3655711128602476E-3</v>
      </c>
      <c r="AK176" s="1">
        <v>-2.6445574485602003E-2</v>
      </c>
      <c r="AL176" s="1">
        <v>-1.3536536008653462E-2</v>
      </c>
      <c r="AM176" s="1">
        <v>-3.2878725227992407E-2</v>
      </c>
      <c r="AN176" s="1">
        <v>4.1667921164782101E-2</v>
      </c>
      <c r="AO176" s="1">
        <v>-3.7804994771344358E-2</v>
      </c>
      <c r="AP176" s="1">
        <v>3.3377865928935373E-2</v>
      </c>
      <c r="AQ176" s="1">
        <v>-3.287868227072465E-2</v>
      </c>
      <c r="AR176" s="1">
        <v>-4.6193240061393318E-2</v>
      </c>
      <c r="AS176" s="1">
        <v>-8.194612476359503E-2</v>
      </c>
      <c r="AT176" s="1">
        <v>8.7817476383006382E-2</v>
      </c>
      <c r="AU176" s="1">
        <v>-6.3655616023561819E-3</v>
      </c>
      <c r="AV176" s="1">
        <v>0.1283477221895418</v>
      </c>
      <c r="AW176" s="1">
        <v>-0.12508195682657119</v>
      </c>
      <c r="AX176" s="1">
        <v>0.28955269437067477</v>
      </c>
      <c r="AY176" s="1">
        <v>-9.8904889623451259E-2</v>
      </c>
      <c r="AZ176" s="1">
        <v>-9.3112401406864262E-2</v>
      </c>
      <c r="BA176" s="1">
        <v>-3.4376980750482088E-2</v>
      </c>
      <c r="BB176" s="1">
        <v>2.7344025683931544E-2</v>
      </c>
      <c r="BC176" s="1">
        <v>-1.1889297581520944E-2</v>
      </c>
      <c r="BD176" s="1">
        <v>-0.15047871940258814</v>
      </c>
      <c r="BE176" s="1">
        <v>0.59113118900828421</v>
      </c>
      <c r="BF176" s="1">
        <v>-0.12121358047569289</v>
      </c>
      <c r="BG176" s="1">
        <v>-6.0870804693707474E-2</v>
      </c>
      <c r="BH176" s="1">
        <v>-0.10573461505332937</v>
      </c>
      <c r="BI176" s="1">
        <v>-0.1528334693829663</v>
      </c>
      <c r="BJ176" s="1">
        <v>2.1548163081140496E-2</v>
      </c>
      <c r="BK176" s="1">
        <v>3.900488205720436E-3</v>
      </c>
      <c r="BL176" s="1">
        <v>-2.7511149490879398E-2</v>
      </c>
      <c r="BM176" s="1">
        <v>1.2790576887511545E-2</v>
      </c>
      <c r="BN176" s="1">
        <v>5.1968137285802532E-2</v>
      </c>
      <c r="BO176" s="12">
        <v>-3.9576711371275837E-2</v>
      </c>
      <c r="BP176" s="23"/>
      <c r="BQ176" s="23"/>
      <c r="BR176" s="23"/>
      <c r="BS176" s="23"/>
      <c r="BT176" s="23"/>
    </row>
    <row r="177" spans="1:72">
      <c r="A177">
        <v>23</v>
      </c>
      <c r="B177" s="11">
        <v>0</v>
      </c>
      <c r="C177" s="1">
        <v>0</v>
      </c>
      <c r="D177" s="1">
        <v>0</v>
      </c>
      <c r="E177" s="1">
        <v>0</v>
      </c>
      <c r="F177" s="1">
        <v>0</v>
      </c>
      <c r="G177" s="1">
        <v>0</v>
      </c>
      <c r="H177" s="1">
        <v>0</v>
      </c>
      <c r="I177" s="1">
        <v>0</v>
      </c>
      <c r="J177" s="1">
        <v>0</v>
      </c>
      <c r="K177" s="1">
        <v>0</v>
      </c>
      <c r="L177" s="1">
        <v>0</v>
      </c>
      <c r="M177" s="1">
        <v>0</v>
      </c>
      <c r="N177" s="1">
        <v>0</v>
      </c>
      <c r="O177" s="1">
        <v>0</v>
      </c>
      <c r="P177" s="1">
        <v>0</v>
      </c>
      <c r="Q177" s="1">
        <v>0</v>
      </c>
      <c r="R177" s="1">
        <v>0</v>
      </c>
      <c r="S177" s="1">
        <v>0</v>
      </c>
      <c r="T177" s="1">
        <v>0</v>
      </c>
      <c r="U177" s="1">
        <v>0</v>
      </c>
      <c r="V177" s="1">
        <v>0</v>
      </c>
      <c r="W177" s="1">
        <v>0</v>
      </c>
      <c r="X177" s="1">
        <v>1</v>
      </c>
      <c r="Y177" s="1">
        <v>0</v>
      </c>
      <c r="Z177" s="1">
        <v>0</v>
      </c>
      <c r="AA177" s="1">
        <v>0</v>
      </c>
      <c r="AB177" s="1">
        <v>0</v>
      </c>
      <c r="AC177" s="1">
        <v>0</v>
      </c>
      <c r="AD177" s="1">
        <v>0</v>
      </c>
      <c r="AE177" s="1">
        <v>0</v>
      </c>
      <c r="AF177" s="1">
        <v>0</v>
      </c>
      <c r="AG177" s="12">
        <v>0</v>
      </c>
      <c r="AH177" s="23"/>
      <c r="AI177" s="23">
        <v>23</v>
      </c>
      <c r="AJ177" s="11">
        <v>-3.2467671658609962E-2</v>
      </c>
      <c r="AK177" s="1">
        <v>-9.5672251022472996E-2</v>
      </c>
      <c r="AL177" s="1">
        <v>-3.2478501924136718E-2</v>
      </c>
      <c r="AM177" s="1">
        <v>-3.49910889171475E-2</v>
      </c>
      <c r="AN177" s="1">
        <v>-3.283210071394848E-2</v>
      </c>
      <c r="AO177" s="1">
        <v>-3.1223752105135873E-2</v>
      </c>
      <c r="AP177" s="1">
        <v>9.4851257174399257E-3</v>
      </c>
      <c r="AQ177" s="1">
        <v>-3.4991043199998635E-2</v>
      </c>
      <c r="AR177" s="1">
        <v>-7.3026957657980562E-2</v>
      </c>
      <c r="AS177" s="1">
        <v>-6.9645390329387893E-3</v>
      </c>
      <c r="AT177" s="1">
        <v>6.6574845029766572E-2</v>
      </c>
      <c r="AU177" s="1">
        <v>-3.2467623150169933E-2</v>
      </c>
      <c r="AV177" s="1">
        <v>6.1836772414213856E-2</v>
      </c>
      <c r="AW177" s="1">
        <v>-7.1531246832827119E-4</v>
      </c>
      <c r="AX177" s="1">
        <v>-9.5108971377246068E-2</v>
      </c>
      <c r="AY177" s="1">
        <v>0.31377869002776598</v>
      </c>
      <c r="AZ177" s="1">
        <v>0.17032315689675387</v>
      </c>
      <c r="BA177" s="1">
        <v>-3.2604596569059736E-2</v>
      </c>
      <c r="BB177" s="1">
        <v>-4.422360979248461E-2</v>
      </c>
      <c r="BC177" s="1">
        <v>-3.9607691641664836E-3</v>
      </c>
      <c r="BD177" s="1">
        <v>-0.15043195275849633</v>
      </c>
      <c r="BE177" s="1">
        <v>-0.12121358047569283</v>
      </c>
      <c r="BF177" s="1">
        <v>0.45758742223869497</v>
      </c>
      <c r="BG177" s="1">
        <v>-4.1293452059883481E-2</v>
      </c>
      <c r="BH177" s="1">
        <v>-3.5975830070977766E-2</v>
      </c>
      <c r="BI177" s="1">
        <v>-0.10867260687364452</v>
      </c>
      <c r="BJ177" s="1">
        <v>5.6842172200278873E-2</v>
      </c>
      <c r="BK177" s="1">
        <v>-2.4843235666918588E-2</v>
      </c>
      <c r="BL177" s="1">
        <v>-9.8779124407706614E-2</v>
      </c>
      <c r="BM177" s="1">
        <v>3.4295630681777059E-2</v>
      </c>
      <c r="BN177" s="1">
        <v>8.0788575842973318E-2</v>
      </c>
      <c r="BO177" s="12">
        <v>-6.8322065223418146E-2</v>
      </c>
      <c r="BP177" s="23"/>
      <c r="BQ177" s="23"/>
      <c r="BR177" s="23"/>
      <c r="BS177" s="23"/>
      <c r="BT177" s="23"/>
    </row>
    <row r="178" spans="1:72">
      <c r="A178">
        <v>24</v>
      </c>
      <c r="B178" s="11">
        <v>0</v>
      </c>
      <c r="C178" s="1">
        <v>0</v>
      </c>
      <c r="D178" s="1">
        <v>0</v>
      </c>
      <c r="E178" s="1">
        <v>0</v>
      </c>
      <c r="F178" s="1">
        <v>0</v>
      </c>
      <c r="G178" s="1">
        <v>0</v>
      </c>
      <c r="H178" s="1">
        <v>0</v>
      </c>
      <c r="I178" s="1">
        <v>0</v>
      </c>
      <c r="J178" s="1">
        <v>0</v>
      </c>
      <c r="K178" s="1">
        <v>0</v>
      </c>
      <c r="L178" s="1">
        <v>0</v>
      </c>
      <c r="M178" s="1">
        <v>0</v>
      </c>
      <c r="N178" s="1">
        <v>0</v>
      </c>
      <c r="O178" s="1">
        <v>0</v>
      </c>
      <c r="P178" s="1">
        <v>0</v>
      </c>
      <c r="Q178" s="1">
        <v>0</v>
      </c>
      <c r="R178" s="1">
        <v>0</v>
      </c>
      <c r="S178" s="1">
        <v>0</v>
      </c>
      <c r="T178" s="1">
        <v>0</v>
      </c>
      <c r="U178" s="1">
        <v>0</v>
      </c>
      <c r="V178" s="1">
        <v>0</v>
      </c>
      <c r="W178" s="1">
        <v>0</v>
      </c>
      <c r="X178" s="1">
        <v>0</v>
      </c>
      <c r="Y178" s="1">
        <v>1</v>
      </c>
      <c r="Z178" s="1">
        <v>0</v>
      </c>
      <c r="AA178" s="1">
        <v>0</v>
      </c>
      <c r="AB178" s="1">
        <v>0</v>
      </c>
      <c r="AC178" s="1">
        <v>0</v>
      </c>
      <c r="AD178" s="1">
        <v>0</v>
      </c>
      <c r="AE178" s="1">
        <v>0</v>
      </c>
      <c r="AF178" s="1">
        <v>0</v>
      </c>
      <c r="AG178" s="12">
        <v>0</v>
      </c>
      <c r="AH178" s="23"/>
      <c r="AI178" s="23">
        <v>24</v>
      </c>
      <c r="AJ178" s="11">
        <v>-7.4305118258602462E-2</v>
      </c>
      <c r="AK178" s="1">
        <v>0.20870874742566428</v>
      </c>
      <c r="AL178" s="1">
        <v>0.11091149358397309</v>
      </c>
      <c r="AM178" s="1">
        <v>-5.1393950238650489E-2</v>
      </c>
      <c r="AN178" s="1">
        <v>-9.1028619532276561E-2</v>
      </c>
      <c r="AO178" s="1">
        <v>1.5347671626865336E-2</v>
      </c>
      <c r="AP178" s="1">
        <v>8.2855599490751941E-2</v>
      </c>
      <c r="AQ178" s="1">
        <v>-5.1393883090558062E-2</v>
      </c>
      <c r="AR178" s="1">
        <v>6.761972736340234E-2</v>
      </c>
      <c r="AS178" s="1">
        <v>3.6876800487610703E-2</v>
      </c>
      <c r="AT178" s="1">
        <v>7.2395112690400651E-2</v>
      </c>
      <c r="AU178" s="1">
        <v>-7.4305007242776805E-2</v>
      </c>
      <c r="AV178" s="1">
        <v>-8.9907630323771595E-2</v>
      </c>
      <c r="AW178" s="1">
        <v>5.4179768083804897E-2</v>
      </c>
      <c r="AX178" s="1">
        <v>-6.6421539659161172E-2</v>
      </c>
      <c r="AY178" s="1">
        <v>-0.10186786005863614</v>
      </c>
      <c r="AZ178" s="1">
        <v>8.1440267212843115E-2</v>
      </c>
      <c r="BA178" s="1">
        <v>-7.3528332474411595E-2</v>
      </c>
      <c r="BB178" s="1">
        <v>-6.6807497279415679E-2</v>
      </c>
      <c r="BC178" s="1">
        <v>0.10562850507983451</v>
      </c>
      <c r="BD178" s="1">
        <v>-0.15190033092748548</v>
      </c>
      <c r="BE178" s="1">
        <v>-6.0870804693707634E-2</v>
      </c>
      <c r="BF178" s="1">
        <v>-4.1293452059883301E-2</v>
      </c>
      <c r="BG178" s="1">
        <v>0.40654551636692388</v>
      </c>
      <c r="BH178" s="1">
        <v>-6.2576592855147689E-2</v>
      </c>
      <c r="BI178" s="1">
        <v>-8.9904335830699775E-2</v>
      </c>
      <c r="BJ178" s="1">
        <v>-7.8530460986659445E-2</v>
      </c>
      <c r="BK178" s="1">
        <v>0.15265235747233372</v>
      </c>
      <c r="BL178" s="1">
        <v>2.2902371699889616E-2</v>
      </c>
      <c r="BM178" s="1">
        <v>-0.10625270831937411</v>
      </c>
      <c r="BN178" s="1">
        <v>-6.6207319781938917E-2</v>
      </c>
      <c r="BO178" s="12">
        <v>5.3878319440112239E-2</v>
      </c>
      <c r="BP178" s="23"/>
      <c r="BQ178" s="23"/>
      <c r="BR178" s="23"/>
      <c r="BS178" s="23"/>
      <c r="BT178" s="23"/>
    </row>
    <row r="179" spans="1:72">
      <c r="A179">
        <v>25</v>
      </c>
      <c r="B179" s="11">
        <v>0</v>
      </c>
      <c r="C179" s="1">
        <v>0</v>
      </c>
      <c r="D179" s="1">
        <v>0</v>
      </c>
      <c r="E179" s="1">
        <v>0</v>
      </c>
      <c r="F179" s="1">
        <v>0</v>
      </c>
      <c r="G179" s="1">
        <v>0</v>
      </c>
      <c r="H179" s="1">
        <v>0</v>
      </c>
      <c r="I179" s="1">
        <v>0</v>
      </c>
      <c r="J179" s="1">
        <v>0</v>
      </c>
      <c r="K179" s="1">
        <v>0</v>
      </c>
      <c r="L179" s="1">
        <v>0</v>
      </c>
      <c r="M179" s="1">
        <v>0</v>
      </c>
      <c r="N179" s="1">
        <v>0</v>
      </c>
      <c r="O179" s="1">
        <v>0</v>
      </c>
      <c r="P179" s="1">
        <v>0</v>
      </c>
      <c r="Q179" s="1">
        <v>0</v>
      </c>
      <c r="R179" s="1">
        <v>0</v>
      </c>
      <c r="S179" s="1">
        <v>0</v>
      </c>
      <c r="T179" s="1">
        <v>0</v>
      </c>
      <c r="U179" s="1">
        <v>0</v>
      </c>
      <c r="V179" s="1">
        <v>0</v>
      </c>
      <c r="W179" s="1">
        <v>0</v>
      </c>
      <c r="X179" s="1">
        <v>0</v>
      </c>
      <c r="Y179" s="1">
        <v>0</v>
      </c>
      <c r="Z179" s="1">
        <v>1</v>
      </c>
      <c r="AA179" s="1">
        <v>0</v>
      </c>
      <c r="AB179" s="1">
        <v>0</v>
      </c>
      <c r="AC179" s="1">
        <v>0</v>
      </c>
      <c r="AD179" s="1">
        <v>0</v>
      </c>
      <c r="AE179" s="1">
        <v>0</v>
      </c>
      <c r="AF179" s="1">
        <v>0</v>
      </c>
      <c r="AG179" s="12">
        <v>0</v>
      </c>
      <c r="AH179" s="23"/>
      <c r="AI179" s="23">
        <v>25</v>
      </c>
      <c r="AJ179" s="11">
        <v>6.7775009253079443E-2</v>
      </c>
      <c r="AK179" s="1">
        <v>-6.6462063983670563E-2</v>
      </c>
      <c r="AL179" s="1">
        <v>-4.6888438861815346E-2</v>
      </c>
      <c r="AM179" s="1">
        <v>0.20553597678634744</v>
      </c>
      <c r="AN179" s="1">
        <v>-7.0375187796777205E-2</v>
      </c>
      <c r="AO179" s="1">
        <v>-0.13340098013922741</v>
      </c>
      <c r="AP179" s="1">
        <v>-0.12157084355110315</v>
      </c>
      <c r="AQ179" s="1">
        <v>0.20553570824600936</v>
      </c>
      <c r="AR179" s="1">
        <v>0.14506297354320791</v>
      </c>
      <c r="AS179" s="1">
        <v>-2.3276578237856164E-2</v>
      </c>
      <c r="AT179" s="1">
        <v>-1.7751734960046839E-2</v>
      </c>
      <c r="AU179" s="1">
        <v>6.7774907993586361E-2</v>
      </c>
      <c r="AV179" s="1">
        <v>-3.918665275137178E-2</v>
      </c>
      <c r="AW179" s="1">
        <v>5.6066119368337719E-2</v>
      </c>
      <c r="AX179" s="1">
        <v>-3.9475384243096295E-2</v>
      </c>
      <c r="AY179" s="1">
        <v>-3.6690718983130269E-2</v>
      </c>
      <c r="AZ179" s="1">
        <v>-8.646139446019066E-2</v>
      </c>
      <c r="BA179" s="1">
        <v>6.6855149753898627E-3</v>
      </c>
      <c r="BB179" s="1">
        <v>-6.07499917984166E-2</v>
      </c>
      <c r="BC179" s="1">
        <v>-2.9062351031274331E-2</v>
      </c>
      <c r="BD179" s="1">
        <v>-0.13713106848292847</v>
      </c>
      <c r="BE179" s="1">
        <v>-0.10573461505332968</v>
      </c>
      <c r="BF179" s="1">
        <v>-3.5975830070977766E-2</v>
      </c>
      <c r="BG179" s="1">
        <v>-6.2576592855147828E-2</v>
      </c>
      <c r="BH179" s="1">
        <v>0.45804856510401359</v>
      </c>
      <c r="BI179" s="1">
        <v>-0.11663045864162981</v>
      </c>
      <c r="BJ179" s="1">
        <v>-5.4253175755409333E-3</v>
      </c>
      <c r="BK179" s="1">
        <v>-9.5056864609957728E-2</v>
      </c>
      <c r="BL179" s="1">
        <v>4.6084066425766068E-2</v>
      </c>
      <c r="BM179" s="1">
        <v>7.114653544693636E-3</v>
      </c>
      <c r="BN179" s="1">
        <v>-7.5839739282160604E-2</v>
      </c>
      <c r="BO179" s="12">
        <v>5.5602277672701324E-2</v>
      </c>
      <c r="BP179" s="23"/>
      <c r="BQ179" s="23"/>
      <c r="BR179" s="23"/>
      <c r="BS179" s="23"/>
      <c r="BT179" s="23"/>
    </row>
    <row r="180" spans="1:72">
      <c r="A180">
        <v>26</v>
      </c>
      <c r="B180" s="11">
        <v>0</v>
      </c>
      <c r="C180" s="1">
        <v>0</v>
      </c>
      <c r="D180" s="1">
        <v>0</v>
      </c>
      <c r="E180" s="1">
        <v>0</v>
      </c>
      <c r="F180" s="1">
        <v>0</v>
      </c>
      <c r="G180" s="1">
        <v>0</v>
      </c>
      <c r="H180" s="1">
        <v>0</v>
      </c>
      <c r="I180" s="1">
        <v>0</v>
      </c>
      <c r="J180" s="1">
        <v>0</v>
      </c>
      <c r="K180" s="1">
        <v>0</v>
      </c>
      <c r="L180" s="1">
        <v>0</v>
      </c>
      <c r="M180" s="1">
        <v>0</v>
      </c>
      <c r="N180" s="1">
        <v>0</v>
      </c>
      <c r="O180" s="1">
        <v>0</v>
      </c>
      <c r="P180" s="1">
        <v>0</v>
      </c>
      <c r="Q180" s="1">
        <v>0</v>
      </c>
      <c r="R180" s="1">
        <v>0</v>
      </c>
      <c r="S180" s="1">
        <v>0</v>
      </c>
      <c r="T180" s="1">
        <v>0</v>
      </c>
      <c r="U180" s="1">
        <v>0</v>
      </c>
      <c r="V180" s="1">
        <v>0</v>
      </c>
      <c r="W180" s="1">
        <v>0</v>
      </c>
      <c r="X180" s="1">
        <v>0</v>
      </c>
      <c r="Y180" s="1">
        <v>0</v>
      </c>
      <c r="Z180" s="1">
        <v>0</v>
      </c>
      <c r="AA180" s="1">
        <v>1</v>
      </c>
      <c r="AB180" s="1">
        <v>0</v>
      </c>
      <c r="AC180" s="1">
        <v>0</v>
      </c>
      <c r="AD180" s="1">
        <v>0</v>
      </c>
      <c r="AE180" s="1">
        <v>0</v>
      </c>
      <c r="AF180" s="1">
        <v>0</v>
      </c>
      <c r="AG180" s="12">
        <v>0</v>
      </c>
      <c r="AH180" s="23"/>
      <c r="AI180" s="23">
        <v>26</v>
      </c>
      <c r="AJ180" s="11">
        <v>9.1552656734515903E-2</v>
      </c>
      <c r="AK180" s="1">
        <v>-1.5337143263068004E-2</v>
      </c>
      <c r="AL180" s="1">
        <v>-2.3805197107641847E-3</v>
      </c>
      <c r="AM180" s="1">
        <v>-7.06093412440046E-2</v>
      </c>
      <c r="AN180" s="1">
        <v>4.0831915888639776E-2</v>
      </c>
      <c r="AO180" s="1">
        <v>0.26496809749421202</v>
      </c>
      <c r="AP180" s="1">
        <v>-4.4050687026491217E-2</v>
      </c>
      <c r="AQ180" s="1">
        <v>-7.0609248990294748E-2</v>
      </c>
      <c r="AR180" s="1">
        <v>-6.2455287083582681E-2</v>
      </c>
      <c r="AS180" s="1">
        <v>-0.11105024616173924</v>
      </c>
      <c r="AT180" s="1">
        <v>-0.17351678131386805</v>
      </c>
      <c r="AU180" s="1">
        <v>9.1552519949944289E-2</v>
      </c>
      <c r="AV180" s="1">
        <v>2.3632936411221266E-3</v>
      </c>
      <c r="AW180" s="1">
        <v>9.0121718912350185E-2</v>
      </c>
      <c r="AX180" s="1">
        <v>-2.9845126666434522E-2</v>
      </c>
      <c r="AY180" s="1">
        <v>-4.3625936508356694E-2</v>
      </c>
      <c r="AZ180" s="1">
        <v>-4.5227555215023071E-2</v>
      </c>
      <c r="BA180" s="1">
        <v>4.5729874619438143E-2</v>
      </c>
      <c r="BB180" s="1">
        <v>4.856680929609751E-2</v>
      </c>
      <c r="BC180" s="1">
        <v>-1.8087956331526042E-2</v>
      </c>
      <c r="BD180" s="1">
        <v>-0.1285751952993395</v>
      </c>
      <c r="BE180" s="1">
        <v>-0.1528334693829656</v>
      </c>
      <c r="BF180" s="1">
        <v>-0.10867260687364456</v>
      </c>
      <c r="BG180" s="1">
        <v>-8.9904335830699691E-2</v>
      </c>
      <c r="BH180" s="1">
        <v>-0.1166304586416298</v>
      </c>
      <c r="BI180" s="1">
        <v>0.5966160660282791</v>
      </c>
      <c r="BJ180" s="1">
        <v>-9.6898792339640584E-3</v>
      </c>
      <c r="BK180" s="1">
        <v>-2.9383644101659064E-2</v>
      </c>
      <c r="BL180" s="1">
        <v>1.8025762908821859E-2</v>
      </c>
      <c r="BM180" s="1">
        <v>2.9972553353331918E-2</v>
      </c>
      <c r="BN180" s="1">
        <v>-9.9227125657432302E-3</v>
      </c>
      <c r="BO180" s="12">
        <v>1.1164633637779441E-2</v>
      </c>
      <c r="BP180" s="23"/>
      <c r="BQ180" s="23"/>
      <c r="BR180" s="23"/>
      <c r="BS180" s="23"/>
      <c r="BT180" s="23"/>
    </row>
    <row r="181" spans="1:72">
      <c r="A181">
        <v>27</v>
      </c>
      <c r="B181" s="11">
        <v>0</v>
      </c>
      <c r="C181" s="1">
        <v>0</v>
      </c>
      <c r="D181" s="1">
        <v>0</v>
      </c>
      <c r="E181" s="1">
        <v>0</v>
      </c>
      <c r="F181" s="1">
        <v>0</v>
      </c>
      <c r="G181" s="1">
        <v>0</v>
      </c>
      <c r="H181" s="1">
        <v>0</v>
      </c>
      <c r="I181" s="1">
        <v>0</v>
      </c>
      <c r="J181" s="1">
        <v>0</v>
      </c>
      <c r="K181" s="1">
        <v>0</v>
      </c>
      <c r="L181" s="1">
        <v>0</v>
      </c>
      <c r="M181" s="1">
        <v>0</v>
      </c>
      <c r="N181" s="1">
        <v>0</v>
      </c>
      <c r="O181" s="1">
        <v>0</v>
      </c>
      <c r="P181" s="1">
        <v>0</v>
      </c>
      <c r="Q181" s="1">
        <v>0</v>
      </c>
      <c r="R181" s="1">
        <v>0</v>
      </c>
      <c r="S181" s="1">
        <v>0</v>
      </c>
      <c r="T181" s="1">
        <v>0</v>
      </c>
      <c r="U181" s="1">
        <v>0</v>
      </c>
      <c r="V181" s="1">
        <v>0</v>
      </c>
      <c r="W181" s="1">
        <v>0</v>
      </c>
      <c r="X181" s="1">
        <v>0</v>
      </c>
      <c r="Y181" s="1">
        <v>0</v>
      </c>
      <c r="Z181" s="1">
        <v>0</v>
      </c>
      <c r="AA181" s="1">
        <v>0</v>
      </c>
      <c r="AB181" s="1">
        <v>1</v>
      </c>
      <c r="AC181" s="1">
        <v>0</v>
      </c>
      <c r="AD181" s="1">
        <v>0</v>
      </c>
      <c r="AE181" s="1">
        <v>0</v>
      </c>
      <c r="AF181" s="1">
        <v>0</v>
      </c>
      <c r="AG181" s="12">
        <v>0</v>
      </c>
      <c r="AH181" s="23"/>
      <c r="AI181" s="23">
        <v>27</v>
      </c>
      <c r="AJ181" s="11">
        <v>-6.6268927975805872E-2</v>
      </c>
      <c r="AK181" s="1">
        <v>-9.6840403671162784E-2</v>
      </c>
      <c r="AL181" s="1">
        <v>-1.6376259943086759E-2</v>
      </c>
      <c r="AM181" s="1">
        <v>6.2547747775596574E-2</v>
      </c>
      <c r="AN181" s="1">
        <v>-0.10230803059559504</v>
      </c>
      <c r="AO181" s="1">
        <v>0.13402833715725829</v>
      </c>
      <c r="AP181" s="1">
        <v>0.29516476633235472</v>
      </c>
      <c r="AQ181" s="1">
        <v>6.2547666054656156E-2</v>
      </c>
      <c r="AR181" s="1">
        <v>-8.2188016544885972E-2</v>
      </c>
      <c r="AS181" s="1">
        <v>1.5503003830108719E-2</v>
      </c>
      <c r="AT181" s="1">
        <v>2.1068124754105688E-2</v>
      </c>
      <c r="AU181" s="1">
        <v>-6.626882896647876E-2</v>
      </c>
      <c r="AV181" s="1">
        <v>-7.5946182017719299E-3</v>
      </c>
      <c r="AW181" s="1">
        <v>-7.9936875021645176E-3</v>
      </c>
      <c r="AX181" s="1">
        <v>4.334476048433622E-3</v>
      </c>
      <c r="AY181" s="1">
        <v>2.2779028965461162E-2</v>
      </c>
      <c r="AZ181" s="1">
        <v>-7.6735476889089604E-2</v>
      </c>
      <c r="BA181" s="1">
        <v>-8.7719817493742414E-3</v>
      </c>
      <c r="BB181" s="1">
        <v>-8.272791714942912E-3</v>
      </c>
      <c r="BC181" s="1">
        <v>0.10989953790021746</v>
      </c>
      <c r="BD181" s="1">
        <v>1.525532251474554E-2</v>
      </c>
      <c r="BE181" s="1">
        <v>2.1548163081140798E-2</v>
      </c>
      <c r="BF181" s="1">
        <v>5.6842172200278707E-2</v>
      </c>
      <c r="BG181" s="1">
        <v>-7.8530460986659528E-2</v>
      </c>
      <c r="BH181" s="1">
        <v>-5.4253175755411692E-3</v>
      </c>
      <c r="BI181" s="1">
        <v>-9.689879233964388E-3</v>
      </c>
      <c r="BJ181" s="1">
        <v>0.486706967011375</v>
      </c>
      <c r="BK181" s="1">
        <v>-0.23941309177369663</v>
      </c>
      <c r="BL181" s="1">
        <v>2.9543714658295903E-2</v>
      </c>
      <c r="BM181" s="1">
        <v>-5.9494707351183757E-2</v>
      </c>
      <c r="BN181" s="1">
        <v>-9.3651510324462992E-2</v>
      </c>
      <c r="BO181" s="12">
        <v>3.2964199121395907E-2</v>
      </c>
      <c r="BP181" s="23"/>
      <c r="BQ181" s="23"/>
      <c r="BR181" s="23"/>
      <c r="BS181" s="23"/>
      <c r="BT181" s="23"/>
    </row>
    <row r="182" spans="1:72">
      <c r="A182">
        <v>28</v>
      </c>
      <c r="B182" s="11">
        <v>0</v>
      </c>
      <c r="C182" s="1">
        <v>0</v>
      </c>
      <c r="D182" s="1">
        <v>0</v>
      </c>
      <c r="E182" s="1">
        <v>0</v>
      </c>
      <c r="F182" s="1">
        <v>0</v>
      </c>
      <c r="G182" s="1">
        <v>0</v>
      </c>
      <c r="H182" s="1">
        <v>0</v>
      </c>
      <c r="I182" s="1">
        <v>0</v>
      </c>
      <c r="J182" s="1">
        <v>0</v>
      </c>
      <c r="K182" s="1">
        <v>0</v>
      </c>
      <c r="L182" s="1">
        <v>0</v>
      </c>
      <c r="M182" s="1">
        <v>0</v>
      </c>
      <c r="N182" s="1">
        <v>0</v>
      </c>
      <c r="O182" s="1">
        <v>0</v>
      </c>
      <c r="P182" s="1">
        <v>0</v>
      </c>
      <c r="Q182" s="1">
        <v>0</v>
      </c>
      <c r="R182" s="1">
        <v>0</v>
      </c>
      <c r="S182" s="1">
        <v>0</v>
      </c>
      <c r="T182" s="1">
        <v>0</v>
      </c>
      <c r="U182" s="1">
        <v>0</v>
      </c>
      <c r="V182" s="1">
        <v>0</v>
      </c>
      <c r="W182" s="1">
        <v>0</v>
      </c>
      <c r="X182" s="1">
        <v>0</v>
      </c>
      <c r="Y182" s="1">
        <v>0</v>
      </c>
      <c r="Z182" s="1">
        <v>0</v>
      </c>
      <c r="AA182" s="1">
        <v>0</v>
      </c>
      <c r="AB182" s="1">
        <v>0</v>
      </c>
      <c r="AC182" s="1">
        <v>1</v>
      </c>
      <c r="AD182" s="1">
        <v>0</v>
      </c>
      <c r="AE182" s="1">
        <v>0</v>
      </c>
      <c r="AF182" s="1">
        <v>0</v>
      </c>
      <c r="AG182" s="12">
        <v>0</v>
      </c>
      <c r="AH182" s="23"/>
      <c r="AI182" s="23">
        <v>28</v>
      </c>
      <c r="AJ182" s="11">
        <v>-4.1566407837358962E-4</v>
      </c>
      <c r="AK182" s="1">
        <v>0.10709391282310643</v>
      </c>
      <c r="AL182" s="1">
        <v>-5.5094321129637996E-2</v>
      </c>
      <c r="AM182" s="1">
        <v>3.1808986976565347E-2</v>
      </c>
      <c r="AN182" s="1">
        <v>7.8326267150415269E-2</v>
      </c>
      <c r="AO182" s="1">
        <v>3.4993143734999593E-2</v>
      </c>
      <c r="AP182" s="1">
        <v>0.13498676667465728</v>
      </c>
      <c r="AQ182" s="1">
        <v>3.1808945416950077E-2</v>
      </c>
      <c r="AR182" s="1">
        <v>4.301955347106675E-2</v>
      </c>
      <c r="AS182" s="1">
        <v>-2.6508214634453908E-3</v>
      </c>
      <c r="AT182" s="1">
        <v>-1.3837523869852653E-2</v>
      </c>
      <c r="AU182" s="1">
        <v>-4.1566345734913841E-4</v>
      </c>
      <c r="AV182" s="1">
        <v>-1.2837846433231985E-2</v>
      </c>
      <c r="AW182" s="1">
        <v>1.4169242354164903E-2</v>
      </c>
      <c r="AX182" s="1">
        <v>-1.1332034717352446E-2</v>
      </c>
      <c r="AY182" s="1">
        <v>-3.5543014925591684E-2</v>
      </c>
      <c r="AZ182" s="1">
        <v>9.0809554426875397E-2</v>
      </c>
      <c r="BA182" s="1">
        <v>-2.813626685743268E-2</v>
      </c>
      <c r="BB182" s="1">
        <v>-0.12283200245872435</v>
      </c>
      <c r="BC182" s="1">
        <v>-0.23372937763409363</v>
      </c>
      <c r="BD182" s="1">
        <v>-7.2691012995192011E-3</v>
      </c>
      <c r="BE182" s="1">
        <v>3.9004882057201845E-3</v>
      </c>
      <c r="BF182" s="1">
        <v>-2.4843235666918366E-2</v>
      </c>
      <c r="BG182" s="1">
        <v>0.15265235747233369</v>
      </c>
      <c r="BH182" s="1">
        <v>-9.5056864609957464E-2</v>
      </c>
      <c r="BI182" s="1">
        <v>-2.93836441016588E-2</v>
      </c>
      <c r="BJ182" s="1">
        <v>-0.23941309177369674</v>
      </c>
      <c r="BK182" s="1">
        <v>0.37488100887199977</v>
      </c>
      <c r="BL182" s="1">
        <v>-1.1209286795961233E-2</v>
      </c>
      <c r="BM182" s="1">
        <v>5.1782832520552664E-2</v>
      </c>
      <c r="BN182" s="1">
        <v>0.12461436089327034</v>
      </c>
      <c r="BO182" s="12">
        <v>-1.1512272199896548E-2</v>
      </c>
      <c r="BP182" s="23"/>
      <c r="BQ182" s="23"/>
      <c r="BR182" s="23"/>
      <c r="BS182" s="23"/>
      <c r="BT182" s="23"/>
    </row>
    <row r="183" spans="1:72">
      <c r="A183">
        <v>29</v>
      </c>
      <c r="B183" s="11">
        <v>0</v>
      </c>
      <c r="C183" s="1">
        <v>0</v>
      </c>
      <c r="D183" s="1">
        <v>0</v>
      </c>
      <c r="E183" s="1">
        <v>0</v>
      </c>
      <c r="F183" s="1">
        <v>0</v>
      </c>
      <c r="G183" s="1">
        <v>0</v>
      </c>
      <c r="H183" s="1">
        <v>0</v>
      </c>
      <c r="I183" s="1">
        <v>0</v>
      </c>
      <c r="J183" s="1">
        <v>0</v>
      </c>
      <c r="K183" s="1">
        <v>0</v>
      </c>
      <c r="L183" s="1">
        <v>0</v>
      </c>
      <c r="M183" s="1">
        <v>0</v>
      </c>
      <c r="N183" s="1">
        <v>0</v>
      </c>
      <c r="O183" s="1">
        <v>0</v>
      </c>
      <c r="P183" s="1">
        <v>0</v>
      </c>
      <c r="Q183" s="1">
        <v>0</v>
      </c>
      <c r="R183" s="1">
        <v>0</v>
      </c>
      <c r="S183" s="1">
        <v>0</v>
      </c>
      <c r="T183" s="1">
        <v>0</v>
      </c>
      <c r="U183" s="1">
        <v>0</v>
      </c>
      <c r="V183" s="1">
        <v>0</v>
      </c>
      <c r="W183" s="1">
        <v>0</v>
      </c>
      <c r="X183" s="1">
        <v>0</v>
      </c>
      <c r="Y183" s="1">
        <v>0</v>
      </c>
      <c r="Z183" s="1">
        <v>0</v>
      </c>
      <c r="AA183" s="1">
        <v>0</v>
      </c>
      <c r="AB183" s="1">
        <v>0</v>
      </c>
      <c r="AC183" s="1">
        <v>0</v>
      </c>
      <c r="AD183" s="1">
        <v>1</v>
      </c>
      <c r="AE183" s="1">
        <v>0</v>
      </c>
      <c r="AF183" s="1">
        <v>0</v>
      </c>
      <c r="AG183" s="12">
        <v>0</v>
      </c>
      <c r="AH183" s="23"/>
      <c r="AI183" s="23">
        <v>29</v>
      </c>
      <c r="AJ183" s="11">
        <v>1.6586856350141239E-2</v>
      </c>
      <c r="AK183" s="1">
        <v>0.14947050802207179</v>
      </c>
      <c r="AL183" s="1">
        <v>-0.10557878183471539</v>
      </c>
      <c r="AM183" s="1">
        <v>1.697808419975641E-2</v>
      </c>
      <c r="AN183" s="1">
        <v>-6.3380586994575411E-3</v>
      </c>
      <c r="AO183" s="1">
        <v>-1.2498420698126567E-3</v>
      </c>
      <c r="AP183" s="1">
        <v>-2.2560565015294454E-2</v>
      </c>
      <c r="AQ183" s="1">
        <v>1.6978062017262922E-2</v>
      </c>
      <c r="AR183" s="1">
        <v>-8.1304283303928832E-2</v>
      </c>
      <c r="AS183" s="1">
        <v>-2.4579881662974014E-2</v>
      </c>
      <c r="AT183" s="1">
        <v>-5.0264570014401933E-3</v>
      </c>
      <c r="AU183" s="1">
        <v>1.6586831568489627E-2</v>
      </c>
      <c r="AV183" s="1">
        <v>8.2305825815446598E-2</v>
      </c>
      <c r="AW183" s="1">
        <v>-4.8575950971193174E-2</v>
      </c>
      <c r="AX183" s="1">
        <v>3.9052776029050384E-2</v>
      </c>
      <c r="AY183" s="1">
        <v>4.8160819694688016E-2</v>
      </c>
      <c r="AZ183" s="1">
        <v>3.5277901098467276E-2</v>
      </c>
      <c r="BA183" s="1">
        <v>0.10959516337618583</v>
      </c>
      <c r="BB183" s="1">
        <v>-7.8859825787565521E-2</v>
      </c>
      <c r="BC183" s="1">
        <v>-0.11811640118536301</v>
      </c>
      <c r="BD183" s="1">
        <v>3.9278072864109004E-2</v>
      </c>
      <c r="BE183" s="1">
        <v>-2.7511149490879447E-2</v>
      </c>
      <c r="BF183" s="1">
        <v>-9.8779124407706642E-2</v>
      </c>
      <c r="BG183" s="1">
        <v>2.2902371699889595E-2</v>
      </c>
      <c r="BH183" s="1">
        <v>4.6084066425765922E-2</v>
      </c>
      <c r="BI183" s="1">
        <v>1.802576290882156E-2</v>
      </c>
      <c r="BJ183" s="1">
        <v>2.9543714658296163E-2</v>
      </c>
      <c r="BK183" s="1">
        <v>-1.1209286795961448E-2</v>
      </c>
      <c r="BL183" s="1">
        <v>0.4136785261823307</v>
      </c>
      <c r="BM183" s="1">
        <v>-0.21014751855586147</v>
      </c>
      <c r="BN183" s="1">
        <v>-0.28681566096324856</v>
      </c>
      <c r="BO183" s="12">
        <v>-0.10622966540188512</v>
      </c>
      <c r="BP183" s="23"/>
      <c r="BQ183" s="23"/>
      <c r="BR183" s="23"/>
      <c r="BS183" s="23"/>
      <c r="BT183" s="23"/>
    </row>
    <row r="184" spans="1:72">
      <c r="A184">
        <v>30</v>
      </c>
      <c r="B184" s="11">
        <v>0</v>
      </c>
      <c r="C184" s="1">
        <v>0</v>
      </c>
      <c r="D184" s="1">
        <v>0</v>
      </c>
      <c r="E184" s="1">
        <v>0</v>
      </c>
      <c r="F184" s="1">
        <v>0</v>
      </c>
      <c r="G184" s="1">
        <v>0</v>
      </c>
      <c r="H184" s="1">
        <v>0</v>
      </c>
      <c r="I184" s="1">
        <v>0</v>
      </c>
      <c r="J184" s="1">
        <v>0</v>
      </c>
      <c r="K184" s="1">
        <v>0</v>
      </c>
      <c r="L184" s="1">
        <v>0</v>
      </c>
      <c r="M184" s="1">
        <v>0</v>
      </c>
      <c r="N184" s="1">
        <v>0</v>
      </c>
      <c r="O184" s="1">
        <v>0</v>
      </c>
      <c r="P184" s="1">
        <v>0</v>
      </c>
      <c r="Q184" s="1">
        <v>0</v>
      </c>
      <c r="R184" s="1">
        <v>0</v>
      </c>
      <c r="S184" s="1">
        <v>0</v>
      </c>
      <c r="T184" s="1">
        <v>0</v>
      </c>
      <c r="U184" s="1">
        <v>0</v>
      </c>
      <c r="V184" s="1">
        <v>0</v>
      </c>
      <c r="W184" s="1">
        <v>0</v>
      </c>
      <c r="X184" s="1">
        <v>0</v>
      </c>
      <c r="Y184" s="1">
        <v>0</v>
      </c>
      <c r="Z184" s="1">
        <v>0</v>
      </c>
      <c r="AA184" s="1">
        <v>0</v>
      </c>
      <c r="AB184" s="1">
        <v>0</v>
      </c>
      <c r="AC184" s="1">
        <v>0</v>
      </c>
      <c r="AD184" s="1">
        <v>0</v>
      </c>
      <c r="AE184" s="1">
        <v>1</v>
      </c>
      <c r="AF184" s="1">
        <v>0</v>
      </c>
      <c r="AG184" s="12">
        <v>0</v>
      </c>
      <c r="AH184" s="23"/>
      <c r="AI184" s="23">
        <v>30</v>
      </c>
      <c r="AJ184" s="11">
        <v>-3.8755575361244257E-2</v>
      </c>
      <c r="AK184" s="1">
        <v>-8.1827855951384337E-2</v>
      </c>
      <c r="AL184" s="1">
        <v>0.18803984729517501</v>
      </c>
      <c r="AM184" s="1">
        <v>-3.2196620368209916E-2</v>
      </c>
      <c r="AN184" s="1">
        <v>-9.7800324358733176E-2</v>
      </c>
      <c r="AO184" s="1">
        <v>4.3483204646852389E-2</v>
      </c>
      <c r="AP184" s="1">
        <v>2.8769850994326593E-2</v>
      </c>
      <c r="AQ184" s="1">
        <v>-3.2196578302137291E-2</v>
      </c>
      <c r="AR184" s="1">
        <v>0.14481501504326089</v>
      </c>
      <c r="AS184" s="1">
        <v>1.1991215948269528E-2</v>
      </c>
      <c r="AT184" s="1">
        <v>2.6509766918873693E-2</v>
      </c>
      <c r="AU184" s="1">
        <v>-3.8755517458339363E-2</v>
      </c>
      <c r="AV184" s="1">
        <v>1.2598692027296431E-2</v>
      </c>
      <c r="AW184" s="1">
        <v>-2.1827128984113649E-2</v>
      </c>
      <c r="AX184" s="1">
        <v>1.4134201505455024E-2</v>
      </c>
      <c r="AY184" s="1">
        <v>3.7629014560875383E-2</v>
      </c>
      <c r="AZ184" s="1">
        <v>-7.8466989716047014E-2</v>
      </c>
      <c r="BA184" s="1">
        <v>2.1289059140880928E-2</v>
      </c>
      <c r="BB184" s="1">
        <v>2.5387443585242052E-2</v>
      </c>
      <c r="BC184" s="1">
        <v>-0.21208096964396189</v>
      </c>
      <c r="BD184" s="1">
        <v>2.2079293852059909E-2</v>
      </c>
      <c r="BE184" s="1">
        <v>1.2790576887511715E-2</v>
      </c>
      <c r="BF184" s="1">
        <v>3.4295630681776941E-2</v>
      </c>
      <c r="BG184" s="1">
        <v>-0.10625270831937428</v>
      </c>
      <c r="BH184" s="1">
        <v>7.1146535446935787E-3</v>
      </c>
      <c r="BI184" s="1">
        <v>2.9972553353332144E-2</v>
      </c>
      <c r="BJ184" s="1">
        <v>-5.9494707351183694E-2</v>
      </c>
      <c r="BK184" s="1">
        <v>5.1782832520552664E-2</v>
      </c>
      <c r="BL184" s="1">
        <v>-0.2101475185558615</v>
      </c>
      <c r="BM184" s="1">
        <v>0.66332651115825991</v>
      </c>
      <c r="BN184" s="1">
        <v>-0.15191987315971953</v>
      </c>
      <c r="BO184" s="12">
        <v>8.8585485592610758E-3</v>
      </c>
      <c r="BP184" s="23"/>
      <c r="BQ184" s="23"/>
      <c r="BR184" s="23"/>
      <c r="BS184" s="23"/>
      <c r="BT184" s="23"/>
    </row>
    <row r="185" spans="1:72">
      <c r="A185">
        <v>31</v>
      </c>
      <c r="B185" s="11">
        <v>0</v>
      </c>
      <c r="C185" s="1">
        <v>0</v>
      </c>
      <c r="D185" s="1">
        <v>0</v>
      </c>
      <c r="E185" s="1">
        <v>0</v>
      </c>
      <c r="F185" s="1">
        <v>0</v>
      </c>
      <c r="G185" s="1">
        <v>0</v>
      </c>
      <c r="H185" s="1">
        <v>0</v>
      </c>
      <c r="I185" s="1">
        <v>0</v>
      </c>
      <c r="J185" s="1">
        <v>0</v>
      </c>
      <c r="K185" s="1">
        <v>0</v>
      </c>
      <c r="L185" s="1">
        <v>0</v>
      </c>
      <c r="M185" s="1">
        <v>0</v>
      </c>
      <c r="N185" s="1">
        <v>0</v>
      </c>
      <c r="O185" s="1">
        <v>0</v>
      </c>
      <c r="P185" s="1">
        <v>0</v>
      </c>
      <c r="Q185" s="1">
        <v>0</v>
      </c>
      <c r="R185" s="1">
        <v>0</v>
      </c>
      <c r="S185" s="1">
        <v>0</v>
      </c>
      <c r="T185" s="1">
        <v>0</v>
      </c>
      <c r="U185" s="1">
        <v>0</v>
      </c>
      <c r="V185" s="1">
        <v>0</v>
      </c>
      <c r="W185" s="1">
        <v>0</v>
      </c>
      <c r="X185" s="1">
        <v>0</v>
      </c>
      <c r="Y185" s="1">
        <v>0</v>
      </c>
      <c r="Z185" s="1">
        <v>0</v>
      </c>
      <c r="AA185" s="1">
        <v>0</v>
      </c>
      <c r="AB185" s="1">
        <v>0</v>
      </c>
      <c r="AC185" s="1">
        <v>0</v>
      </c>
      <c r="AD185" s="1">
        <v>0</v>
      </c>
      <c r="AE185" s="1">
        <v>0</v>
      </c>
      <c r="AF185" s="1">
        <v>1</v>
      </c>
      <c r="AG185" s="12">
        <v>0</v>
      </c>
      <c r="AH185" s="23"/>
      <c r="AI185" s="23">
        <v>31</v>
      </c>
      <c r="AJ185" s="11">
        <v>4.7150526264178844E-2</v>
      </c>
      <c r="AK185" s="1">
        <v>-0.1346699799852332</v>
      </c>
      <c r="AL185" s="1">
        <v>-0.11134325647389894</v>
      </c>
      <c r="AM185" s="1">
        <v>5.0125935394006352E-2</v>
      </c>
      <c r="AN185" s="1">
        <v>0.16543661845254154</v>
      </c>
      <c r="AO185" s="1">
        <v>-1.4664953617848999E-2</v>
      </c>
      <c r="AP185" s="1">
        <v>4.222102692932643E-2</v>
      </c>
      <c r="AQ185" s="1">
        <v>5.0125869902622029E-2</v>
      </c>
      <c r="AR185" s="1">
        <v>-2.5197265364341533E-2</v>
      </c>
      <c r="AS185" s="1">
        <v>-4.0805564456995354E-3</v>
      </c>
      <c r="AT185" s="1">
        <v>-5.7992645260746309E-2</v>
      </c>
      <c r="AU185" s="1">
        <v>4.7150455818767797E-2</v>
      </c>
      <c r="AV185" s="1">
        <v>-5.1910758627491616E-2</v>
      </c>
      <c r="AW185" s="1">
        <v>4.3700854787213084E-2</v>
      </c>
      <c r="AX185" s="1">
        <v>-2.1173193004731389E-2</v>
      </c>
      <c r="AY185" s="1">
        <v>-4.251325230208873E-2</v>
      </c>
      <c r="AZ185" s="1">
        <v>3.1040071101589795E-2</v>
      </c>
      <c r="BA185" s="1">
        <v>-0.10230803413675321</v>
      </c>
      <c r="BB185" s="1">
        <v>2.0974630436492489E-2</v>
      </c>
      <c r="BC185" s="1">
        <v>6.4629207329711197E-2</v>
      </c>
      <c r="BD185" s="1">
        <v>1.9213058501066096E-2</v>
      </c>
      <c r="BE185" s="1">
        <v>5.1968137285802338E-2</v>
      </c>
      <c r="BF185" s="1">
        <v>8.0788575842973526E-2</v>
      </c>
      <c r="BG185" s="1">
        <v>-6.6207319781938861E-2</v>
      </c>
      <c r="BH185" s="1">
        <v>-7.5839739282160368E-2</v>
      </c>
      <c r="BI185" s="1">
        <v>-9.9227125657427515E-3</v>
      </c>
      <c r="BJ185" s="1">
        <v>-9.3651510324463325E-2</v>
      </c>
      <c r="BK185" s="1">
        <v>0.12461436089327052</v>
      </c>
      <c r="BL185" s="1">
        <v>-0.2868156609632484</v>
      </c>
      <c r="BM185" s="1">
        <v>-0.15191987315971944</v>
      </c>
      <c r="BN185" s="1">
        <v>0.49463636787759402</v>
      </c>
      <c r="BO185" s="12">
        <v>6.4844976329673926E-2</v>
      </c>
      <c r="BP185" s="23"/>
      <c r="BQ185" s="23"/>
      <c r="BR185" s="23"/>
      <c r="BS185" s="23"/>
      <c r="BT185" s="23"/>
    </row>
    <row r="186" spans="1:72">
      <c r="A186">
        <v>32</v>
      </c>
      <c r="B186" s="13">
        <v>0</v>
      </c>
      <c r="C186" s="14">
        <v>0</v>
      </c>
      <c r="D186" s="14">
        <v>0</v>
      </c>
      <c r="E186" s="14">
        <v>0</v>
      </c>
      <c r="F186" s="14">
        <v>0</v>
      </c>
      <c r="G186" s="14">
        <v>0</v>
      </c>
      <c r="H186" s="14">
        <v>0</v>
      </c>
      <c r="I186" s="14">
        <v>0</v>
      </c>
      <c r="J186" s="14">
        <v>0</v>
      </c>
      <c r="K186" s="14">
        <v>0</v>
      </c>
      <c r="L186" s="14">
        <v>0</v>
      </c>
      <c r="M186" s="14">
        <v>0</v>
      </c>
      <c r="N186" s="14">
        <v>0</v>
      </c>
      <c r="O186" s="14">
        <v>0</v>
      </c>
      <c r="P186" s="14">
        <v>0</v>
      </c>
      <c r="Q186" s="14">
        <v>0</v>
      </c>
      <c r="R186" s="14">
        <v>0</v>
      </c>
      <c r="S186" s="14">
        <v>0</v>
      </c>
      <c r="T186" s="14">
        <v>0</v>
      </c>
      <c r="U186" s="14">
        <v>0</v>
      </c>
      <c r="V186" s="14">
        <v>0</v>
      </c>
      <c r="W186" s="14">
        <v>0</v>
      </c>
      <c r="X186" s="14">
        <v>0</v>
      </c>
      <c r="Y186" s="14">
        <v>0</v>
      </c>
      <c r="Z186" s="14">
        <v>0</v>
      </c>
      <c r="AA186" s="14">
        <v>0</v>
      </c>
      <c r="AB186" s="14">
        <v>0</v>
      </c>
      <c r="AC186" s="14">
        <v>0</v>
      </c>
      <c r="AD186" s="14">
        <v>0</v>
      </c>
      <c r="AE186" s="14">
        <v>0</v>
      </c>
      <c r="AF186" s="14">
        <v>0</v>
      </c>
      <c r="AG186" s="15">
        <v>1</v>
      </c>
      <c r="AH186" s="23"/>
      <c r="AI186" s="23">
        <v>32</v>
      </c>
      <c r="AJ186" s="13">
        <v>-2.5867361300831067E-2</v>
      </c>
      <c r="AK186" s="14">
        <v>-7.4894806747873535E-2</v>
      </c>
      <c r="AL186" s="14">
        <v>-1.976294139946751E-2</v>
      </c>
      <c r="AM186" s="14">
        <v>-1.2229241617681252E-2</v>
      </c>
      <c r="AN186" s="14">
        <v>-8.5349249445453315E-2</v>
      </c>
      <c r="AO186" s="14">
        <v>8.2415485793313377E-3</v>
      </c>
      <c r="AP186" s="14">
        <v>-1.3461567189908291E-2</v>
      </c>
      <c r="AQ186" s="14">
        <v>-1.2229225639725814E-2</v>
      </c>
      <c r="AR186" s="14">
        <v>-3.5946242710450847E-2</v>
      </c>
      <c r="AS186" s="14">
        <v>2.3878893731126657E-2</v>
      </c>
      <c r="AT186" s="14">
        <v>1.5634494023554116E-2</v>
      </c>
      <c r="AU186" s="14">
        <v>-2.58673226536081E-2</v>
      </c>
      <c r="AV186" s="14">
        <v>-0.15574578324700869</v>
      </c>
      <c r="AW186" s="14">
        <v>2.3288387740576108E-2</v>
      </c>
      <c r="AX186" s="14">
        <v>0.16598392079271454</v>
      </c>
      <c r="AY186" s="14">
        <v>-5.3175637621074467E-2</v>
      </c>
      <c r="AZ186" s="14">
        <v>0.1365835755461868</v>
      </c>
      <c r="BA186" s="14">
        <v>0.27301598336210264</v>
      </c>
      <c r="BB186" s="14">
        <v>-8.9448944319483525E-2</v>
      </c>
      <c r="BC186" s="14">
        <v>2.2936981086508962E-2</v>
      </c>
      <c r="BD186" s="14">
        <v>-1.2746454155899922E-2</v>
      </c>
      <c r="BE186" s="14">
        <v>-3.9576711371275511E-2</v>
      </c>
      <c r="BF186" s="14">
        <v>-6.8322065223418077E-2</v>
      </c>
      <c r="BG186" s="14">
        <v>5.3878319440112253E-2</v>
      </c>
      <c r="BH186" s="14">
        <v>5.5602277672701261E-2</v>
      </c>
      <c r="BI186" s="14">
        <v>1.116463363778003E-2</v>
      </c>
      <c r="BJ186" s="14">
        <v>3.2964199121395685E-2</v>
      </c>
      <c r="BK186" s="14">
        <v>-1.1512272199896034E-2</v>
      </c>
      <c r="BL186" s="14">
        <v>-0.10622966540188519</v>
      </c>
      <c r="BM186" s="14">
        <v>8.8585485592613186E-3</v>
      </c>
      <c r="BN186" s="14">
        <v>6.484497632967437E-2</v>
      </c>
      <c r="BO186" s="15">
        <v>0.71568943195317258</v>
      </c>
      <c r="BP186" s="23"/>
      <c r="BQ186" s="23"/>
      <c r="BR186" s="23"/>
      <c r="BS186" s="23"/>
      <c r="BT186" s="23"/>
    </row>
    <row r="187" spans="1:72">
      <c r="B187" s="23"/>
      <c r="C187" s="23"/>
      <c r="D187" s="23"/>
      <c r="E187" s="23"/>
      <c r="F187" s="23"/>
      <c r="G187" s="23"/>
      <c r="H187" s="23"/>
      <c r="I187" s="23"/>
      <c r="J187" s="23"/>
      <c r="K187" s="23"/>
      <c r="L187" s="23"/>
      <c r="M187" s="23"/>
      <c r="N187" s="23"/>
      <c r="O187" s="23"/>
      <c r="P187" s="23"/>
      <c r="Q187" s="23"/>
      <c r="R187" s="23"/>
      <c r="S187" s="23"/>
      <c r="T187" s="23"/>
      <c r="U187" s="23"/>
      <c r="V187" s="23"/>
      <c r="W187" s="23"/>
      <c r="X187" s="23"/>
      <c r="Y187" s="23"/>
      <c r="Z187" s="23"/>
      <c r="AA187" s="23"/>
      <c r="AB187" s="23"/>
      <c r="AC187" s="23"/>
      <c r="AD187" s="23"/>
      <c r="AE187" s="23"/>
      <c r="AF187" s="23"/>
      <c r="AG187" s="23"/>
      <c r="AH187" s="23"/>
      <c r="AI187" s="23"/>
      <c r="AJ187" s="23"/>
      <c r="AK187" s="23"/>
      <c r="AL187" s="23"/>
      <c r="AM187" s="23"/>
      <c r="AN187" s="23"/>
      <c r="AO187" s="23"/>
      <c r="AP187" s="23"/>
      <c r="AQ187" s="23"/>
      <c r="AR187" s="23"/>
      <c r="AS187" s="23"/>
      <c r="AT187" s="23"/>
      <c r="AU187" s="23"/>
      <c r="AV187" s="23"/>
      <c r="AW187" s="23"/>
      <c r="AX187" s="23"/>
      <c r="AY187" s="23"/>
      <c r="AZ187" s="23"/>
      <c r="BA187" s="23"/>
      <c r="BB187" s="23"/>
      <c r="BC187" s="23"/>
      <c r="BD187" s="23"/>
      <c r="BE187" s="23"/>
      <c r="BF187" s="23"/>
      <c r="BG187" s="23"/>
      <c r="BH187" s="23"/>
      <c r="BI187" s="23"/>
      <c r="BJ187" s="23"/>
      <c r="BK187" s="23"/>
      <c r="BL187" s="23"/>
      <c r="BM187" s="23"/>
      <c r="BN187" s="23"/>
      <c r="BO187" s="23"/>
      <c r="BP187" s="23"/>
      <c r="BQ187" s="23"/>
      <c r="BR187" s="23"/>
      <c r="BS187" s="23"/>
      <c r="BT187" s="23"/>
    </row>
    <row r="188" spans="1:72">
      <c r="B188" s="23"/>
      <c r="C188" s="23"/>
      <c r="D188" s="23"/>
      <c r="E188" s="23"/>
      <c r="F188" s="23"/>
      <c r="G188" s="23"/>
      <c r="H188" s="23"/>
      <c r="I188" s="23"/>
      <c r="J188" s="23"/>
      <c r="K188" s="23"/>
      <c r="L188" s="23"/>
      <c r="M188" s="23"/>
      <c r="N188" s="23"/>
      <c r="O188" s="23"/>
      <c r="P188" s="23"/>
      <c r="Q188" s="23"/>
      <c r="R188" s="23"/>
      <c r="S188" s="23"/>
      <c r="T188" s="23"/>
      <c r="U188" s="23"/>
      <c r="V188" s="23"/>
      <c r="W188" s="23"/>
      <c r="X188" s="23"/>
      <c r="Y188" s="23"/>
      <c r="Z188" s="23"/>
      <c r="AA188" s="23"/>
      <c r="AB188" s="23"/>
      <c r="AC188" s="23"/>
      <c r="AD188" s="23"/>
      <c r="AE188" s="23"/>
      <c r="AF188" s="23"/>
      <c r="AG188" s="23"/>
      <c r="AH188" s="23"/>
      <c r="AI188" s="23"/>
      <c r="AJ188" s="23"/>
      <c r="AK188" s="280" t="s">
        <v>72</v>
      </c>
      <c r="AL188" s="282"/>
      <c r="AM188" s="281"/>
      <c r="AN188" s="23"/>
      <c r="AO188" s="23"/>
      <c r="AP188" s="23"/>
      <c r="AQ188" s="23"/>
      <c r="AR188" s="23"/>
      <c r="AS188" s="23"/>
      <c r="AV188" s="23"/>
      <c r="AW188" s="23"/>
      <c r="AX188" s="23"/>
      <c r="AY188" s="23"/>
      <c r="AZ188" s="23"/>
      <c r="BA188" s="23"/>
      <c r="BB188" s="23"/>
      <c r="BC188" s="23"/>
      <c r="BD188" s="23"/>
      <c r="BE188" s="23"/>
      <c r="BF188" s="23"/>
      <c r="BG188" s="23"/>
      <c r="BH188" s="23"/>
      <c r="BI188" s="23"/>
      <c r="BJ188" s="23"/>
      <c r="BK188" s="23"/>
      <c r="BL188" s="23"/>
      <c r="BM188" s="23"/>
      <c r="BN188" s="23"/>
      <c r="BO188" s="23"/>
      <c r="BP188" s="23"/>
      <c r="BQ188" s="23"/>
      <c r="BR188" s="23"/>
      <c r="BS188" s="23"/>
      <c r="BT188" s="23"/>
    </row>
    <row r="189" spans="1:72">
      <c r="B189" s="275" t="s">
        <v>73</v>
      </c>
      <c r="C189" s="276"/>
      <c r="D189" s="276"/>
      <c r="E189" s="276"/>
      <c r="F189" s="276"/>
      <c r="G189" s="276"/>
      <c r="H189" s="276"/>
      <c r="I189" s="276"/>
      <c r="J189" s="276"/>
      <c r="K189" s="276"/>
      <c r="L189" s="276"/>
      <c r="M189" s="276"/>
      <c r="N189" s="276"/>
      <c r="O189" s="276"/>
      <c r="P189" s="276"/>
      <c r="Q189" s="276"/>
      <c r="R189" s="276"/>
      <c r="S189" s="276"/>
      <c r="T189" s="276"/>
      <c r="U189" s="276"/>
      <c r="V189" s="276"/>
      <c r="W189" s="276"/>
      <c r="X189" s="276"/>
      <c r="Y189" s="276"/>
      <c r="Z189" s="276"/>
      <c r="AA189" s="276"/>
      <c r="AB189" s="276"/>
      <c r="AC189" s="276"/>
      <c r="AD189" s="276"/>
      <c r="AE189" s="276"/>
      <c r="AF189" s="276"/>
      <c r="AG189" s="277"/>
      <c r="AH189" s="23"/>
      <c r="AI189" s="103" t="s">
        <v>74</v>
      </c>
      <c r="AJ189" s="23"/>
      <c r="AK189" s="69" t="s">
        <v>75</v>
      </c>
      <c r="AL189" s="86" t="s">
        <v>76</v>
      </c>
      <c r="AM189" s="69" t="s">
        <v>77</v>
      </c>
      <c r="AN189" s="23"/>
      <c r="AO189" s="278" t="s">
        <v>78</v>
      </c>
      <c r="AP189" s="279"/>
      <c r="AQ189" s="23"/>
      <c r="AR189" s="23"/>
      <c r="AV189" s="23"/>
      <c r="AW189" s="23"/>
      <c r="AX189" s="23"/>
      <c r="AY189" s="23"/>
      <c r="AZ189" s="23"/>
      <c r="BA189" s="23"/>
      <c r="BB189" s="23"/>
      <c r="BC189" s="23"/>
      <c r="BD189" s="23"/>
      <c r="BE189" s="23"/>
      <c r="BF189" s="23"/>
      <c r="BG189" s="23"/>
      <c r="BH189" s="23"/>
      <c r="BI189" s="23"/>
      <c r="BJ189" s="23"/>
      <c r="BK189" s="23"/>
      <c r="BL189" s="23"/>
      <c r="BM189" s="23"/>
      <c r="BN189" s="23"/>
      <c r="BO189" s="23"/>
      <c r="BP189" s="23"/>
      <c r="BQ189" s="23"/>
      <c r="BR189" s="23"/>
      <c r="BS189" s="23"/>
      <c r="BT189" s="23"/>
    </row>
    <row r="190" spans="1:72">
      <c r="A190">
        <v>1</v>
      </c>
      <c r="B190" s="8" cm="1">
        <f t="array" ref="B190:AG221">_xlfn.ANCHORARRAY(B155)-_xlfn.ANCHORARRAY(AJ155)</f>
        <v>0.73448467482461388</v>
      </c>
      <c r="C190" s="9">
        <v>4.5866562288462143E-3</v>
      </c>
      <c r="D190" s="9">
        <v>2.5145223961394597E-2</v>
      </c>
      <c r="E190" s="9">
        <v>-5.5711029091542727E-2</v>
      </c>
      <c r="F190" s="9">
        <v>-7.2598954586878456E-2</v>
      </c>
      <c r="G190" s="9">
        <v>-0.12860488592728334</v>
      </c>
      <c r="H190" s="9">
        <v>5.7209189673448464E-2</v>
      </c>
      <c r="I190" s="9">
        <v>-5.5710956303027429E-2</v>
      </c>
      <c r="J190" s="9">
        <v>-4.5375592248927156E-2</v>
      </c>
      <c r="K190" s="9">
        <v>-9.2835979198404889E-2</v>
      </c>
      <c r="L190" s="9">
        <v>-0.20836720331970299</v>
      </c>
      <c r="M190" s="9">
        <v>-0.26551492848127223</v>
      </c>
      <c r="N190" s="9">
        <v>7.8161097423122897E-3</v>
      </c>
      <c r="O190" s="9">
        <v>6.153297287199222E-2</v>
      </c>
      <c r="P190" s="9">
        <v>3.422558325052269E-3</v>
      </c>
      <c r="Q190" s="9">
        <v>-1.1114217287761151E-2</v>
      </c>
      <c r="R190" s="9">
        <v>-1.1401494794726425E-2</v>
      </c>
      <c r="S190" s="9">
        <v>-3.3466188235907184E-2</v>
      </c>
      <c r="T190" s="9">
        <v>-4.9486552331661535E-2</v>
      </c>
      <c r="U190" s="9">
        <v>3.6789951666843634E-3</v>
      </c>
      <c r="V190" s="9">
        <v>4.6189304957522881E-2</v>
      </c>
      <c r="W190" s="9">
        <v>6.3655711128602077E-3</v>
      </c>
      <c r="X190" s="9">
        <v>3.2467671658609955E-2</v>
      </c>
      <c r="Y190" s="9">
        <v>7.4305118258602532E-2</v>
      </c>
      <c r="Z190" s="9">
        <v>-6.7775009253079443E-2</v>
      </c>
      <c r="AA190" s="9">
        <v>-9.1552656734516097E-2</v>
      </c>
      <c r="AB190" s="9">
        <v>6.6268927975805844E-2</v>
      </c>
      <c r="AC190" s="9">
        <v>4.1566407837367522E-4</v>
      </c>
      <c r="AD190" s="9">
        <v>-1.6586856350141295E-2</v>
      </c>
      <c r="AE190" s="9">
        <v>3.8755575361244313E-2</v>
      </c>
      <c r="AF190" s="9">
        <v>-4.7150526264178816E-2</v>
      </c>
      <c r="AG190" s="10">
        <v>2.5867361300831154E-2</v>
      </c>
      <c r="AH190" s="23"/>
      <c r="AI190" s="2" cm="1">
        <f t="array" ref="AI190">SQRT(INDEX(_xlfn.ANCHORARRAY($B$190),A190,A190))</f>
        <v>0.85702081353057813</v>
      </c>
      <c r="AJ190" s="23"/>
      <c r="AK190" s="2">
        <f t="shared" ref="AK190:AK221" si="29">$AP$191*AI190</f>
        <v>0.79197171707966429</v>
      </c>
      <c r="AL190" s="104">
        <f>ABS(Y119/AK190)</f>
        <v>1.401127793169475</v>
      </c>
      <c r="AM190" s="107" t="str">
        <f>IF(AL190&lt;2.5,"Spełniony","Nie spełniony")</f>
        <v>Spełniony</v>
      </c>
      <c r="AN190" s="23"/>
      <c r="AO190" s="101" t="s">
        <v>79</v>
      </c>
      <c r="AP190" s="102">
        <f>CHIINV(0.05,19)/19</f>
        <v>1.5865014318761135</v>
      </c>
      <c r="AQ190" s="23"/>
      <c r="AR190" s="23"/>
      <c r="AV190" s="23"/>
      <c r="AW190" s="23"/>
      <c r="AX190" s="23"/>
      <c r="AY190" s="23"/>
      <c r="AZ190" s="23"/>
      <c r="BA190" s="23"/>
      <c r="BB190" s="23"/>
      <c r="BC190" s="23"/>
      <c r="BD190" s="23"/>
      <c r="BE190" s="23"/>
      <c r="BF190" s="23"/>
      <c r="BG190" s="23"/>
      <c r="BH190" s="23"/>
      <c r="BI190" s="23"/>
      <c r="BJ190" s="23"/>
      <c r="BK190" s="23"/>
      <c r="BL190" s="23"/>
      <c r="BM190" s="23"/>
      <c r="BN190" s="23"/>
      <c r="BO190" s="23"/>
      <c r="BP190" s="23"/>
      <c r="BQ190" s="23"/>
      <c r="BR190" s="23"/>
      <c r="BS190" s="23"/>
      <c r="BT190" s="23"/>
    </row>
    <row r="191" spans="1:72">
      <c r="A191">
        <v>2</v>
      </c>
      <c r="B191" s="11">
        <v>4.5866562288461935E-3</v>
      </c>
      <c r="C191" s="1">
        <v>0.77279187287471585</v>
      </c>
      <c r="D191" s="1">
        <v>-9.644525657834678E-2</v>
      </c>
      <c r="E191" s="1">
        <v>5.0989492643735979E-3</v>
      </c>
      <c r="F191" s="1">
        <v>-3.1228702231296125E-2</v>
      </c>
      <c r="G191" s="1">
        <v>-1.7181511233458319E-2</v>
      </c>
      <c r="H191" s="1">
        <v>-5.4257313940119324E-2</v>
      </c>
      <c r="I191" s="1">
        <v>5.0989426024082365E-3</v>
      </c>
      <c r="J191" s="1">
        <v>-0.10136402407730682</v>
      </c>
      <c r="K191" s="1">
        <v>9.6110302755524016E-3</v>
      </c>
      <c r="L191" s="1">
        <v>-5.695137928985277E-3</v>
      </c>
      <c r="M191" s="1">
        <v>4.586649376136169E-3</v>
      </c>
      <c r="N191" s="1">
        <v>-3.2587542391212851E-2</v>
      </c>
      <c r="O191" s="1">
        <v>1.653066811839082E-2</v>
      </c>
      <c r="P191" s="1">
        <v>-7.6010434317281671E-3</v>
      </c>
      <c r="Q191" s="1">
        <v>9.6755474002771236E-3</v>
      </c>
      <c r="R191" s="1">
        <v>-0.10721626237630029</v>
      </c>
      <c r="S191" s="1">
        <v>-4.4245805223073989E-2</v>
      </c>
      <c r="T191" s="1">
        <v>-5.5621797974057037E-2</v>
      </c>
      <c r="U191" s="1">
        <v>-4.2717016762418666E-2</v>
      </c>
      <c r="V191" s="1">
        <v>4.791714670850572E-3</v>
      </c>
      <c r="W191" s="1">
        <v>2.6445574485602055E-2</v>
      </c>
      <c r="X191" s="1">
        <v>9.5672251022472996E-2</v>
      </c>
      <c r="Y191" s="1">
        <v>-0.20870874742566431</v>
      </c>
      <c r="Z191" s="1">
        <v>6.646206398367055E-2</v>
      </c>
      <c r="AA191" s="1">
        <v>1.5337143263068131E-2</v>
      </c>
      <c r="AB191" s="1">
        <v>9.6840403671162784E-2</v>
      </c>
      <c r="AC191" s="1">
        <v>-0.1070939128231064</v>
      </c>
      <c r="AD191" s="1">
        <v>-0.14947050802207179</v>
      </c>
      <c r="AE191" s="1">
        <v>8.182785595138431E-2</v>
      </c>
      <c r="AF191" s="1">
        <v>0.1346699799852332</v>
      </c>
      <c r="AG191" s="12">
        <v>7.4894806747873355E-2</v>
      </c>
      <c r="AH191" s="23"/>
      <c r="AI191" s="3" cm="1">
        <f t="array" ref="AI191">SQRT(INDEX(_xlfn.ANCHORARRAY($B$190),A191,A191))</f>
        <v>0.87908581655872242</v>
      </c>
      <c r="AJ191" s="23"/>
      <c r="AK191" s="3">
        <f t="shared" si="29"/>
        <v>0.81236195505250663</v>
      </c>
      <c r="AL191" s="105">
        <f t="shared" ref="AL191:AL221" si="30">ABS(Y120/AK191)</f>
        <v>0.37996228635363627</v>
      </c>
      <c r="AM191" s="108" t="str">
        <f t="shared" ref="AM191:AM221" si="31">IF(AL191&lt;2.5,"Spełniony","Nie spełniony")</f>
        <v>Spełniony</v>
      </c>
      <c r="AN191" s="23"/>
      <c r="AO191" s="87" t="s">
        <v>67</v>
      </c>
      <c r="AP191" s="87">
        <f>AB131</f>
        <v>0.92409858030992509</v>
      </c>
      <c r="AQ191" s="23"/>
      <c r="AR191" s="23"/>
      <c r="AV191" s="23"/>
      <c r="AW191" s="23"/>
      <c r="AX191" s="23"/>
      <c r="AY191" s="23"/>
      <c r="AZ191" s="23"/>
      <c r="BA191" s="23"/>
      <c r="BB191" s="23"/>
      <c r="BC191" s="23"/>
      <c r="BD191" s="23"/>
      <c r="BE191" s="23"/>
      <c r="BF191" s="23"/>
      <c r="BG191" s="23"/>
      <c r="BH191" s="23"/>
      <c r="BI191" s="23"/>
      <c r="BJ191" s="23"/>
      <c r="BK191" s="23"/>
      <c r="BL191" s="23"/>
      <c r="BM191" s="23"/>
      <c r="BN191" s="23"/>
      <c r="BO191" s="23"/>
      <c r="BP191" s="23"/>
      <c r="BQ191" s="23"/>
      <c r="BR191" s="23"/>
      <c r="BS191" s="23"/>
      <c r="BT191" s="23"/>
    </row>
    <row r="192" spans="1:72">
      <c r="A192">
        <v>3</v>
      </c>
      <c r="B192" s="67">
        <v>2.5145223961394576E-2</v>
      </c>
      <c r="C192" s="25">
        <v>-9.6445256578346752E-2</v>
      </c>
      <c r="D192" s="25">
        <v>0.7514726700137544</v>
      </c>
      <c r="E192" s="25">
        <v>4.0888664216185658E-2</v>
      </c>
      <c r="F192" s="25">
        <v>3.1708132794471884E-2</v>
      </c>
      <c r="G192" s="25">
        <v>-1.451237683416377E-2</v>
      </c>
      <c r="H192" s="25">
        <v>-1.0527357356532253E-2</v>
      </c>
      <c r="I192" s="25">
        <v>4.0888610793637037E-2</v>
      </c>
      <c r="J192" s="25">
        <v>-0.17700290132975757</v>
      </c>
      <c r="K192" s="25">
        <v>-7.0464460536291268E-3</v>
      </c>
      <c r="L192" s="25">
        <v>-2.4168902350813388E-2</v>
      </c>
      <c r="M192" s="25">
        <v>2.5145186393083493E-2</v>
      </c>
      <c r="N192" s="25">
        <v>-3.9134983349880491E-3</v>
      </c>
      <c r="O192" s="25">
        <v>7.0041610829156111E-3</v>
      </c>
      <c r="P192" s="25">
        <v>1.8073236610641596E-3</v>
      </c>
      <c r="Q192" s="25">
        <v>6.3253868098833918E-3</v>
      </c>
      <c r="R192" s="25">
        <v>-3.1047277352109926E-2</v>
      </c>
      <c r="S192" s="25">
        <v>-1.3304156636339895E-2</v>
      </c>
      <c r="T192" s="25">
        <v>-0.17588554510780527</v>
      </c>
      <c r="U192" s="25">
        <v>-0.16968009327727721</v>
      </c>
      <c r="V192" s="25">
        <v>1.562749707860334E-2</v>
      </c>
      <c r="W192" s="25">
        <v>1.3536536008653312E-2</v>
      </c>
      <c r="X192" s="25">
        <v>3.2478501924136795E-2</v>
      </c>
      <c r="Y192" s="25">
        <v>-0.11091149358397311</v>
      </c>
      <c r="Z192" s="25">
        <v>4.6888438861815422E-2</v>
      </c>
      <c r="AA192" s="25">
        <v>2.3805197107642528E-3</v>
      </c>
      <c r="AB192" s="25">
        <v>1.6376259943086786E-2</v>
      </c>
      <c r="AC192" s="25">
        <v>5.5094321129637927E-2</v>
      </c>
      <c r="AD192" s="25">
        <v>0.10557878183471553</v>
      </c>
      <c r="AE192" s="25">
        <v>-0.18803984729517509</v>
      </c>
      <c r="AF192" s="25">
        <v>0.11134325647389882</v>
      </c>
      <c r="AG192" s="45">
        <v>1.9762941399467354E-2</v>
      </c>
      <c r="AI192" s="3" cm="1">
        <f t="array" ref="AI192">SQRT(INDEX(_xlfn.ANCHORARRAY($B$190),A192,A192))</f>
        <v>0.86687523324510452</v>
      </c>
      <c r="AJ192" s="23"/>
      <c r="AK192" s="3">
        <f t="shared" si="29"/>
        <v>0.80107817234763623</v>
      </c>
      <c r="AL192" s="105">
        <f t="shared" si="30"/>
        <v>0.10238688235570254</v>
      </c>
      <c r="AM192" s="108" t="str">
        <f t="shared" si="31"/>
        <v>Spełniony</v>
      </c>
      <c r="AN192" s="23"/>
      <c r="AO192" s="280" t="str">
        <f>IF(AP190&gt;AP191,"Warunek spełniony","NIESPEŁNIONY!")</f>
        <v>Warunek spełniony</v>
      </c>
      <c r="AP192" s="281"/>
      <c r="AQ192" s="23"/>
    </row>
    <row r="193" spans="1:43">
      <c r="A193">
        <v>4</v>
      </c>
      <c r="B193" s="67">
        <v>-5.5711029091542727E-2</v>
      </c>
      <c r="C193" s="25">
        <v>5.0989492643735979E-3</v>
      </c>
      <c r="D193" s="25">
        <v>4.0888664216185644E-2</v>
      </c>
      <c r="E193" s="25">
        <v>0.78241175797497897</v>
      </c>
      <c r="F193" s="25">
        <v>-5.7559771004522392E-2</v>
      </c>
      <c r="G193" s="25">
        <v>1.4365609085432718E-3</v>
      </c>
      <c r="H193" s="25">
        <v>-0.15284377414578154</v>
      </c>
      <c r="I193" s="25">
        <v>-0.21758795773795378</v>
      </c>
      <c r="J193" s="25">
        <v>-0.14351812113858367</v>
      </c>
      <c r="K193" s="25">
        <v>3.3809428378350048E-2</v>
      </c>
      <c r="L193" s="25">
        <v>5.4420354358936787E-2</v>
      </c>
      <c r="M193" s="25">
        <v>-5.5710945856282126E-2</v>
      </c>
      <c r="N193" s="25">
        <v>-1.2232790217284684E-2</v>
      </c>
      <c r="O193" s="25">
        <v>-1.7094937458372039E-2</v>
      </c>
      <c r="P193" s="25">
        <v>6.9751472675833037E-4</v>
      </c>
      <c r="Q193" s="25">
        <v>5.4375837793630005E-3</v>
      </c>
      <c r="R193" s="25">
        <v>-3.2867068410814097E-3</v>
      </c>
      <c r="S193" s="25">
        <v>-1.9664805343708472E-2</v>
      </c>
      <c r="T193" s="25">
        <v>-1.0507488046316169E-2</v>
      </c>
      <c r="U193" s="25">
        <v>3.6077250996883942E-2</v>
      </c>
      <c r="V193" s="25">
        <v>1.5662871158552194E-2</v>
      </c>
      <c r="W193" s="25">
        <v>3.2878725227992511E-2</v>
      </c>
      <c r="X193" s="25">
        <v>3.4991088917147542E-2</v>
      </c>
      <c r="Y193" s="25">
        <v>5.1393950238650579E-2</v>
      </c>
      <c r="Z193" s="25">
        <v>-0.20553597678634744</v>
      </c>
      <c r="AA193" s="25">
        <v>7.0609341244004614E-2</v>
      </c>
      <c r="AB193" s="25">
        <v>-6.2547747775596546E-2</v>
      </c>
      <c r="AC193" s="25">
        <v>-3.1808986976565236E-2</v>
      </c>
      <c r="AD193" s="25">
        <v>-1.6978084199756459E-2</v>
      </c>
      <c r="AE193" s="25">
        <v>3.2196620368209902E-2</v>
      </c>
      <c r="AF193" s="25">
        <v>-5.0125935394006269E-2</v>
      </c>
      <c r="AG193" s="45">
        <v>1.2229241617681342E-2</v>
      </c>
      <c r="AI193" s="3" cm="1">
        <f t="array" ref="AI193">SQRT(INDEX(_xlfn.ANCHORARRAY($B$190),A193,A193))</f>
        <v>0.88454042189997117</v>
      </c>
      <c r="AJ193" s="23"/>
      <c r="AK193" s="3">
        <f t="shared" si="29"/>
        <v>0.81740254810450552</v>
      </c>
      <c r="AL193" s="105">
        <f t="shared" si="30"/>
        <v>0.14323244107228619</v>
      </c>
      <c r="AM193" s="108" t="str">
        <f t="shared" si="31"/>
        <v>Spełniony</v>
      </c>
      <c r="AN193" s="23"/>
      <c r="AO193" s="23"/>
      <c r="AP193" s="23"/>
      <c r="AQ193" s="23"/>
    </row>
    <row r="194" spans="1:43">
      <c r="A194">
        <v>5</v>
      </c>
      <c r="B194" s="67">
        <v>-7.2598954586878428E-2</v>
      </c>
      <c r="C194" s="25">
        <v>-3.1228702231296122E-2</v>
      </c>
      <c r="D194" s="25">
        <v>3.1708132794471912E-2</v>
      </c>
      <c r="E194" s="25">
        <v>-5.755977100452235E-2</v>
      </c>
      <c r="F194" s="25">
        <v>0.81220270519362869</v>
      </c>
      <c r="G194" s="25">
        <v>-2.4364516320575166E-4</v>
      </c>
      <c r="H194" s="25">
        <v>-2.4501523257525203E-2</v>
      </c>
      <c r="I194" s="25">
        <v>-5.7559695800557517E-2</v>
      </c>
      <c r="J194" s="25">
        <v>-5.0688987796916947E-2</v>
      </c>
      <c r="K194" s="25">
        <v>3.8692117289562421E-2</v>
      </c>
      <c r="L194" s="25">
        <v>7.5898566660941802E-2</v>
      </c>
      <c r="M194" s="25">
        <v>-7.2598846120152716E-2</v>
      </c>
      <c r="N194" s="25">
        <v>-7.0979706374456164E-2</v>
      </c>
      <c r="O194" s="25">
        <v>3.2631778084408106E-2</v>
      </c>
      <c r="P194" s="25">
        <v>-4.3559553066843663E-2</v>
      </c>
      <c r="Q194" s="25">
        <v>-3.7850421393767139E-2</v>
      </c>
      <c r="R194" s="25">
        <v>-7.7850937276030915E-2</v>
      </c>
      <c r="S194" s="25">
        <v>-4.5086240218582756E-2</v>
      </c>
      <c r="T194" s="25">
        <v>-0.11957782970307201</v>
      </c>
      <c r="U194" s="25">
        <v>-7.9061122569618648E-3</v>
      </c>
      <c r="V194" s="25">
        <v>-0.11173607098958041</v>
      </c>
      <c r="W194" s="25">
        <v>-4.1667921164782143E-2</v>
      </c>
      <c r="X194" s="25">
        <v>3.2832100713948473E-2</v>
      </c>
      <c r="Y194" s="25">
        <v>9.1028619532276561E-2</v>
      </c>
      <c r="Z194" s="25">
        <v>7.0375187796777261E-2</v>
      </c>
      <c r="AA194" s="25">
        <v>-4.0831915888639721E-2</v>
      </c>
      <c r="AB194" s="25">
        <v>0.10230803059559519</v>
      </c>
      <c r="AC194" s="25">
        <v>-7.8326267150415352E-2</v>
      </c>
      <c r="AD194" s="25">
        <v>6.3380586994575827E-3</v>
      </c>
      <c r="AE194" s="25">
        <v>9.7800324358733218E-2</v>
      </c>
      <c r="AF194" s="25">
        <v>-0.16543661845254165</v>
      </c>
      <c r="AG194" s="45">
        <v>8.5349249445453371E-2</v>
      </c>
      <c r="AI194" s="3" cm="1">
        <f t="array" ref="AI194">SQRT(INDEX(_xlfn.ANCHORARRAY($B$190),A194,A194))</f>
        <v>0.90122289429065694</v>
      </c>
      <c r="AJ194" s="23"/>
      <c r="AK194" s="3">
        <f t="shared" si="29"/>
        <v>0.83281879715679774</v>
      </c>
      <c r="AL194" s="105">
        <f t="shared" si="30"/>
        <v>0.4622180647681759</v>
      </c>
      <c r="AM194" s="108" t="str">
        <f t="shared" si="31"/>
        <v>Spełniony</v>
      </c>
      <c r="AN194" s="23"/>
      <c r="AO194" s="23"/>
      <c r="AP194" s="23"/>
      <c r="AQ194" s="23"/>
    </row>
    <row r="195" spans="1:43">
      <c r="A195">
        <v>6</v>
      </c>
      <c r="B195" s="67">
        <v>-0.12860488592728334</v>
      </c>
      <c r="C195" s="25">
        <v>-1.7181511233458333E-2</v>
      </c>
      <c r="D195" s="25">
        <v>-1.4512376834163773E-2</v>
      </c>
      <c r="E195" s="25">
        <v>1.4365609085432371E-3</v>
      </c>
      <c r="F195" s="25">
        <v>-2.4364516320590085E-4</v>
      </c>
      <c r="G195" s="25">
        <v>0.69503973777159656</v>
      </c>
      <c r="H195" s="25">
        <v>-0.20911173452293169</v>
      </c>
      <c r="I195" s="25">
        <v>1.4365590316233537E-3</v>
      </c>
      <c r="J195" s="25">
        <v>2.3245237133629738E-2</v>
      </c>
      <c r="K195" s="25">
        <v>-4.4722970373039628E-2</v>
      </c>
      <c r="L195" s="25">
        <v>-0.10742108410420695</v>
      </c>
      <c r="M195" s="25">
        <v>-0.12860469378469722</v>
      </c>
      <c r="N195" s="25">
        <v>2.6193980892579405E-2</v>
      </c>
      <c r="O195" s="25">
        <v>8.4678518282021217E-3</v>
      </c>
      <c r="P195" s="25">
        <v>2.0883528001205742E-2</v>
      </c>
      <c r="Q195" s="25">
        <v>1.8471674423889851E-2</v>
      </c>
      <c r="R195" s="25">
        <v>2.6960448993693514E-3</v>
      </c>
      <c r="S195" s="25">
        <v>-7.4295106480821715E-3</v>
      </c>
      <c r="T195" s="25">
        <v>3.620916405079902E-3</v>
      </c>
      <c r="U195" s="25">
        <v>2.9658086456110698E-2</v>
      </c>
      <c r="V195" s="25">
        <v>7.7886042105369868E-2</v>
      </c>
      <c r="W195" s="25">
        <v>3.7804994771343886E-2</v>
      </c>
      <c r="X195" s="25">
        <v>3.1223752105135963E-2</v>
      </c>
      <c r="Y195" s="25">
        <v>-1.5347671626865317E-2</v>
      </c>
      <c r="Z195" s="25">
        <v>0.13340098013922747</v>
      </c>
      <c r="AA195" s="25">
        <v>-0.26496809749421191</v>
      </c>
      <c r="AB195" s="25">
        <v>-0.13402833715725837</v>
      </c>
      <c r="AC195" s="25">
        <v>-3.4993143734999586E-2</v>
      </c>
      <c r="AD195" s="25">
        <v>1.249842069812733E-3</v>
      </c>
      <c r="AE195" s="25">
        <v>-4.3483204646852257E-2</v>
      </c>
      <c r="AF195" s="25">
        <v>1.4664953617848845E-2</v>
      </c>
      <c r="AG195" s="45">
        <v>-8.2415485793312458E-3</v>
      </c>
      <c r="AI195" s="3" cm="1">
        <f t="array" ref="AI195">SQRT(INDEX(_xlfn.ANCHORARRAY($B$190),A195,A195))</f>
        <v>0.83369043281759958</v>
      </c>
      <c r="AJ195" s="23"/>
      <c r="AK195" s="3">
        <f t="shared" si="29"/>
        <v>0.7704121453847107</v>
      </c>
      <c r="AL195" s="105">
        <f t="shared" si="30"/>
        <v>1.9130191394448202</v>
      </c>
      <c r="AM195" s="108" t="str">
        <f t="shared" si="31"/>
        <v>Spełniony</v>
      </c>
      <c r="AN195" s="23"/>
      <c r="AO195" s="23"/>
      <c r="AP195" s="23"/>
      <c r="AQ195" s="23"/>
    </row>
    <row r="196" spans="1:43">
      <c r="A196">
        <v>7</v>
      </c>
      <c r="B196" s="67">
        <v>5.7209189673448402E-2</v>
      </c>
      <c r="C196" s="25">
        <v>-5.4257313940119359E-2</v>
      </c>
      <c r="D196" s="25">
        <v>-1.0527357356532208E-2</v>
      </c>
      <c r="E196" s="25">
        <v>-0.15284377414578165</v>
      </c>
      <c r="F196" s="25">
        <v>-2.4501523257525332E-2</v>
      </c>
      <c r="G196" s="25">
        <v>-0.20911173452293161</v>
      </c>
      <c r="H196" s="25">
        <v>0.44800295361623932</v>
      </c>
      <c r="I196" s="25">
        <v>-0.15284357444975077</v>
      </c>
      <c r="J196" s="25">
        <v>-6.9784872785447885E-2</v>
      </c>
      <c r="K196" s="25">
        <v>4.8858649567717904E-4</v>
      </c>
      <c r="L196" s="25">
        <v>1.5293336827921056E-2</v>
      </c>
      <c r="M196" s="25">
        <v>5.7209104199855323E-2</v>
      </c>
      <c r="N196" s="25">
        <v>-5.168871660555574E-3</v>
      </c>
      <c r="O196" s="25">
        <v>5.4217781864456457E-3</v>
      </c>
      <c r="P196" s="25">
        <v>-6.9636412207840781E-3</v>
      </c>
      <c r="Q196" s="25">
        <v>2.4099252778867347E-3</v>
      </c>
      <c r="R196" s="25">
        <v>-4.9375701809351275E-2</v>
      </c>
      <c r="S196" s="25">
        <v>1.6926656380652244E-2</v>
      </c>
      <c r="T196" s="25">
        <v>2.5370396987786925E-2</v>
      </c>
      <c r="U196" s="25">
        <v>5.5112447298938494E-2</v>
      </c>
      <c r="V196" s="25">
        <v>-3.9902939440467078E-2</v>
      </c>
      <c r="W196" s="25">
        <v>-3.3377865928935879E-2</v>
      </c>
      <c r="X196" s="25">
        <v>-9.4851257174397574E-3</v>
      </c>
      <c r="Y196" s="25">
        <v>-8.2855599490751858E-2</v>
      </c>
      <c r="Z196" s="25">
        <v>0.12157084355110316</v>
      </c>
      <c r="AA196" s="25">
        <v>4.4050687026491175E-2</v>
      </c>
      <c r="AB196" s="25">
        <v>-0.29516476633235456</v>
      </c>
      <c r="AC196" s="25">
        <v>-0.13498676667465748</v>
      </c>
      <c r="AD196" s="25">
        <v>2.2560565015294534E-2</v>
      </c>
      <c r="AE196" s="25">
        <v>-2.8769850994326482E-2</v>
      </c>
      <c r="AF196" s="25">
        <v>-4.2221026929326666E-2</v>
      </c>
      <c r="AG196" s="45">
        <v>1.346156718990793E-2</v>
      </c>
      <c r="AI196" s="3" cm="1">
        <f t="array" ref="AI196">SQRT(INDEX(_xlfn.ANCHORARRAY($B$190),A196,A196))</f>
        <v>0.66933022762776773</v>
      </c>
      <c r="AJ196" s="23"/>
      <c r="AK196" s="3">
        <f t="shared" si="29"/>
        <v>0.61852711310933917</v>
      </c>
      <c r="AL196" s="105">
        <f t="shared" si="30"/>
        <v>3.3437672634861501E-3</v>
      </c>
      <c r="AM196" s="108" t="str">
        <f t="shared" si="31"/>
        <v>Spełniony</v>
      </c>
      <c r="AN196" s="23"/>
      <c r="AO196" s="23"/>
      <c r="AP196" s="23"/>
      <c r="AQ196" s="23"/>
    </row>
    <row r="197" spans="1:43">
      <c r="A197">
        <v>8</v>
      </c>
      <c r="B197" s="67">
        <v>-5.5710956303027442E-2</v>
      </c>
      <c r="C197" s="25">
        <v>5.0989426024082365E-3</v>
      </c>
      <c r="D197" s="25">
        <v>4.088861079363703E-2</v>
      </c>
      <c r="E197" s="25">
        <v>-0.21758795773795381</v>
      </c>
      <c r="F197" s="25">
        <v>-5.7559695800557586E-2</v>
      </c>
      <c r="G197" s="25">
        <v>1.4365590316234023E-3</v>
      </c>
      <c r="H197" s="25">
        <v>-0.15284357444975072</v>
      </c>
      <c r="I197" s="25">
        <v>0.78241232654874215</v>
      </c>
      <c r="J197" s="25">
        <v>-0.14351793362686249</v>
      </c>
      <c r="K197" s="25">
        <v>3.380938420508417E-2</v>
      </c>
      <c r="L197" s="25">
        <v>5.4420283256735646E-2</v>
      </c>
      <c r="M197" s="25">
        <v>-5.5710873067875588E-2</v>
      </c>
      <c r="N197" s="25">
        <v>-1.2232774234692878E-2</v>
      </c>
      <c r="O197" s="25">
        <v>-1.7094915123205393E-2</v>
      </c>
      <c r="P197" s="25">
        <v>6.9751381542965118E-4</v>
      </c>
      <c r="Q197" s="25">
        <v>5.4375766749591437E-3</v>
      </c>
      <c r="R197" s="25">
        <v>-3.2867025468776186E-3</v>
      </c>
      <c r="S197" s="25">
        <v>-1.9664779650914635E-2</v>
      </c>
      <c r="T197" s="25">
        <v>-1.050747431789531E-2</v>
      </c>
      <c r="U197" s="25">
        <v>3.6077203860624255E-2</v>
      </c>
      <c r="V197" s="25">
        <v>1.5662850694432906E-2</v>
      </c>
      <c r="W197" s="25">
        <v>3.2878682270724824E-2</v>
      </c>
      <c r="X197" s="25">
        <v>3.499104319999867E-2</v>
      </c>
      <c r="Y197" s="25">
        <v>5.139388309055816E-2</v>
      </c>
      <c r="Z197" s="25">
        <v>-0.20553570824600931</v>
      </c>
      <c r="AA197" s="25">
        <v>7.0609248990294776E-2</v>
      </c>
      <c r="AB197" s="25">
        <v>-6.2547666054656129E-2</v>
      </c>
      <c r="AC197" s="25">
        <v>-3.180894541695E-2</v>
      </c>
      <c r="AD197" s="25">
        <v>-1.697806201726295E-2</v>
      </c>
      <c r="AE197" s="25">
        <v>3.2196578302137291E-2</v>
      </c>
      <c r="AF197" s="25">
        <v>-5.0125869902622008E-2</v>
      </c>
      <c r="AG197" s="45">
        <v>1.2229225639725937E-2</v>
      </c>
      <c r="AI197" s="3" cm="1">
        <f t="array" ref="AI197">SQRT(INDEX(_xlfn.ANCHORARRAY($B$190),A197,A197))</f>
        <v>0.88454074329492716</v>
      </c>
      <c r="AJ197" s="23"/>
      <c r="AK197" s="3">
        <f t="shared" si="29"/>
        <v>0.81740284510512806</v>
      </c>
      <c r="AL197" s="105">
        <f t="shared" si="30"/>
        <v>1.4551680338104911</v>
      </c>
      <c r="AM197" s="108" t="str">
        <f t="shared" si="31"/>
        <v>Spełniony</v>
      </c>
      <c r="AN197" s="23"/>
      <c r="AO197" s="23"/>
      <c r="AP197" s="23"/>
      <c r="AQ197" s="23"/>
    </row>
    <row r="198" spans="1:43">
      <c r="A198">
        <v>9</v>
      </c>
      <c r="B198" s="67">
        <v>-4.5375592248927177E-2</v>
      </c>
      <c r="C198" s="25">
        <v>-0.1013640240773068</v>
      </c>
      <c r="D198" s="25">
        <v>-0.17700290132975754</v>
      </c>
      <c r="E198" s="25">
        <v>-0.14351812113858364</v>
      </c>
      <c r="F198" s="25">
        <v>-5.0688987796916982E-2</v>
      </c>
      <c r="G198" s="25">
        <v>2.324523713362979E-2</v>
      </c>
      <c r="H198" s="25">
        <v>-6.978487278544783E-2</v>
      </c>
      <c r="I198" s="25">
        <v>-0.14351793362686247</v>
      </c>
      <c r="J198" s="25">
        <v>0.70210497175876285</v>
      </c>
      <c r="K198" s="25">
        <v>2.8149626614159456E-2</v>
      </c>
      <c r="L198" s="25">
        <v>3.3518785459383617E-2</v>
      </c>
      <c r="M198" s="25">
        <v>-4.5375524455362623E-2</v>
      </c>
      <c r="N198" s="25">
        <v>-1.6133310730986672E-2</v>
      </c>
      <c r="O198" s="25">
        <v>-1.1375102680091185E-2</v>
      </c>
      <c r="P198" s="25">
        <v>3.2489012665392197E-3</v>
      </c>
      <c r="Q198" s="25">
        <v>1.59815891727959E-2</v>
      </c>
      <c r="R198" s="25">
        <v>-4.8642925008163612E-2</v>
      </c>
      <c r="S198" s="25">
        <v>-3.0963576024931206E-2</v>
      </c>
      <c r="T198" s="25">
        <v>-0.15957153608250602</v>
      </c>
      <c r="U198" s="25">
        <v>-8.2692745626762557E-2</v>
      </c>
      <c r="V198" s="25">
        <v>3.1007216103653423E-2</v>
      </c>
      <c r="W198" s="25">
        <v>4.6193240061393373E-2</v>
      </c>
      <c r="X198" s="25">
        <v>7.302695765798059E-2</v>
      </c>
      <c r="Y198" s="25">
        <v>-6.7619727363402243E-2</v>
      </c>
      <c r="Z198" s="25">
        <v>-0.14506297354320785</v>
      </c>
      <c r="AA198" s="25">
        <v>6.2455287083582708E-2</v>
      </c>
      <c r="AB198" s="25">
        <v>8.2188016544886014E-2</v>
      </c>
      <c r="AC198" s="25">
        <v>-4.3019553471066715E-2</v>
      </c>
      <c r="AD198" s="25">
        <v>8.1304283303928845E-2</v>
      </c>
      <c r="AE198" s="25">
        <v>-0.14481501504326094</v>
      </c>
      <c r="AF198" s="25">
        <v>2.5197265364341574E-2</v>
      </c>
      <c r="AG198" s="45">
        <v>3.5946242710450806E-2</v>
      </c>
      <c r="AI198" s="3" cm="1">
        <f t="array" ref="AI198">SQRT(INDEX(_xlfn.ANCHORARRAY($B$190),A198,A198))</f>
        <v>0.83791704348268436</v>
      </c>
      <c r="AJ198" s="23"/>
      <c r="AK198" s="3">
        <f t="shared" si="29"/>
        <v>0.77431795029983841</v>
      </c>
      <c r="AL198" s="105">
        <f t="shared" si="30"/>
        <v>0.88167354285834698</v>
      </c>
      <c r="AM198" s="108" t="str">
        <f t="shared" si="31"/>
        <v>Spełniony</v>
      </c>
      <c r="AN198" s="23"/>
      <c r="AO198" s="23"/>
      <c r="AP198" s="23"/>
      <c r="AQ198" s="23"/>
    </row>
    <row r="199" spans="1:43">
      <c r="A199">
        <v>10</v>
      </c>
      <c r="B199" s="67">
        <v>-9.2835979198405097E-2</v>
      </c>
      <c r="C199" s="25">
        <v>9.611030275552504E-3</v>
      </c>
      <c r="D199" s="25">
        <v>-7.0464460536291112E-3</v>
      </c>
      <c r="E199" s="25">
        <v>3.3809428378350062E-2</v>
      </c>
      <c r="F199" s="25">
        <v>3.8692117289562435E-2</v>
      </c>
      <c r="G199" s="25">
        <v>-4.4722970373039711E-2</v>
      </c>
      <c r="H199" s="25">
        <v>4.8858649567736553E-4</v>
      </c>
      <c r="I199" s="25">
        <v>3.3809384205084302E-2</v>
      </c>
      <c r="J199" s="25">
        <v>2.8149626614159495E-2</v>
      </c>
      <c r="K199" s="25">
        <v>0.53223441247542169</v>
      </c>
      <c r="L199" s="25">
        <v>-0.24104000207500301</v>
      </c>
      <c r="M199" s="25">
        <v>-9.2835840496480873E-2</v>
      </c>
      <c r="N199" s="25">
        <v>-0.11749319579297113</v>
      </c>
      <c r="O199" s="25">
        <v>-0.30045342774525141</v>
      </c>
      <c r="P199" s="25">
        <v>-3.6027662320870395E-2</v>
      </c>
      <c r="Q199" s="25">
        <v>3.6656322264936397E-2</v>
      </c>
      <c r="R199" s="25">
        <v>2.9758498502098978E-2</v>
      </c>
      <c r="S199" s="25">
        <v>3.1804047541219314E-2</v>
      </c>
      <c r="T199" s="25">
        <v>2.9853105984760729E-2</v>
      </c>
      <c r="U199" s="25">
        <v>-9.4194947351104279E-3</v>
      </c>
      <c r="V199" s="25">
        <v>-0.18636068770851841</v>
      </c>
      <c r="W199" s="25">
        <v>8.1946124763595418E-2</v>
      </c>
      <c r="X199" s="25">
        <v>6.9645390329387789E-3</v>
      </c>
      <c r="Y199" s="25">
        <v>-3.687680048761055E-2</v>
      </c>
      <c r="Z199" s="25">
        <v>2.3276578237856185E-2</v>
      </c>
      <c r="AA199" s="25">
        <v>0.1110502461617386</v>
      </c>
      <c r="AB199" s="25">
        <v>-1.5503003830108478E-2</v>
      </c>
      <c r="AC199" s="25">
        <v>2.6508214634453717E-3</v>
      </c>
      <c r="AD199" s="25">
        <v>2.4579881662974111E-2</v>
      </c>
      <c r="AE199" s="25">
        <v>-1.199121594826961E-2</v>
      </c>
      <c r="AF199" s="25">
        <v>4.08055644569927E-3</v>
      </c>
      <c r="AG199" s="45">
        <v>-2.3878893731127091E-2</v>
      </c>
      <c r="AI199" s="3" cm="1">
        <f t="array" ref="AI199">SQRT(INDEX(_xlfn.ANCHORARRAY($B$190),A199,A199))</f>
        <v>0.729543975696751</v>
      </c>
      <c r="AJ199" s="23"/>
      <c r="AK199" s="3">
        <f t="shared" si="29"/>
        <v>0.67417055221502609</v>
      </c>
      <c r="AL199" s="105">
        <f t="shared" si="30"/>
        <v>0.18144409678913806</v>
      </c>
      <c r="AM199" s="108" t="str">
        <f t="shared" si="31"/>
        <v>Spełniony</v>
      </c>
      <c r="AN199" s="23"/>
      <c r="AO199" s="23"/>
      <c r="AP199" s="23"/>
      <c r="AQ199" s="23"/>
    </row>
    <row r="200" spans="1:43">
      <c r="A200">
        <v>11</v>
      </c>
      <c r="B200" s="67">
        <v>-0.2083672033197031</v>
      </c>
      <c r="C200" s="25">
        <v>-5.6951379289852354E-3</v>
      </c>
      <c r="D200" s="25">
        <v>-2.4168902350813364E-2</v>
      </c>
      <c r="E200" s="25">
        <v>5.4420354358936759E-2</v>
      </c>
      <c r="F200" s="25">
        <v>7.5898566660941774E-2</v>
      </c>
      <c r="G200" s="25">
        <v>-0.10742108410420695</v>
      </c>
      <c r="H200" s="25">
        <v>1.529333682792099E-2</v>
      </c>
      <c r="I200" s="25">
        <v>5.4420283256735653E-2</v>
      </c>
      <c r="J200" s="25">
        <v>3.3518785459383645E-2</v>
      </c>
      <c r="K200" s="25">
        <v>-0.24104000207500295</v>
      </c>
      <c r="L200" s="25">
        <v>0.52964631255064609</v>
      </c>
      <c r="M200" s="25">
        <v>-0.20836689200794339</v>
      </c>
      <c r="N200" s="25">
        <v>6.3815913623576123E-2</v>
      </c>
      <c r="O200" s="25">
        <v>0.13079501119591302</v>
      </c>
      <c r="P200" s="25">
        <v>1.206533178943224E-2</v>
      </c>
      <c r="Q200" s="25">
        <v>-1.9907990167498873E-2</v>
      </c>
      <c r="R200" s="25">
        <v>-6.9693182407154644E-3</v>
      </c>
      <c r="S200" s="25">
        <v>2.8033094353982106E-2</v>
      </c>
      <c r="T200" s="25">
        <v>4.7373649130423398E-2</v>
      </c>
      <c r="U200" s="25">
        <v>-1.2200560687870515E-2</v>
      </c>
      <c r="V200" s="25">
        <v>3.5518917829258916E-2</v>
      </c>
      <c r="W200" s="25">
        <v>-8.7817476383006493E-2</v>
      </c>
      <c r="X200" s="25">
        <v>-6.6574845029766697E-2</v>
      </c>
      <c r="Y200" s="25">
        <v>-7.2395112690400568E-2</v>
      </c>
      <c r="Z200" s="25">
        <v>1.7751734960046912E-2</v>
      </c>
      <c r="AA200" s="25">
        <v>0.17351678131386791</v>
      </c>
      <c r="AB200" s="25">
        <v>-2.1068124754105612E-2</v>
      </c>
      <c r="AC200" s="25">
        <v>1.3837523869852545E-2</v>
      </c>
      <c r="AD200" s="25">
        <v>5.0264570014402956E-3</v>
      </c>
      <c r="AE200" s="25">
        <v>-2.6509766918873787E-2</v>
      </c>
      <c r="AF200" s="25">
        <v>5.7992645260746108E-2</v>
      </c>
      <c r="AG200" s="45">
        <v>-1.5634494023554067E-2</v>
      </c>
      <c r="AI200" s="3" cm="1">
        <f t="array" ref="AI200">SQRT(INDEX(_xlfn.ANCHORARRAY($B$190),A200,A200))</f>
        <v>0.72776803485083497</v>
      </c>
      <c r="AJ200" s="23"/>
      <c r="AK200" s="3">
        <f t="shared" si="29"/>
        <v>0.67252940780060066</v>
      </c>
      <c r="AL200" s="105">
        <f t="shared" si="30"/>
        <v>1.668766762707494</v>
      </c>
      <c r="AM200" s="108" t="str">
        <f t="shared" si="31"/>
        <v>Spełniony</v>
      </c>
      <c r="AN200" s="23"/>
      <c r="AO200" s="23"/>
      <c r="AP200" s="23"/>
      <c r="AQ200" s="23"/>
    </row>
    <row r="201" spans="1:43">
      <c r="A201">
        <v>12</v>
      </c>
      <c r="B201" s="67">
        <v>-0.26551492848127228</v>
      </c>
      <c r="C201" s="25">
        <v>4.5866493761361794E-3</v>
      </c>
      <c r="D201" s="25">
        <v>2.5145186393083507E-2</v>
      </c>
      <c r="E201" s="25">
        <v>-5.5710945856282099E-2</v>
      </c>
      <c r="F201" s="25">
        <v>-7.2598846120152744E-2</v>
      </c>
      <c r="G201" s="25">
        <v>-0.12860469378469724</v>
      </c>
      <c r="H201" s="25">
        <v>5.7209104199855351E-2</v>
      </c>
      <c r="I201" s="25">
        <v>-5.5710873067875553E-2</v>
      </c>
      <c r="J201" s="25">
        <v>-4.5375524455362581E-2</v>
      </c>
      <c r="K201" s="25">
        <v>-9.2835840496480665E-2</v>
      </c>
      <c r="L201" s="25">
        <v>-0.20836689200794337</v>
      </c>
      <c r="M201" s="25">
        <v>0.73448546821224892</v>
      </c>
      <c r="N201" s="25">
        <v>7.8160980646258017E-3</v>
      </c>
      <c r="O201" s="25">
        <v>6.1532880938435709E-2</v>
      </c>
      <c r="P201" s="25">
        <v>3.4225532115668839E-3</v>
      </c>
      <c r="Q201" s="25">
        <v>-1.1114200682525336E-2</v>
      </c>
      <c r="R201" s="25">
        <v>-1.140147776028266E-2</v>
      </c>
      <c r="S201" s="25">
        <v>-3.3466138235629841E-2</v>
      </c>
      <c r="T201" s="25">
        <v>-4.9486478396102408E-2</v>
      </c>
      <c r="U201" s="25">
        <v>3.6789896700686036E-3</v>
      </c>
      <c r="V201" s="25">
        <v>4.6189235948227936E-2</v>
      </c>
      <c r="W201" s="25">
        <v>6.3655616023561012E-3</v>
      </c>
      <c r="X201" s="25">
        <v>3.2467623150169905E-2</v>
      </c>
      <c r="Y201" s="25">
        <v>7.430500724277686E-2</v>
      </c>
      <c r="Z201" s="25">
        <v>-6.777490799358632E-2</v>
      </c>
      <c r="AA201" s="25">
        <v>-9.1552519949944469E-2</v>
      </c>
      <c r="AB201" s="25">
        <v>6.6268828966478718E-2</v>
      </c>
      <c r="AC201" s="25">
        <v>4.1566345734919338E-4</v>
      </c>
      <c r="AD201" s="25">
        <v>-1.6586831568489672E-2</v>
      </c>
      <c r="AE201" s="25">
        <v>3.8755517458339411E-2</v>
      </c>
      <c r="AF201" s="25">
        <v>-4.7150455818767797E-2</v>
      </c>
      <c r="AG201" s="45">
        <v>2.5867322653608259E-2</v>
      </c>
      <c r="AI201" s="3" cm="1">
        <f t="array" ref="AI201">SQRT(INDEX(_xlfn.ANCHORARRAY($B$190),A201,A201))</f>
        <v>0.85702127640581305</v>
      </c>
      <c r="AJ201" s="23"/>
      <c r="AK201" s="3">
        <f t="shared" si="29"/>
        <v>0.79197214482201173</v>
      </c>
      <c r="AL201" s="105">
        <f t="shared" si="30"/>
        <v>0.48537265495623333</v>
      </c>
      <c r="AM201" s="108" t="str">
        <f t="shared" si="31"/>
        <v>Spełniony</v>
      </c>
      <c r="AN201" s="23"/>
      <c r="AO201" s="23"/>
      <c r="AP201" s="23"/>
      <c r="AQ201" s="23"/>
    </row>
    <row r="202" spans="1:43">
      <c r="A202">
        <v>13</v>
      </c>
      <c r="B202" s="67">
        <v>7.81610974231234E-3</v>
      </c>
      <c r="C202" s="25">
        <v>-3.2587542391212865E-2</v>
      </c>
      <c r="D202" s="25">
        <v>-3.9134983349880473E-3</v>
      </c>
      <c r="E202" s="25">
        <v>-1.2232790217284659E-2</v>
      </c>
      <c r="F202" s="25">
        <v>-7.097970637445622E-2</v>
      </c>
      <c r="G202" s="25">
        <v>2.6193980892579606E-2</v>
      </c>
      <c r="H202" s="25">
        <v>-5.1688716605554248E-3</v>
      </c>
      <c r="I202" s="25">
        <v>-1.2232774234692854E-2</v>
      </c>
      <c r="J202" s="25">
        <v>-1.6133310730986644E-2</v>
      </c>
      <c r="K202" s="25">
        <v>-0.11749319579297134</v>
      </c>
      <c r="L202" s="25">
        <v>6.3815913623576123E-2</v>
      </c>
      <c r="M202" s="25">
        <v>7.8160980646258538E-3</v>
      </c>
      <c r="N202" s="25">
        <v>0.64858675953568867</v>
      </c>
      <c r="O202" s="25">
        <v>-0.25835200255510177</v>
      </c>
      <c r="P202" s="25">
        <v>-0.19948857783851479</v>
      </c>
      <c r="Q202" s="25">
        <v>-0.12538725810923934</v>
      </c>
      <c r="R202" s="25">
        <v>-5.9217225391996975E-2</v>
      </c>
      <c r="S202" s="25">
        <v>-4.5568951247791346E-2</v>
      </c>
      <c r="T202" s="25">
        <v>-7.4482089190183273E-2</v>
      </c>
      <c r="U202" s="25">
        <v>3.2953034539100791E-2</v>
      </c>
      <c r="V202" s="25">
        <v>6.3453505169733748E-2</v>
      </c>
      <c r="W202" s="25">
        <v>-0.12834772218954188</v>
      </c>
      <c r="X202" s="25">
        <v>-6.1836772414213717E-2</v>
      </c>
      <c r="Y202" s="25">
        <v>8.9907630323771706E-2</v>
      </c>
      <c r="Z202" s="25">
        <v>3.9186652751371814E-2</v>
      </c>
      <c r="AA202" s="25">
        <v>-2.3632936411217137E-3</v>
      </c>
      <c r="AB202" s="25">
        <v>7.5946182017719846E-3</v>
      </c>
      <c r="AC202" s="25">
        <v>1.2837846433232117E-2</v>
      </c>
      <c r="AD202" s="25">
        <v>-8.2305825815446654E-2</v>
      </c>
      <c r="AE202" s="25">
        <v>-1.2598692027296337E-2</v>
      </c>
      <c r="AF202" s="25">
        <v>5.1910758627491713E-2</v>
      </c>
      <c r="AG202" s="45">
        <v>0.15574578324700875</v>
      </c>
      <c r="AI202" s="3" cm="1">
        <f t="array" ref="AI202">SQRT(INDEX(_xlfn.ANCHORARRAY($B$190),A202,A202))</f>
        <v>0.80534884338135648</v>
      </c>
      <c r="AJ202" s="23"/>
      <c r="AK202" s="3">
        <f t="shared" si="29"/>
        <v>0.74422172282295174</v>
      </c>
      <c r="AL202" s="105">
        <f t="shared" si="30"/>
        <v>9.8493896223200497E-2</v>
      </c>
      <c r="AM202" s="108" t="str">
        <f t="shared" si="31"/>
        <v>Spełniony</v>
      </c>
      <c r="AN202" s="23"/>
      <c r="AO202" s="23"/>
      <c r="AP202" s="23"/>
      <c r="AQ202" s="23"/>
    </row>
    <row r="203" spans="1:43">
      <c r="A203">
        <v>14</v>
      </c>
      <c r="B203" s="67">
        <v>6.153297287199222E-2</v>
      </c>
      <c r="C203" s="25">
        <v>1.6530668118390841E-2</v>
      </c>
      <c r="D203" s="25">
        <v>7.0041610829155772E-3</v>
      </c>
      <c r="E203" s="25">
        <v>-1.7094937458371991E-2</v>
      </c>
      <c r="F203" s="25">
        <v>3.2631778084407981E-2</v>
      </c>
      <c r="G203" s="25">
        <v>8.4678518282021095E-3</v>
      </c>
      <c r="H203" s="25">
        <v>5.4217781864457255E-3</v>
      </c>
      <c r="I203" s="25">
        <v>-1.7094915123205379E-2</v>
      </c>
      <c r="J203" s="25">
        <v>-1.1375102680091162E-2</v>
      </c>
      <c r="K203" s="25">
        <v>-0.30045342774525141</v>
      </c>
      <c r="L203" s="25">
        <v>0.13079501119591297</v>
      </c>
      <c r="M203" s="25">
        <v>6.1532880938435675E-2</v>
      </c>
      <c r="N203" s="25">
        <v>-0.25835200255510193</v>
      </c>
      <c r="O203" s="25">
        <v>0.41703162364852964</v>
      </c>
      <c r="P203" s="25">
        <v>-9.1573670745334762E-2</v>
      </c>
      <c r="Q203" s="25">
        <v>5.3855728380468648E-2</v>
      </c>
      <c r="R203" s="25">
        <v>3.4140011113333799E-2</v>
      </c>
      <c r="S203" s="25">
        <v>5.9911310543642383E-2</v>
      </c>
      <c r="T203" s="25">
        <v>4.1496021646198575E-2</v>
      </c>
      <c r="U203" s="25">
        <v>-2.2199523527976502E-2</v>
      </c>
      <c r="V203" s="25">
        <v>7.457033706959304E-2</v>
      </c>
      <c r="W203" s="25">
        <v>0.12508195682657136</v>
      </c>
      <c r="X203" s="25">
        <v>7.1531246832822609E-4</v>
      </c>
      <c r="Y203" s="25">
        <v>-5.4179768083804702E-2</v>
      </c>
      <c r="Z203" s="25">
        <v>-5.6066119368337608E-2</v>
      </c>
      <c r="AA203" s="25">
        <v>-9.0121718912350282E-2</v>
      </c>
      <c r="AB203" s="25">
        <v>7.993687502164535E-3</v>
      </c>
      <c r="AC203" s="25">
        <v>-1.4169242354164759E-2</v>
      </c>
      <c r="AD203" s="25">
        <v>4.8575950971192994E-2</v>
      </c>
      <c r="AE203" s="25">
        <v>2.182712898411359E-2</v>
      </c>
      <c r="AF203" s="25">
        <v>-4.370085478721298E-2</v>
      </c>
      <c r="AG203" s="45">
        <v>-2.3288387740575869E-2</v>
      </c>
      <c r="AI203" s="3" cm="1">
        <f t="array" ref="AI203">SQRT(INDEX(_xlfn.ANCHORARRAY($B$190),A203,A203))</f>
        <v>0.64577985695477502</v>
      </c>
      <c r="AJ203" s="23"/>
      <c r="AK203" s="3">
        <f t="shared" si="29"/>
        <v>0.59676424900465408</v>
      </c>
      <c r="AL203" s="105">
        <f t="shared" si="30"/>
        <v>0.37660831976833731</v>
      </c>
      <c r="AM203" s="108" t="str">
        <f t="shared" si="31"/>
        <v>Spełniony</v>
      </c>
      <c r="AN203" s="23"/>
      <c r="AO203" s="23"/>
      <c r="AP203" s="23"/>
      <c r="AQ203" s="23"/>
    </row>
    <row r="204" spans="1:43">
      <c r="A204">
        <v>15</v>
      </c>
      <c r="B204" s="67">
        <v>3.4225583250522985E-3</v>
      </c>
      <c r="C204" s="25">
        <v>-7.6010434317281307E-3</v>
      </c>
      <c r="D204" s="25">
        <v>1.8073236610643226E-3</v>
      </c>
      <c r="E204" s="25">
        <v>6.9751472675835639E-4</v>
      </c>
      <c r="F204" s="25">
        <v>-4.3559553066843656E-2</v>
      </c>
      <c r="G204" s="25">
        <v>2.0883528001205971E-2</v>
      </c>
      <c r="H204" s="25">
        <v>-6.9636412207836687E-3</v>
      </c>
      <c r="I204" s="25">
        <v>6.9751381542962256E-4</v>
      </c>
      <c r="J204" s="25">
        <v>3.248901266539277E-3</v>
      </c>
      <c r="K204" s="25">
        <v>-3.6027662320870568E-2</v>
      </c>
      <c r="L204" s="25">
        <v>1.2065331789432206E-2</v>
      </c>
      <c r="M204" s="25">
        <v>3.4225532115669025E-3</v>
      </c>
      <c r="N204" s="25">
        <v>-0.19948857783851456</v>
      </c>
      <c r="O204" s="25">
        <v>-9.157367074533472E-2</v>
      </c>
      <c r="P204" s="25">
        <v>0.69157588704851003</v>
      </c>
      <c r="Q204" s="25">
        <v>-1.1137072743129658E-3</v>
      </c>
      <c r="R204" s="25">
        <v>-5.0640301986786949E-2</v>
      </c>
      <c r="S204" s="25">
        <v>-0.15204709861768376</v>
      </c>
      <c r="T204" s="25">
        <v>-4.4048109144191522E-2</v>
      </c>
      <c r="U204" s="25">
        <v>2.251917707373215E-2</v>
      </c>
      <c r="V204" s="25">
        <v>5.8701672424736367E-2</v>
      </c>
      <c r="W204" s="25">
        <v>-0.2895526943706746</v>
      </c>
      <c r="X204" s="25">
        <v>9.5108971377246027E-2</v>
      </c>
      <c r="Y204" s="25">
        <v>6.6421539659161102E-2</v>
      </c>
      <c r="Z204" s="25">
        <v>3.9475384243096212E-2</v>
      </c>
      <c r="AA204" s="25">
        <v>2.9845126666434831E-2</v>
      </c>
      <c r="AB204" s="25">
        <v>-4.334476048433256E-3</v>
      </c>
      <c r="AC204" s="25">
        <v>1.1332034717352129E-2</v>
      </c>
      <c r="AD204" s="25">
        <v>-3.9052776029050419E-2</v>
      </c>
      <c r="AE204" s="25">
        <v>-1.4134201505454976E-2</v>
      </c>
      <c r="AF204" s="25">
        <v>2.1173193004731184E-2</v>
      </c>
      <c r="AG204" s="45">
        <v>-0.16598392079271412</v>
      </c>
      <c r="AI204" s="3" cm="1">
        <f t="array" ref="AI204">SQRT(INDEX(_xlfn.ANCHORARRAY($B$190),A204,A204))</f>
        <v>0.8316104178330801</v>
      </c>
      <c r="AJ204" s="23"/>
      <c r="AK204" s="3">
        <f t="shared" si="29"/>
        <v>0.76849000649049293</v>
      </c>
      <c r="AL204" s="105">
        <f t="shared" si="30"/>
        <v>1.3230621879418043</v>
      </c>
      <c r="AM204" s="108" t="str">
        <f t="shared" si="31"/>
        <v>Spełniony</v>
      </c>
      <c r="AN204" s="23"/>
      <c r="AO204" s="23"/>
      <c r="AP204" s="23"/>
      <c r="AQ204" s="23"/>
    </row>
    <row r="205" spans="1:43">
      <c r="A205">
        <v>16</v>
      </c>
      <c r="B205" s="67">
        <v>-1.1114217287761118E-2</v>
      </c>
      <c r="C205" s="25">
        <v>9.6755474002771305E-3</v>
      </c>
      <c r="D205" s="25">
        <v>6.3253868098833224E-3</v>
      </c>
      <c r="E205" s="25">
        <v>5.4375837793630595E-3</v>
      </c>
      <c r="F205" s="25">
        <v>-3.7850421393767195E-2</v>
      </c>
      <c r="G205" s="25">
        <v>1.8471674423889816E-2</v>
      </c>
      <c r="H205" s="25">
        <v>2.409925277886615E-3</v>
      </c>
      <c r="I205" s="25">
        <v>5.4375766749591914E-3</v>
      </c>
      <c r="J205" s="25">
        <v>1.5981589172795928E-2</v>
      </c>
      <c r="K205" s="25">
        <v>3.66563222649363E-2</v>
      </c>
      <c r="L205" s="25">
        <v>-1.9907990167498849E-2</v>
      </c>
      <c r="M205" s="25">
        <v>-1.1114200682525303E-2</v>
      </c>
      <c r="N205" s="25">
        <v>-0.12538725810923942</v>
      </c>
      <c r="O205" s="25">
        <v>5.3855728380468738E-2</v>
      </c>
      <c r="P205" s="25">
        <v>-1.1137072743130777E-3</v>
      </c>
      <c r="Q205" s="25">
        <v>0.67275985065681121</v>
      </c>
      <c r="R205" s="25">
        <v>-0.21535800349026318</v>
      </c>
      <c r="S205" s="25">
        <v>-0.12016312611018931</v>
      </c>
      <c r="T205" s="25">
        <v>-4.5438203768553884E-2</v>
      </c>
      <c r="U205" s="25">
        <v>3.6683275464135759E-2</v>
      </c>
      <c r="V205" s="25">
        <v>3.2689284854191258E-2</v>
      </c>
      <c r="W205" s="25">
        <v>9.8904889623451092E-2</v>
      </c>
      <c r="X205" s="25">
        <v>-0.31377869002776593</v>
      </c>
      <c r="Y205" s="25">
        <v>0.10186786005863628</v>
      </c>
      <c r="Z205" s="25">
        <v>3.6690718983130401E-2</v>
      </c>
      <c r="AA205" s="25">
        <v>4.3625936508356861E-2</v>
      </c>
      <c r="AB205" s="25">
        <v>-2.2779028965461332E-2</v>
      </c>
      <c r="AC205" s="25">
        <v>3.55430149255919E-2</v>
      </c>
      <c r="AD205" s="25">
        <v>-4.8160819694687967E-2</v>
      </c>
      <c r="AE205" s="25">
        <v>-3.7629014560875376E-2</v>
      </c>
      <c r="AF205" s="25">
        <v>4.2513252302088821E-2</v>
      </c>
      <c r="AG205" s="45">
        <v>5.3175637621074419E-2</v>
      </c>
      <c r="AI205" s="3" cm="1">
        <f t="array" ref="AI205">SQRT(INDEX(_xlfn.ANCHORARRAY($B$190),A205,A205))</f>
        <v>0.82021939178296144</v>
      </c>
      <c r="AJ205" s="23"/>
      <c r="AK205" s="3">
        <f t="shared" si="29"/>
        <v>0.75796357548930493</v>
      </c>
      <c r="AL205" s="105">
        <f t="shared" si="30"/>
        <v>0.37396550207425316</v>
      </c>
      <c r="AM205" s="108" t="str">
        <f t="shared" si="31"/>
        <v>Spełniony</v>
      </c>
      <c r="AN205" s="23"/>
      <c r="AO205" s="23"/>
      <c r="AP205" s="23"/>
      <c r="AQ205" s="23"/>
    </row>
    <row r="206" spans="1:43">
      <c r="A206">
        <v>17</v>
      </c>
      <c r="B206" s="67">
        <v>-1.1401494794726434E-2</v>
      </c>
      <c r="C206" s="25">
        <v>-0.10721626237630022</v>
      </c>
      <c r="D206" s="25">
        <v>-3.1047277352109909E-2</v>
      </c>
      <c r="E206" s="25">
        <v>-3.2867068410814028E-3</v>
      </c>
      <c r="F206" s="25">
        <v>-7.7850937276030929E-2</v>
      </c>
      <c r="G206" s="25">
        <v>2.6960448993693775E-3</v>
      </c>
      <c r="H206" s="25">
        <v>-4.937570180935117E-2</v>
      </c>
      <c r="I206" s="25">
        <v>-3.2867025468776186E-3</v>
      </c>
      <c r="J206" s="25">
        <v>-4.8642925008163612E-2</v>
      </c>
      <c r="K206" s="25">
        <v>2.9758498502098996E-2</v>
      </c>
      <c r="L206" s="25">
        <v>-6.9693182407154497E-3</v>
      </c>
      <c r="M206" s="25">
        <v>-1.1401477760282682E-2</v>
      </c>
      <c r="N206" s="25">
        <v>-5.9217225391996975E-2</v>
      </c>
      <c r="O206" s="25">
        <v>3.4140011113333771E-2</v>
      </c>
      <c r="P206" s="25">
        <v>-5.0640301986787005E-2</v>
      </c>
      <c r="Q206" s="25">
        <v>-0.21535800349026324</v>
      </c>
      <c r="R206" s="25">
        <v>0.69945723300330243</v>
      </c>
      <c r="S206" s="25">
        <v>-0.17884120431417677</v>
      </c>
      <c r="T206" s="25">
        <v>-5.7850755813063183E-2</v>
      </c>
      <c r="U206" s="25">
        <v>-3.174481940607915E-2</v>
      </c>
      <c r="V206" s="25">
        <v>2.6962073027519018E-2</v>
      </c>
      <c r="W206" s="25">
        <v>9.3112401406864276E-2</v>
      </c>
      <c r="X206" s="25">
        <v>-0.17032315689675392</v>
      </c>
      <c r="Y206" s="25">
        <v>-8.1440267212843059E-2</v>
      </c>
      <c r="Z206" s="25">
        <v>8.646139446019066E-2</v>
      </c>
      <c r="AA206" s="25">
        <v>4.5227555215023051E-2</v>
      </c>
      <c r="AB206" s="25">
        <v>7.673547688908966E-2</v>
      </c>
      <c r="AC206" s="25">
        <v>-9.0809554426875425E-2</v>
      </c>
      <c r="AD206" s="25">
        <v>-3.5277901098467214E-2</v>
      </c>
      <c r="AE206" s="25">
        <v>7.8466989716046959E-2</v>
      </c>
      <c r="AF206" s="25">
        <v>-3.1040071101589871E-2</v>
      </c>
      <c r="AG206" s="45">
        <v>-0.13658357554618683</v>
      </c>
      <c r="AI206" s="3" cm="1">
        <f t="array" ref="AI206">SQRT(INDEX(_xlfn.ANCHORARRAY($B$190),A206,A206))</f>
        <v>0.83633559831164817</v>
      </c>
      <c r="AJ206" s="23"/>
      <c r="AK206" s="3">
        <f t="shared" si="29"/>
        <v>0.77285653906244589</v>
      </c>
      <c r="AL206" s="105">
        <f t="shared" si="30"/>
        <v>0.5824523110993024</v>
      </c>
      <c r="AM206" s="108" t="str">
        <f t="shared" si="31"/>
        <v>Spełniony</v>
      </c>
      <c r="AN206" s="23"/>
      <c r="AO206" s="23"/>
      <c r="AP206" s="23"/>
      <c r="AQ206" s="23"/>
    </row>
    <row r="207" spans="1:43">
      <c r="A207">
        <v>18</v>
      </c>
      <c r="B207" s="67">
        <v>-3.3466188235907177E-2</v>
      </c>
      <c r="C207" s="25">
        <v>-4.4245805223073913E-2</v>
      </c>
      <c r="D207" s="25">
        <v>-1.3304156636339829E-2</v>
      </c>
      <c r="E207" s="25">
        <v>-1.9664805343708368E-2</v>
      </c>
      <c r="F207" s="25">
        <v>-4.508624021858279E-2</v>
      </c>
      <c r="G207" s="25">
        <v>-7.4295106480821993E-3</v>
      </c>
      <c r="H207" s="25">
        <v>1.6926656380652487E-2</v>
      </c>
      <c r="I207" s="25">
        <v>-1.9664779650914552E-2</v>
      </c>
      <c r="J207" s="25">
        <v>-3.0963576024931085E-2</v>
      </c>
      <c r="K207" s="25">
        <v>3.1804047541219412E-2</v>
      </c>
      <c r="L207" s="25">
        <v>2.8033094353982067E-2</v>
      </c>
      <c r="M207" s="25">
        <v>-3.3466138235629862E-2</v>
      </c>
      <c r="N207" s="25">
        <v>-4.5568951247791312E-2</v>
      </c>
      <c r="O207" s="25">
        <v>5.9911310543642293E-2</v>
      </c>
      <c r="P207" s="25">
        <v>-0.15204709861768384</v>
      </c>
      <c r="Q207" s="25">
        <v>-0.12016312611018932</v>
      </c>
      <c r="R207" s="25">
        <v>-0.17884120431417677</v>
      </c>
      <c r="S207" s="25">
        <v>0.70825740241809554</v>
      </c>
      <c r="T207" s="25">
        <v>-6.3548929167367554E-2</v>
      </c>
      <c r="U207" s="25">
        <v>3.4911063529292748E-2</v>
      </c>
      <c r="V207" s="25">
        <v>-8.8094520199125337E-2</v>
      </c>
      <c r="W207" s="25">
        <v>3.437698075048215E-2</v>
      </c>
      <c r="X207" s="25">
        <v>3.2604596569059646E-2</v>
      </c>
      <c r="Y207" s="25">
        <v>7.3528332474411581E-2</v>
      </c>
      <c r="Z207" s="25">
        <v>-6.68551497538971E-3</v>
      </c>
      <c r="AA207" s="25">
        <v>-4.5729874619438331E-2</v>
      </c>
      <c r="AB207" s="25">
        <v>8.7719817493743576E-3</v>
      </c>
      <c r="AC207" s="25">
        <v>2.8136266857432552E-2</v>
      </c>
      <c r="AD207" s="25">
        <v>-0.10959516337618577</v>
      </c>
      <c r="AE207" s="25">
        <v>-2.1289059140880903E-2</v>
      </c>
      <c r="AF207" s="25">
        <v>0.102308034136753</v>
      </c>
      <c r="AG207" s="45">
        <v>-0.27301598336210248</v>
      </c>
      <c r="AI207" s="3" cm="1">
        <f t="array" ref="AI207">SQRT(INDEX(_xlfn.ANCHORARRAY($B$190),A207,A207))</f>
        <v>0.8415803006357121</v>
      </c>
      <c r="AJ207" s="23"/>
      <c r="AK207" s="3">
        <f t="shared" si="29"/>
        <v>0.77770316103426151</v>
      </c>
      <c r="AL207" s="105">
        <f t="shared" si="30"/>
        <v>0.17829482694073037</v>
      </c>
      <c r="AM207" s="108" t="str">
        <f t="shared" si="31"/>
        <v>Spełniony</v>
      </c>
      <c r="AN207" s="23"/>
      <c r="AO207" s="23"/>
      <c r="AP207" s="23"/>
      <c r="AQ207" s="23"/>
    </row>
    <row r="208" spans="1:43">
      <c r="A208">
        <v>19</v>
      </c>
      <c r="B208" s="67">
        <v>-4.9486552331661493E-2</v>
      </c>
      <c r="C208" s="25">
        <v>-5.5621797974057002E-2</v>
      </c>
      <c r="D208" s="25">
        <v>-0.17588554510780524</v>
      </c>
      <c r="E208" s="25">
        <v>-1.0507488046316068E-2</v>
      </c>
      <c r="F208" s="25">
        <v>-0.11957782970307206</v>
      </c>
      <c r="G208" s="25">
        <v>3.6209164050800425E-3</v>
      </c>
      <c r="H208" s="25">
        <v>2.537039698778697E-2</v>
      </c>
      <c r="I208" s="25">
        <v>-1.0507474317895189E-2</v>
      </c>
      <c r="J208" s="25">
        <v>-0.15957153608250593</v>
      </c>
      <c r="K208" s="25">
        <v>2.9853105984760736E-2</v>
      </c>
      <c r="L208" s="25">
        <v>4.7373649130423398E-2</v>
      </c>
      <c r="M208" s="25">
        <v>-4.948647839610236E-2</v>
      </c>
      <c r="N208" s="25">
        <v>-7.4482089190183162E-2</v>
      </c>
      <c r="O208" s="25">
        <v>4.1496021646198755E-2</v>
      </c>
      <c r="P208" s="25">
        <v>-4.4048109144191772E-2</v>
      </c>
      <c r="Q208" s="25">
        <v>-4.5438203768553703E-2</v>
      </c>
      <c r="R208" s="25">
        <v>-5.7850755813063183E-2</v>
      </c>
      <c r="S208" s="25">
        <v>-6.3548929167367652E-2</v>
      </c>
      <c r="T208" s="25">
        <v>0.70813250058926069</v>
      </c>
      <c r="U208" s="25">
        <v>-0.22902257694445838</v>
      </c>
      <c r="V208" s="25">
        <v>-9.5870263890288049E-2</v>
      </c>
      <c r="W208" s="25">
        <v>-2.7344025683931725E-2</v>
      </c>
      <c r="X208" s="25">
        <v>4.4223609792484783E-2</v>
      </c>
      <c r="Y208" s="25">
        <v>6.6807497279415665E-2</v>
      </c>
      <c r="Z208" s="25">
        <v>6.0749991798416753E-2</v>
      </c>
      <c r="AA208" s="25">
        <v>-4.8566809296097399E-2</v>
      </c>
      <c r="AB208" s="25">
        <v>8.2727917149430785E-3</v>
      </c>
      <c r="AC208" s="25">
        <v>0.12283200245872425</v>
      </c>
      <c r="AD208" s="25">
        <v>7.8859825787565646E-2</v>
      </c>
      <c r="AE208" s="25">
        <v>-2.5387443585242003E-2</v>
      </c>
      <c r="AF208" s="25">
        <v>-2.0974630436492676E-2</v>
      </c>
      <c r="AG208" s="45">
        <v>8.9448944319483206E-2</v>
      </c>
      <c r="AI208" s="3" cm="1">
        <f t="array" ref="AI208">SQRT(INDEX(_xlfn.ANCHORARRAY($B$190),A208,A208))</f>
        <v>0.84150609064299753</v>
      </c>
      <c r="AJ208" s="23"/>
      <c r="AK208" s="3">
        <f t="shared" si="29"/>
        <v>0.7776345836853491</v>
      </c>
      <c r="AL208" s="105">
        <f t="shared" si="30"/>
        <v>0.76943509646157093</v>
      </c>
      <c r="AM208" s="108" t="str">
        <f t="shared" si="31"/>
        <v>Spełniony</v>
      </c>
      <c r="AN208" s="23"/>
      <c r="AO208" s="23"/>
      <c r="AP208" s="23"/>
      <c r="AQ208" s="23"/>
    </row>
    <row r="209" spans="1:43">
      <c r="A209">
        <v>20</v>
      </c>
      <c r="B209" s="67">
        <v>3.6789951666843842E-3</v>
      </c>
      <c r="C209" s="25">
        <v>-4.2717016762418646E-2</v>
      </c>
      <c r="D209" s="25">
        <v>-0.16968009327727723</v>
      </c>
      <c r="E209" s="25">
        <v>3.6077250996883935E-2</v>
      </c>
      <c r="F209" s="25">
        <v>-7.9061122569618926E-3</v>
      </c>
      <c r="G209" s="25">
        <v>2.9658086456110809E-2</v>
      </c>
      <c r="H209" s="25">
        <v>5.5112447298938452E-2</v>
      </c>
      <c r="I209" s="25">
        <v>3.6077203860624268E-2</v>
      </c>
      <c r="J209" s="25">
        <v>-8.2692745626762598E-2</v>
      </c>
      <c r="K209" s="25">
        <v>-9.419494735110473E-3</v>
      </c>
      <c r="L209" s="25">
        <v>-1.2200560687870629E-2</v>
      </c>
      <c r="M209" s="25">
        <v>3.6789896700686227E-3</v>
      </c>
      <c r="N209" s="25">
        <v>3.2953034539100839E-2</v>
      </c>
      <c r="O209" s="25">
        <v>-2.2199523527976526E-2</v>
      </c>
      <c r="P209" s="25">
        <v>2.2519177073731897E-2</v>
      </c>
      <c r="Q209" s="25">
        <v>3.6683275464135912E-2</v>
      </c>
      <c r="R209" s="25">
        <v>-3.1744819406079199E-2</v>
      </c>
      <c r="S209" s="25">
        <v>3.4911063529292685E-2</v>
      </c>
      <c r="T209" s="25">
        <v>-0.22902257694445835</v>
      </c>
      <c r="U209" s="25">
        <v>0.55427371795621716</v>
      </c>
      <c r="V209" s="25">
        <v>4.2628130971346712E-2</v>
      </c>
      <c r="W209" s="25">
        <v>1.1889297581520799E-2</v>
      </c>
      <c r="X209" s="25">
        <v>3.9607691641665253E-3</v>
      </c>
      <c r="Y209" s="25">
        <v>-0.10562850507983466</v>
      </c>
      <c r="Z209" s="25">
        <v>2.9062351031274407E-2</v>
      </c>
      <c r="AA209" s="25">
        <v>1.8087956331526215E-2</v>
      </c>
      <c r="AB209" s="25">
        <v>-0.10989953790021739</v>
      </c>
      <c r="AC209" s="25">
        <v>0.23372937763409349</v>
      </c>
      <c r="AD209" s="25">
        <v>0.11811640118536323</v>
      </c>
      <c r="AE209" s="25">
        <v>0.21208096964396178</v>
      </c>
      <c r="AF209" s="25">
        <v>-6.4629207329711419E-2</v>
      </c>
      <c r="AG209" s="45">
        <v>-2.2936981086509382E-2</v>
      </c>
      <c r="AI209" s="3" cm="1">
        <f t="array" ref="AI209">SQRT(INDEX(_xlfn.ANCHORARRAY($B$190),A209,A209))</f>
        <v>0.74449561312086798</v>
      </c>
      <c r="AJ209" s="23"/>
      <c r="AK209" s="3">
        <f t="shared" si="29"/>
        <v>0.68798733913196131</v>
      </c>
      <c r="AL209" s="105">
        <f t="shared" si="30"/>
        <v>2.3653510894893257</v>
      </c>
      <c r="AM209" s="108" t="str">
        <f t="shared" si="31"/>
        <v>Spełniony</v>
      </c>
      <c r="AN209" s="23"/>
      <c r="AO209" s="23"/>
      <c r="AP209" s="23"/>
      <c r="AQ209" s="23"/>
    </row>
    <row r="210" spans="1:43">
      <c r="A210">
        <v>21</v>
      </c>
      <c r="B210" s="67">
        <v>4.6189304957522756E-2</v>
      </c>
      <c r="C210" s="25">
        <v>4.7917146708507281E-3</v>
      </c>
      <c r="D210" s="25">
        <v>1.562749707860342E-2</v>
      </c>
      <c r="E210" s="25">
        <v>1.5662871158552416E-2</v>
      </c>
      <c r="F210" s="25">
        <v>-0.11173607098958041</v>
      </c>
      <c r="G210" s="25">
        <v>7.788604210536991E-2</v>
      </c>
      <c r="H210" s="25">
        <v>-3.9902939440466918E-2</v>
      </c>
      <c r="I210" s="25">
        <v>1.566285069443327E-2</v>
      </c>
      <c r="J210" s="25">
        <v>3.1007216103653652E-2</v>
      </c>
      <c r="K210" s="25">
        <v>-0.18636068770851849</v>
      </c>
      <c r="L210" s="25">
        <v>3.5518917829258964E-2</v>
      </c>
      <c r="M210" s="25">
        <v>4.6189235948227811E-2</v>
      </c>
      <c r="N210" s="25">
        <v>6.3453505169734734E-2</v>
      </c>
      <c r="O210" s="25">
        <v>7.4570337069593512E-2</v>
      </c>
      <c r="P210" s="25">
        <v>5.8701672424737096E-2</v>
      </c>
      <c r="Q210" s="25">
        <v>3.268928485419164E-2</v>
      </c>
      <c r="R210" s="25">
        <v>2.6962073027518983E-2</v>
      </c>
      <c r="S210" s="25">
        <v>-8.8094520199125642E-2</v>
      </c>
      <c r="T210" s="25">
        <v>-9.5870263890287924E-2</v>
      </c>
      <c r="U210" s="25">
        <v>4.2628130971346698E-2</v>
      </c>
      <c r="V210" s="25">
        <v>0.28148273312916117</v>
      </c>
      <c r="W210" s="25">
        <v>0.15047871940258908</v>
      </c>
      <c r="X210" s="25">
        <v>0.15043195275849658</v>
      </c>
      <c r="Y210" s="25">
        <v>0.15190033092748559</v>
      </c>
      <c r="Z210" s="25">
        <v>0.13713106848292883</v>
      </c>
      <c r="AA210" s="25">
        <v>0.1285751952993387</v>
      </c>
      <c r="AB210" s="25">
        <v>-1.525532251474504E-2</v>
      </c>
      <c r="AC210" s="25">
        <v>7.2691012995189444E-3</v>
      </c>
      <c r="AD210" s="25">
        <v>-3.9278072864108581E-2</v>
      </c>
      <c r="AE210" s="25">
        <v>-2.2079293852059909E-2</v>
      </c>
      <c r="AF210" s="25">
        <v>-1.9213058501066783E-2</v>
      </c>
      <c r="AG210" s="45">
        <v>1.2746454155898845E-2</v>
      </c>
      <c r="AI210" s="3" cm="1">
        <f t="array" ref="AI210">SQRT(INDEX(_xlfn.ANCHORARRAY($B$190),A210,A210))</f>
        <v>0.53054946341426179</v>
      </c>
      <c r="AJ210" s="23"/>
      <c r="AK210" s="3">
        <f t="shared" si="29"/>
        <v>0.49028000592531185</v>
      </c>
      <c r="AL210" s="105">
        <f t="shared" si="30"/>
        <v>1.3644012961788079</v>
      </c>
      <c r="AM210" s="108" t="str">
        <f t="shared" si="31"/>
        <v>Spełniony</v>
      </c>
      <c r="AN210" s="23"/>
      <c r="AO210" s="23"/>
      <c r="AP210" s="23"/>
      <c r="AQ210" s="23"/>
    </row>
    <row r="211" spans="1:43">
      <c r="A211">
        <v>22</v>
      </c>
      <c r="B211" s="67">
        <v>6.3655711128602476E-3</v>
      </c>
      <c r="C211" s="25">
        <v>2.6445574485602003E-2</v>
      </c>
      <c r="D211" s="25">
        <v>1.3536536008653462E-2</v>
      </c>
      <c r="E211" s="25">
        <v>3.2878725227992407E-2</v>
      </c>
      <c r="F211" s="25">
        <v>-4.1667921164782101E-2</v>
      </c>
      <c r="G211" s="25">
        <v>3.7804994771344358E-2</v>
      </c>
      <c r="H211" s="25">
        <v>-3.3377865928935373E-2</v>
      </c>
      <c r="I211" s="25">
        <v>3.287868227072465E-2</v>
      </c>
      <c r="J211" s="25">
        <v>4.6193240061393318E-2</v>
      </c>
      <c r="K211" s="25">
        <v>8.194612476359503E-2</v>
      </c>
      <c r="L211" s="25">
        <v>-8.7817476383006382E-2</v>
      </c>
      <c r="M211" s="25">
        <v>6.3655616023561819E-3</v>
      </c>
      <c r="N211" s="25">
        <v>-0.1283477221895418</v>
      </c>
      <c r="O211" s="25">
        <v>0.12508195682657119</v>
      </c>
      <c r="P211" s="25">
        <v>-0.28955269437067477</v>
      </c>
      <c r="Q211" s="25">
        <v>9.8904889623451259E-2</v>
      </c>
      <c r="R211" s="25">
        <v>9.3112401406864262E-2</v>
      </c>
      <c r="S211" s="25">
        <v>3.4376980750482088E-2</v>
      </c>
      <c r="T211" s="25">
        <v>-2.7344025683931544E-2</v>
      </c>
      <c r="U211" s="25">
        <v>1.1889297581520944E-2</v>
      </c>
      <c r="V211" s="25">
        <v>0.15047871940258814</v>
      </c>
      <c r="W211" s="25">
        <v>0.40886881099171579</v>
      </c>
      <c r="X211" s="25">
        <v>0.12121358047569289</v>
      </c>
      <c r="Y211" s="25">
        <v>6.0870804693707474E-2</v>
      </c>
      <c r="Z211" s="25">
        <v>0.10573461505332937</v>
      </c>
      <c r="AA211" s="25">
        <v>0.1528334693829663</v>
      </c>
      <c r="AB211" s="25">
        <v>-2.1548163081140496E-2</v>
      </c>
      <c r="AC211" s="25">
        <v>-3.900488205720436E-3</v>
      </c>
      <c r="AD211" s="25">
        <v>2.7511149490879398E-2</v>
      </c>
      <c r="AE211" s="25">
        <v>-1.2790576887511545E-2</v>
      </c>
      <c r="AF211" s="25">
        <v>-5.1968137285802532E-2</v>
      </c>
      <c r="AG211" s="45">
        <v>3.9576711371275837E-2</v>
      </c>
      <c r="AI211" s="3" cm="1">
        <f t="array" ref="AI211">SQRT(INDEX(_xlfn.ANCHORARRAY($B$190),A211,A211))</f>
        <v>0.63942850342451563</v>
      </c>
      <c r="AJ211" s="23"/>
      <c r="AK211" s="3">
        <f t="shared" si="29"/>
        <v>0.59089497222429499</v>
      </c>
      <c r="AL211" s="105">
        <f t="shared" si="30"/>
        <v>6.7800627733334812E-2</v>
      </c>
      <c r="AM211" s="108" t="str">
        <f t="shared" si="31"/>
        <v>Spełniony</v>
      </c>
      <c r="AN211" s="23"/>
      <c r="AO211" s="23"/>
      <c r="AP211" s="23"/>
      <c r="AQ211" s="23"/>
    </row>
    <row r="212" spans="1:43">
      <c r="A212">
        <v>23</v>
      </c>
      <c r="B212" s="67">
        <v>3.2467671658609962E-2</v>
      </c>
      <c r="C212" s="25">
        <v>9.5672251022472996E-2</v>
      </c>
      <c r="D212" s="25">
        <v>3.2478501924136718E-2</v>
      </c>
      <c r="E212" s="25">
        <v>3.49910889171475E-2</v>
      </c>
      <c r="F212" s="25">
        <v>3.283210071394848E-2</v>
      </c>
      <c r="G212" s="25">
        <v>3.1223752105135873E-2</v>
      </c>
      <c r="H212" s="25">
        <v>-9.4851257174399257E-3</v>
      </c>
      <c r="I212" s="25">
        <v>3.4991043199998635E-2</v>
      </c>
      <c r="J212" s="25">
        <v>7.3026957657980562E-2</v>
      </c>
      <c r="K212" s="25">
        <v>6.9645390329387893E-3</v>
      </c>
      <c r="L212" s="25">
        <v>-6.6574845029766572E-2</v>
      </c>
      <c r="M212" s="25">
        <v>3.2467623150169933E-2</v>
      </c>
      <c r="N212" s="25">
        <v>-6.1836772414213856E-2</v>
      </c>
      <c r="O212" s="25">
        <v>7.1531246832827119E-4</v>
      </c>
      <c r="P212" s="25">
        <v>9.5108971377246068E-2</v>
      </c>
      <c r="Q212" s="25">
        <v>-0.31377869002776598</v>
      </c>
      <c r="R212" s="25">
        <v>-0.17032315689675387</v>
      </c>
      <c r="S212" s="25">
        <v>3.2604596569059736E-2</v>
      </c>
      <c r="T212" s="25">
        <v>4.422360979248461E-2</v>
      </c>
      <c r="U212" s="25">
        <v>3.9607691641664836E-3</v>
      </c>
      <c r="V212" s="25">
        <v>0.15043195275849633</v>
      </c>
      <c r="W212" s="25">
        <v>0.12121358047569283</v>
      </c>
      <c r="X212" s="25">
        <v>0.54241257776130503</v>
      </c>
      <c r="Y212" s="25">
        <v>4.1293452059883481E-2</v>
      </c>
      <c r="Z212" s="25">
        <v>3.5975830070977766E-2</v>
      </c>
      <c r="AA212" s="25">
        <v>0.10867260687364452</v>
      </c>
      <c r="AB212" s="25">
        <v>-5.6842172200278873E-2</v>
      </c>
      <c r="AC212" s="25">
        <v>2.4843235666918588E-2</v>
      </c>
      <c r="AD212" s="25">
        <v>9.8779124407706614E-2</v>
      </c>
      <c r="AE212" s="25">
        <v>-3.4295630681777059E-2</v>
      </c>
      <c r="AF212" s="25">
        <v>-8.0788575842973318E-2</v>
      </c>
      <c r="AG212" s="45">
        <v>6.8322065223418146E-2</v>
      </c>
      <c r="AI212" s="3" cm="1">
        <f t="array" ref="AI212">SQRT(INDEX(_xlfn.ANCHORARRAY($B$190),A212,A212))</f>
        <v>0.73648664465915814</v>
      </c>
      <c r="AJ212" s="23"/>
      <c r="AK212" s="3">
        <f t="shared" si="29"/>
        <v>0.68058626274674827</v>
      </c>
      <c r="AL212" s="105">
        <f t="shared" si="30"/>
        <v>0.70743769789746047</v>
      </c>
      <c r="AM212" s="108" t="str">
        <f t="shared" si="31"/>
        <v>Spełniony</v>
      </c>
      <c r="AN212" s="23"/>
      <c r="AO212" s="23"/>
      <c r="AP212" s="23"/>
      <c r="AQ212" s="23"/>
    </row>
    <row r="213" spans="1:43">
      <c r="A213">
        <v>24</v>
      </c>
      <c r="B213" s="67">
        <v>7.4305118258602462E-2</v>
      </c>
      <c r="C213" s="25">
        <v>-0.20870874742566428</v>
      </c>
      <c r="D213" s="25">
        <v>-0.11091149358397309</v>
      </c>
      <c r="E213" s="25">
        <v>5.1393950238650489E-2</v>
      </c>
      <c r="F213" s="25">
        <v>9.1028619532276561E-2</v>
      </c>
      <c r="G213" s="25">
        <v>-1.5347671626865336E-2</v>
      </c>
      <c r="H213" s="25">
        <v>-8.2855599490751941E-2</v>
      </c>
      <c r="I213" s="25">
        <v>5.1393883090558062E-2</v>
      </c>
      <c r="J213" s="25">
        <v>-6.761972736340234E-2</v>
      </c>
      <c r="K213" s="25">
        <v>-3.6876800487610703E-2</v>
      </c>
      <c r="L213" s="25">
        <v>-7.2395112690400651E-2</v>
      </c>
      <c r="M213" s="25">
        <v>7.4305007242776805E-2</v>
      </c>
      <c r="N213" s="25">
        <v>8.9907630323771595E-2</v>
      </c>
      <c r="O213" s="25">
        <v>-5.4179768083804897E-2</v>
      </c>
      <c r="P213" s="25">
        <v>6.6421539659161172E-2</v>
      </c>
      <c r="Q213" s="25">
        <v>0.10186786005863614</v>
      </c>
      <c r="R213" s="25">
        <v>-8.1440267212843115E-2</v>
      </c>
      <c r="S213" s="25">
        <v>7.3528332474411595E-2</v>
      </c>
      <c r="T213" s="25">
        <v>6.6807497279415679E-2</v>
      </c>
      <c r="U213" s="25">
        <v>-0.10562850507983451</v>
      </c>
      <c r="V213" s="25">
        <v>0.15190033092748548</v>
      </c>
      <c r="W213" s="25">
        <v>6.0870804693707634E-2</v>
      </c>
      <c r="X213" s="25">
        <v>4.1293452059883301E-2</v>
      </c>
      <c r="Y213" s="25">
        <v>0.59345448363307618</v>
      </c>
      <c r="Z213" s="25">
        <v>6.2576592855147689E-2</v>
      </c>
      <c r="AA213" s="25">
        <v>8.9904335830699775E-2</v>
      </c>
      <c r="AB213" s="25">
        <v>7.8530460986659445E-2</v>
      </c>
      <c r="AC213" s="25">
        <v>-0.15265235747233372</v>
      </c>
      <c r="AD213" s="25">
        <v>-2.2902371699889616E-2</v>
      </c>
      <c r="AE213" s="25">
        <v>0.10625270831937411</v>
      </c>
      <c r="AF213" s="25">
        <v>6.6207319781938917E-2</v>
      </c>
      <c r="AG213" s="45">
        <v>-5.3878319440112239E-2</v>
      </c>
      <c r="AI213" s="3" cm="1">
        <f t="array" ref="AI213">SQRT(INDEX(_xlfn.ANCHORARRAY($B$190),A213,A213))</f>
        <v>0.77035997016529634</v>
      </c>
      <c r="AJ213" s="23"/>
      <c r="AK213" s="3">
        <f t="shared" si="29"/>
        <v>0.71188855475734658</v>
      </c>
      <c r="AL213" s="105">
        <f t="shared" si="30"/>
        <v>3.9961857407020018E-2</v>
      </c>
      <c r="AM213" s="108" t="str">
        <f t="shared" si="31"/>
        <v>Spełniony</v>
      </c>
      <c r="AN213" s="23"/>
      <c r="AO213" s="23"/>
      <c r="AP213" s="23"/>
      <c r="AQ213" s="23"/>
    </row>
    <row r="214" spans="1:43">
      <c r="A214">
        <v>25</v>
      </c>
      <c r="B214" s="67">
        <v>-6.7775009253079443E-2</v>
      </c>
      <c r="C214" s="25">
        <v>6.6462063983670563E-2</v>
      </c>
      <c r="D214" s="25">
        <v>4.6888438861815346E-2</v>
      </c>
      <c r="E214" s="25">
        <v>-0.20553597678634744</v>
      </c>
      <c r="F214" s="25">
        <v>7.0375187796777205E-2</v>
      </c>
      <c r="G214" s="25">
        <v>0.13340098013922741</v>
      </c>
      <c r="H214" s="25">
        <v>0.12157084355110315</v>
      </c>
      <c r="I214" s="25">
        <v>-0.20553570824600936</v>
      </c>
      <c r="J214" s="25">
        <v>-0.14506297354320791</v>
      </c>
      <c r="K214" s="25">
        <v>2.3276578237856164E-2</v>
      </c>
      <c r="L214" s="25">
        <v>1.7751734960046839E-2</v>
      </c>
      <c r="M214" s="25">
        <v>-6.7774907993586361E-2</v>
      </c>
      <c r="N214" s="25">
        <v>3.918665275137178E-2</v>
      </c>
      <c r="O214" s="25">
        <v>-5.6066119368337719E-2</v>
      </c>
      <c r="P214" s="25">
        <v>3.9475384243096295E-2</v>
      </c>
      <c r="Q214" s="25">
        <v>3.6690718983130269E-2</v>
      </c>
      <c r="R214" s="25">
        <v>8.646139446019066E-2</v>
      </c>
      <c r="S214" s="25">
        <v>-6.6855149753898627E-3</v>
      </c>
      <c r="T214" s="25">
        <v>6.07499917984166E-2</v>
      </c>
      <c r="U214" s="25">
        <v>2.9062351031274331E-2</v>
      </c>
      <c r="V214" s="25">
        <v>0.13713106848292847</v>
      </c>
      <c r="W214" s="25">
        <v>0.10573461505332968</v>
      </c>
      <c r="X214" s="25">
        <v>3.5975830070977766E-2</v>
      </c>
      <c r="Y214" s="25">
        <v>6.2576592855147828E-2</v>
      </c>
      <c r="Z214" s="25">
        <v>0.54195143489598641</v>
      </c>
      <c r="AA214" s="25">
        <v>0.11663045864162981</v>
      </c>
      <c r="AB214" s="25">
        <v>5.4253175755409333E-3</v>
      </c>
      <c r="AC214" s="25">
        <v>9.5056864609957728E-2</v>
      </c>
      <c r="AD214" s="25">
        <v>-4.6084066425766068E-2</v>
      </c>
      <c r="AE214" s="25">
        <v>-7.114653544693636E-3</v>
      </c>
      <c r="AF214" s="25">
        <v>7.5839739282160604E-2</v>
      </c>
      <c r="AG214" s="45">
        <v>-5.5602277672701324E-2</v>
      </c>
      <c r="AI214" s="3" cm="1">
        <f t="array" ref="AI214">SQRT(INDEX(_xlfn.ANCHORARRAY($B$190),A214,A214))</f>
        <v>0.73617350868934861</v>
      </c>
      <c r="AJ214" s="23"/>
      <c r="AK214" s="3">
        <f t="shared" si="29"/>
        <v>0.68029689424160333</v>
      </c>
      <c r="AL214" s="105">
        <f t="shared" si="30"/>
        <v>2.0572636465497962</v>
      </c>
      <c r="AM214" s="108" t="str">
        <f t="shared" si="31"/>
        <v>Spełniony</v>
      </c>
      <c r="AN214" s="23"/>
      <c r="AO214" s="23"/>
      <c r="AP214" s="23"/>
      <c r="AQ214" s="23"/>
    </row>
    <row r="215" spans="1:43">
      <c r="A215">
        <v>26</v>
      </c>
      <c r="B215" s="67">
        <v>-9.1552656734515903E-2</v>
      </c>
      <c r="C215" s="25">
        <v>1.5337143263068004E-2</v>
      </c>
      <c r="D215" s="25">
        <v>2.3805197107641847E-3</v>
      </c>
      <c r="E215" s="25">
        <v>7.06093412440046E-2</v>
      </c>
      <c r="F215" s="25">
        <v>-4.0831915888639776E-2</v>
      </c>
      <c r="G215" s="25">
        <v>-0.26496809749421202</v>
      </c>
      <c r="H215" s="25">
        <v>4.4050687026491217E-2</v>
      </c>
      <c r="I215" s="25">
        <v>7.0609248990294748E-2</v>
      </c>
      <c r="J215" s="25">
        <v>6.2455287083582681E-2</v>
      </c>
      <c r="K215" s="25">
        <v>0.11105024616173924</v>
      </c>
      <c r="L215" s="25">
        <v>0.17351678131386805</v>
      </c>
      <c r="M215" s="25">
        <v>-9.1552519949944289E-2</v>
      </c>
      <c r="N215" s="25">
        <v>-2.3632936411221266E-3</v>
      </c>
      <c r="O215" s="25">
        <v>-9.0121718912350185E-2</v>
      </c>
      <c r="P215" s="25">
        <v>2.9845126666434522E-2</v>
      </c>
      <c r="Q215" s="25">
        <v>4.3625936508356694E-2</v>
      </c>
      <c r="R215" s="25">
        <v>4.5227555215023071E-2</v>
      </c>
      <c r="S215" s="25">
        <v>-4.5729874619438143E-2</v>
      </c>
      <c r="T215" s="25">
        <v>-4.856680929609751E-2</v>
      </c>
      <c r="U215" s="25">
        <v>1.8087956331526042E-2</v>
      </c>
      <c r="V215" s="25">
        <v>0.1285751952993395</v>
      </c>
      <c r="W215" s="25">
        <v>0.1528334693829656</v>
      </c>
      <c r="X215" s="25">
        <v>0.10867260687364456</v>
      </c>
      <c r="Y215" s="25">
        <v>8.9904335830699691E-2</v>
      </c>
      <c r="Z215" s="25">
        <v>0.1166304586416298</v>
      </c>
      <c r="AA215" s="25">
        <v>0.4033839339717209</v>
      </c>
      <c r="AB215" s="25">
        <v>9.6898792339640584E-3</v>
      </c>
      <c r="AC215" s="25">
        <v>2.9383644101659064E-2</v>
      </c>
      <c r="AD215" s="25">
        <v>-1.8025762908821859E-2</v>
      </c>
      <c r="AE215" s="25">
        <v>-2.9972553353331918E-2</v>
      </c>
      <c r="AF215" s="25">
        <v>9.9227125657432302E-3</v>
      </c>
      <c r="AG215" s="45">
        <v>-1.1164633637779441E-2</v>
      </c>
      <c r="AI215" s="3" cm="1">
        <f t="array" ref="AI215">SQRT(INDEX(_xlfn.ANCHORARRAY($B$190),A215,A215))</f>
        <v>0.63512513253037062</v>
      </c>
      <c r="AJ215" s="23"/>
      <c r="AK215" s="3">
        <f t="shared" si="29"/>
        <v>0.58691823329046855</v>
      </c>
      <c r="AL215" s="105">
        <f t="shared" si="30"/>
        <v>0.95682116046598809</v>
      </c>
      <c r="AM215" s="108" t="str">
        <f t="shared" si="31"/>
        <v>Spełniony</v>
      </c>
      <c r="AN215" s="23"/>
      <c r="AO215" s="23"/>
      <c r="AP215" s="23"/>
      <c r="AQ215" s="23"/>
    </row>
    <row r="216" spans="1:43">
      <c r="A216">
        <v>27</v>
      </c>
      <c r="B216" s="67">
        <v>6.6268927975805872E-2</v>
      </c>
      <c r="C216" s="25">
        <v>9.6840403671162784E-2</v>
      </c>
      <c r="D216" s="25">
        <v>1.6376259943086759E-2</v>
      </c>
      <c r="E216" s="25">
        <v>-6.2547747775596574E-2</v>
      </c>
      <c r="F216" s="25">
        <v>0.10230803059559504</v>
      </c>
      <c r="G216" s="25">
        <v>-0.13402833715725829</v>
      </c>
      <c r="H216" s="25">
        <v>-0.29516476633235472</v>
      </c>
      <c r="I216" s="25">
        <v>-6.2547666054656156E-2</v>
      </c>
      <c r="J216" s="25">
        <v>8.2188016544885972E-2</v>
      </c>
      <c r="K216" s="25">
        <v>-1.5503003830108719E-2</v>
      </c>
      <c r="L216" s="25">
        <v>-2.1068124754105688E-2</v>
      </c>
      <c r="M216" s="25">
        <v>6.626882896647876E-2</v>
      </c>
      <c r="N216" s="25">
        <v>7.5946182017719299E-3</v>
      </c>
      <c r="O216" s="25">
        <v>7.9936875021645176E-3</v>
      </c>
      <c r="P216" s="25">
        <v>-4.334476048433622E-3</v>
      </c>
      <c r="Q216" s="25">
        <v>-2.2779028965461162E-2</v>
      </c>
      <c r="R216" s="25">
        <v>7.6735476889089604E-2</v>
      </c>
      <c r="S216" s="25">
        <v>8.7719817493742414E-3</v>
      </c>
      <c r="T216" s="25">
        <v>8.272791714942912E-3</v>
      </c>
      <c r="U216" s="25">
        <v>-0.10989953790021746</v>
      </c>
      <c r="V216" s="25">
        <v>-1.525532251474554E-2</v>
      </c>
      <c r="W216" s="25">
        <v>-2.1548163081140798E-2</v>
      </c>
      <c r="X216" s="25">
        <v>-5.6842172200278707E-2</v>
      </c>
      <c r="Y216" s="25">
        <v>7.8530460986659528E-2</v>
      </c>
      <c r="Z216" s="25">
        <v>5.4253175755411692E-3</v>
      </c>
      <c r="AA216" s="25">
        <v>9.689879233964388E-3</v>
      </c>
      <c r="AB216" s="25">
        <v>0.51329303298862494</v>
      </c>
      <c r="AC216" s="25">
        <v>0.23941309177369663</v>
      </c>
      <c r="AD216" s="25">
        <v>-2.9543714658295903E-2</v>
      </c>
      <c r="AE216" s="25">
        <v>5.9494707351183757E-2</v>
      </c>
      <c r="AF216" s="25">
        <v>9.3651510324462992E-2</v>
      </c>
      <c r="AG216" s="45">
        <v>-3.2964199121395907E-2</v>
      </c>
      <c r="AI216" s="3" cm="1">
        <f t="array" ref="AI216">SQRT(INDEX(_xlfn.ANCHORARRAY($B$190),A216,A216))</f>
        <v>0.71644471732899595</v>
      </c>
      <c r="AJ216" s="23"/>
      <c r="AK216" s="3">
        <f t="shared" si="29"/>
        <v>0.66206554615427071</v>
      </c>
      <c r="AL216" s="105">
        <f t="shared" si="30"/>
        <v>0.24351598189923163</v>
      </c>
      <c r="AM216" s="108" t="str">
        <f t="shared" si="31"/>
        <v>Spełniony</v>
      </c>
      <c r="AN216" s="23"/>
      <c r="AO216" s="23"/>
      <c r="AP216" s="23"/>
      <c r="AQ216" s="23"/>
    </row>
    <row r="217" spans="1:43">
      <c r="A217">
        <v>28</v>
      </c>
      <c r="B217" s="67">
        <v>4.1566407837358962E-4</v>
      </c>
      <c r="C217" s="25">
        <v>-0.10709391282310643</v>
      </c>
      <c r="D217" s="25">
        <v>5.5094321129637996E-2</v>
      </c>
      <c r="E217" s="25">
        <v>-3.1808986976565347E-2</v>
      </c>
      <c r="F217" s="25">
        <v>-7.8326267150415269E-2</v>
      </c>
      <c r="G217" s="25">
        <v>-3.4993143734999593E-2</v>
      </c>
      <c r="H217" s="25">
        <v>-0.13498676667465728</v>
      </c>
      <c r="I217" s="25">
        <v>-3.1808945416950077E-2</v>
      </c>
      <c r="J217" s="25">
        <v>-4.301955347106675E-2</v>
      </c>
      <c r="K217" s="25">
        <v>2.6508214634453908E-3</v>
      </c>
      <c r="L217" s="25">
        <v>1.3837523869852653E-2</v>
      </c>
      <c r="M217" s="25">
        <v>4.1566345734913841E-4</v>
      </c>
      <c r="N217" s="25">
        <v>1.2837846433231985E-2</v>
      </c>
      <c r="O217" s="25">
        <v>-1.4169242354164903E-2</v>
      </c>
      <c r="P217" s="25">
        <v>1.1332034717352446E-2</v>
      </c>
      <c r="Q217" s="25">
        <v>3.5543014925591684E-2</v>
      </c>
      <c r="R217" s="25">
        <v>-9.0809554426875397E-2</v>
      </c>
      <c r="S217" s="25">
        <v>2.813626685743268E-2</v>
      </c>
      <c r="T217" s="25">
        <v>0.12283200245872435</v>
      </c>
      <c r="U217" s="25">
        <v>0.23372937763409363</v>
      </c>
      <c r="V217" s="25">
        <v>7.2691012995192011E-3</v>
      </c>
      <c r="W217" s="25">
        <v>-3.9004882057201845E-3</v>
      </c>
      <c r="X217" s="25">
        <v>2.4843235666918366E-2</v>
      </c>
      <c r="Y217" s="25">
        <v>-0.15265235747233369</v>
      </c>
      <c r="Z217" s="25">
        <v>9.5056864609957464E-2</v>
      </c>
      <c r="AA217" s="25">
        <v>2.93836441016588E-2</v>
      </c>
      <c r="AB217" s="25">
        <v>0.23941309177369674</v>
      </c>
      <c r="AC217" s="25">
        <v>0.62511899112800018</v>
      </c>
      <c r="AD217" s="25">
        <v>1.1209286795961233E-2</v>
      </c>
      <c r="AE217" s="25">
        <v>-5.1782832520552664E-2</v>
      </c>
      <c r="AF217" s="25">
        <v>-0.12461436089327034</v>
      </c>
      <c r="AG217" s="45">
        <v>1.1512272199896548E-2</v>
      </c>
      <c r="AI217" s="3" cm="1">
        <f t="array" ref="AI217">SQRT(INDEX(_xlfn.ANCHORARRAY($B$190),A217,A217))</f>
        <v>0.79064466805765543</v>
      </c>
      <c r="AJ217" s="23"/>
      <c r="AK217" s="3">
        <f t="shared" si="29"/>
        <v>0.73063361528169135</v>
      </c>
      <c r="AL217" s="105">
        <f t="shared" si="30"/>
        <v>1.4126879373293511</v>
      </c>
      <c r="AM217" s="108" t="str">
        <f t="shared" si="31"/>
        <v>Spełniony</v>
      </c>
      <c r="AN217" s="23"/>
      <c r="AO217" s="23"/>
      <c r="AP217" s="23"/>
      <c r="AQ217" s="23"/>
    </row>
    <row r="218" spans="1:43">
      <c r="A218">
        <v>29</v>
      </c>
      <c r="B218" s="67">
        <v>-1.6586856350141239E-2</v>
      </c>
      <c r="C218" s="25">
        <v>-0.14947050802207179</v>
      </c>
      <c r="D218" s="25">
        <v>0.10557878183471539</v>
      </c>
      <c r="E218" s="25">
        <v>-1.697808419975641E-2</v>
      </c>
      <c r="F218" s="25">
        <v>6.3380586994575411E-3</v>
      </c>
      <c r="G218" s="25">
        <v>1.2498420698126567E-3</v>
      </c>
      <c r="H218" s="25">
        <v>2.2560565015294454E-2</v>
      </c>
      <c r="I218" s="25">
        <v>-1.6978062017262922E-2</v>
      </c>
      <c r="J218" s="25">
        <v>8.1304283303928832E-2</v>
      </c>
      <c r="K218" s="25">
        <v>2.4579881662974014E-2</v>
      </c>
      <c r="L218" s="25">
        <v>5.0264570014401933E-3</v>
      </c>
      <c r="M218" s="25">
        <v>-1.6586831568489627E-2</v>
      </c>
      <c r="N218" s="25">
        <v>-8.2305825815446598E-2</v>
      </c>
      <c r="O218" s="25">
        <v>4.8575950971193174E-2</v>
      </c>
      <c r="P218" s="25">
        <v>-3.9052776029050384E-2</v>
      </c>
      <c r="Q218" s="25">
        <v>-4.8160819694688016E-2</v>
      </c>
      <c r="R218" s="25">
        <v>-3.5277901098467276E-2</v>
      </c>
      <c r="S218" s="25">
        <v>-0.10959516337618583</v>
      </c>
      <c r="T218" s="25">
        <v>7.8859825787565521E-2</v>
      </c>
      <c r="U218" s="25">
        <v>0.11811640118536301</v>
      </c>
      <c r="V218" s="25">
        <v>-3.9278072864109004E-2</v>
      </c>
      <c r="W218" s="25">
        <v>2.7511149490879447E-2</v>
      </c>
      <c r="X218" s="25">
        <v>9.8779124407706642E-2</v>
      </c>
      <c r="Y218" s="25">
        <v>-2.2902371699889595E-2</v>
      </c>
      <c r="Z218" s="25">
        <v>-4.6084066425765922E-2</v>
      </c>
      <c r="AA218" s="25">
        <v>-1.802576290882156E-2</v>
      </c>
      <c r="AB218" s="25">
        <v>-2.9543714658296163E-2</v>
      </c>
      <c r="AC218" s="25">
        <v>1.1209286795961448E-2</v>
      </c>
      <c r="AD218" s="25">
        <v>0.5863214738176693</v>
      </c>
      <c r="AE218" s="25">
        <v>0.21014751855586147</v>
      </c>
      <c r="AF218" s="25">
        <v>0.28681566096324856</v>
      </c>
      <c r="AG218" s="45">
        <v>0.10622966540188512</v>
      </c>
      <c r="AI218" s="3" cm="1">
        <f t="array" ref="AI218">SQRT(INDEX(_xlfn.ANCHORARRAY($B$190),A218,A218))</f>
        <v>0.76571631419062069</v>
      </c>
      <c r="AJ218" s="23"/>
      <c r="AK218" s="3">
        <f t="shared" si="29"/>
        <v>0.70759735886370112</v>
      </c>
      <c r="AL218" s="105">
        <f t="shared" si="30"/>
        <v>0.66188144920483505</v>
      </c>
      <c r="AM218" s="108" t="str">
        <f t="shared" si="31"/>
        <v>Spełniony</v>
      </c>
      <c r="AN218" s="23"/>
      <c r="AO218" s="23"/>
      <c r="AP218" s="23"/>
      <c r="AQ218" s="23"/>
    </row>
    <row r="219" spans="1:43">
      <c r="A219">
        <v>30</v>
      </c>
      <c r="B219" s="67">
        <v>3.8755575361244257E-2</v>
      </c>
      <c r="C219" s="25">
        <v>8.1827855951384337E-2</v>
      </c>
      <c r="D219" s="25">
        <v>-0.18803984729517501</v>
      </c>
      <c r="E219" s="25">
        <v>3.2196620368209916E-2</v>
      </c>
      <c r="F219" s="25">
        <v>9.7800324358733176E-2</v>
      </c>
      <c r="G219" s="25">
        <v>-4.3483204646852389E-2</v>
      </c>
      <c r="H219" s="25">
        <v>-2.8769850994326593E-2</v>
      </c>
      <c r="I219" s="25">
        <v>3.2196578302137291E-2</v>
      </c>
      <c r="J219" s="25">
        <v>-0.14481501504326089</v>
      </c>
      <c r="K219" s="25">
        <v>-1.1991215948269528E-2</v>
      </c>
      <c r="L219" s="25">
        <v>-2.6509766918873693E-2</v>
      </c>
      <c r="M219" s="25">
        <v>3.8755517458339363E-2</v>
      </c>
      <c r="N219" s="25">
        <v>-1.2598692027296431E-2</v>
      </c>
      <c r="O219" s="25">
        <v>2.1827128984113649E-2</v>
      </c>
      <c r="P219" s="25">
        <v>-1.4134201505455024E-2</v>
      </c>
      <c r="Q219" s="25">
        <v>-3.7629014560875383E-2</v>
      </c>
      <c r="R219" s="25">
        <v>7.8466989716047014E-2</v>
      </c>
      <c r="S219" s="25">
        <v>-2.1289059140880928E-2</v>
      </c>
      <c r="T219" s="25">
        <v>-2.5387443585242052E-2</v>
      </c>
      <c r="U219" s="25">
        <v>0.21208096964396189</v>
      </c>
      <c r="V219" s="25">
        <v>-2.2079293852059909E-2</v>
      </c>
      <c r="W219" s="25">
        <v>-1.2790576887511715E-2</v>
      </c>
      <c r="X219" s="25">
        <v>-3.4295630681776941E-2</v>
      </c>
      <c r="Y219" s="25">
        <v>0.10625270831937428</v>
      </c>
      <c r="Z219" s="25">
        <v>-7.1146535446935787E-3</v>
      </c>
      <c r="AA219" s="25">
        <v>-2.9972553353332144E-2</v>
      </c>
      <c r="AB219" s="25">
        <v>5.9494707351183694E-2</v>
      </c>
      <c r="AC219" s="25">
        <v>-5.1782832520552664E-2</v>
      </c>
      <c r="AD219" s="25">
        <v>0.2101475185558615</v>
      </c>
      <c r="AE219" s="25">
        <v>0.33667348884174009</v>
      </c>
      <c r="AF219" s="25">
        <v>0.15191987315971953</v>
      </c>
      <c r="AG219" s="45">
        <v>-8.8585485592610758E-3</v>
      </c>
      <c r="AI219" s="3" cm="1">
        <f t="array" ref="AI219">SQRT(INDEX(_xlfn.ANCHORARRAY($B$190),A219,A219))</f>
        <v>0.58023571834362286</v>
      </c>
      <c r="AJ219" s="23"/>
      <c r="AK219" s="3">
        <f t="shared" si="29"/>
        <v>0.53619500356645144</v>
      </c>
      <c r="AL219" s="105">
        <f t="shared" si="30"/>
        <v>1.1146166758578433</v>
      </c>
      <c r="AM219" s="108" t="str">
        <f t="shared" si="31"/>
        <v>Spełniony</v>
      </c>
      <c r="AN219" s="23"/>
      <c r="AO219" s="23"/>
      <c r="AP219" s="23"/>
      <c r="AQ219" s="23"/>
    </row>
    <row r="220" spans="1:43">
      <c r="A220">
        <v>31</v>
      </c>
      <c r="B220" s="67">
        <v>-4.7150526264178844E-2</v>
      </c>
      <c r="C220" s="25">
        <v>0.1346699799852332</v>
      </c>
      <c r="D220" s="25">
        <v>0.11134325647389894</v>
      </c>
      <c r="E220" s="25">
        <v>-5.0125935394006352E-2</v>
      </c>
      <c r="F220" s="25">
        <v>-0.16543661845254154</v>
      </c>
      <c r="G220" s="25">
        <v>1.4664953617848999E-2</v>
      </c>
      <c r="H220" s="25">
        <v>-4.222102692932643E-2</v>
      </c>
      <c r="I220" s="25">
        <v>-5.0125869902622029E-2</v>
      </c>
      <c r="J220" s="25">
        <v>2.5197265364341533E-2</v>
      </c>
      <c r="K220" s="25">
        <v>4.0805564456995354E-3</v>
      </c>
      <c r="L220" s="25">
        <v>5.7992645260746309E-2</v>
      </c>
      <c r="M220" s="25">
        <v>-4.7150455818767797E-2</v>
      </c>
      <c r="N220" s="25">
        <v>5.1910758627491616E-2</v>
      </c>
      <c r="O220" s="25">
        <v>-4.3700854787213084E-2</v>
      </c>
      <c r="P220" s="25">
        <v>2.1173193004731389E-2</v>
      </c>
      <c r="Q220" s="25">
        <v>4.251325230208873E-2</v>
      </c>
      <c r="R220" s="25">
        <v>-3.1040071101589795E-2</v>
      </c>
      <c r="S220" s="25">
        <v>0.10230803413675321</v>
      </c>
      <c r="T220" s="25">
        <v>-2.0974630436492489E-2</v>
      </c>
      <c r="U220" s="25">
        <v>-6.4629207329711197E-2</v>
      </c>
      <c r="V220" s="25">
        <v>-1.9213058501066096E-2</v>
      </c>
      <c r="W220" s="25">
        <v>-5.1968137285802338E-2</v>
      </c>
      <c r="X220" s="25">
        <v>-8.0788575842973526E-2</v>
      </c>
      <c r="Y220" s="25">
        <v>6.6207319781938861E-2</v>
      </c>
      <c r="Z220" s="25">
        <v>7.5839739282160368E-2</v>
      </c>
      <c r="AA220" s="25">
        <v>9.9227125657427515E-3</v>
      </c>
      <c r="AB220" s="25">
        <v>9.3651510324463325E-2</v>
      </c>
      <c r="AC220" s="25">
        <v>-0.12461436089327052</v>
      </c>
      <c r="AD220" s="25">
        <v>0.2868156609632484</v>
      </c>
      <c r="AE220" s="25">
        <v>0.15191987315971944</v>
      </c>
      <c r="AF220" s="25">
        <v>0.50536363212240598</v>
      </c>
      <c r="AG220" s="45">
        <v>-6.4844976329673926E-2</v>
      </c>
      <c r="AI220" s="3" cm="1">
        <f t="array" ref="AI220">SQRT(INDEX(_xlfn.ANCHORARRAY($B$190),A220,A220))</f>
        <v>0.71088932480549039</v>
      </c>
      <c r="AJ220" s="23"/>
      <c r="AK220" s="3">
        <f t="shared" si="29"/>
        <v>0.65693181581023485</v>
      </c>
      <c r="AL220" s="105">
        <f t="shared" si="30"/>
        <v>0.12721007219513081</v>
      </c>
      <c r="AM220" s="108" t="str">
        <f t="shared" si="31"/>
        <v>Spełniony</v>
      </c>
      <c r="AN220" s="23"/>
      <c r="AO220" s="23"/>
      <c r="AP220" s="23"/>
      <c r="AQ220" s="23"/>
    </row>
    <row r="221" spans="1:43">
      <c r="A221">
        <v>32</v>
      </c>
      <c r="B221" s="68">
        <v>2.5867361300831067E-2</v>
      </c>
      <c r="C221" s="32">
        <v>7.4894806747873535E-2</v>
      </c>
      <c r="D221" s="32">
        <v>1.976294139946751E-2</v>
      </c>
      <c r="E221" s="32">
        <v>1.2229241617681252E-2</v>
      </c>
      <c r="F221" s="32">
        <v>8.5349249445453315E-2</v>
      </c>
      <c r="G221" s="32">
        <v>-8.2415485793313377E-3</v>
      </c>
      <c r="H221" s="32">
        <v>1.3461567189908291E-2</v>
      </c>
      <c r="I221" s="32">
        <v>1.2229225639725814E-2</v>
      </c>
      <c r="J221" s="32">
        <v>3.5946242710450847E-2</v>
      </c>
      <c r="K221" s="32">
        <v>-2.3878893731126657E-2</v>
      </c>
      <c r="L221" s="32">
        <v>-1.5634494023554116E-2</v>
      </c>
      <c r="M221" s="32">
        <v>2.58673226536081E-2</v>
      </c>
      <c r="N221" s="32">
        <v>0.15574578324700869</v>
      </c>
      <c r="O221" s="32">
        <v>-2.3288387740576108E-2</v>
      </c>
      <c r="P221" s="32">
        <v>-0.16598392079271454</v>
      </c>
      <c r="Q221" s="32">
        <v>5.3175637621074467E-2</v>
      </c>
      <c r="R221" s="32">
        <v>-0.1365835755461868</v>
      </c>
      <c r="S221" s="32">
        <v>-0.27301598336210264</v>
      </c>
      <c r="T221" s="32">
        <v>8.9448944319483525E-2</v>
      </c>
      <c r="U221" s="32">
        <v>-2.2936981086508962E-2</v>
      </c>
      <c r="V221" s="32">
        <v>1.2746454155899922E-2</v>
      </c>
      <c r="W221" s="32">
        <v>3.9576711371275511E-2</v>
      </c>
      <c r="X221" s="32">
        <v>6.8322065223418077E-2</v>
      </c>
      <c r="Y221" s="32">
        <v>-5.3878319440112253E-2</v>
      </c>
      <c r="Z221" s="32">
        <v>-5.5602277672701261E-2</v>
      </c>
      <c r="AA221" s="32">
        <v>-1.116463363778003E-2</v>
      </c>
      <c r="AB221" s="32">
        <v>-3.2964199121395685E-2</v>
      </c>
      <c r="AC221" s="32">
        <v>1.1512272199896034E-2</v>
      </c>
      <c r="AD221" s="32">
        <v>0.10622966540188519</v>
      </c>
      <c r="AE221" s="32">
        <v>-8.8585485592613186E-3</v>
      </c>
      <c r="AF221" s="32">
        <v>-6.484497632967437E-2</v>
      </c>
      <c r="AG221" s="49">
        <v>0.28431056804682742</v>
      </c>
      <c r="AI221" s="3" cm="1">
        <f t="array" ref="AI221">SQRT(INDEX(_xlfn.ANCHORARRAY($B$190),A221,A221))</f>
        <v>0.53320780943908486</v>
      </c>
      <c r="AJ221" s="23"/>
      <c r="AK221" s="4">
        <f t="shared" si="29"/>
        <v>0.49273657971282336</v>
      </c>
      <c r="AL221" s="106">
        <f t="shared" si="30"/>
        <v>0.96460330088522483</v>
      </c>
      <c r="AM221" s="109" t="str">
        <f t="shared" si="31"/>
        <v>Spełniony</v>
      </c>
      <c r="AN221" s="23"/>
      <c r="AO221" s="23"/>
      <c r="AP221" s="23"/>
      <c r="AQ221" s="23"/>
    </row>
  </sheetData>
  <mergeCells count="18">
    <mergeCell ref="P3:R3"/>
    <mergeCell ref="B39:Q39"/>
    <mergeCell ref="S39:S41"/>
    <mergeCell ref="B75:Q75"/>
    <mergeCell ref="U91:AZ91"/>
    <mergeCell ref="A126:A128"/>
    <mergeCell ref="B130:Q130"/>
    <mergeCell ref="R130:T130"/>
    <mergeCell ref="A147:A149"/>
    <mergeCell ref="Y112:Y114"/>
    <mergeCell ref="B109:Q109"/>
    <mergeCell ref="R109:T109"/>
    <mergeCell ref="B154:AG154"/>
    <mergeCell ref="AK188:AM188"/>
    <mergeCell ref="B189:AG189"/>
    <mergeCell ref="AO189:AP189"/>
    <mergeCell ref="AO192:AP192"/>
    <mergeCell ref="AJ154:BO15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mc="http://schemas.openxmlformats.org/markup-compatibility/2006" xmlns:x14ac="http://schemas.microsoft.com/office/spreadsheetml/2009/9/ac" xmlns:xr="http://schemas.microsoft.com/office/spreadsheetml/2014/revision" mc:Ignorable="x14ac xr xr2 xr3" xr:uid="{00000000-0001-0000-0500-000000000000}">
  <dimension ref="A3:BT221"/>
  <sheetViews>
    <sheetView workbookViewId="0"/>
  </sheetViews>
  <sheetFormatPr baseColWidth="10" defaultColWidth="8.83203125" defaultRowHeight="15"/>
  <cols>
    <col min="1" max="1" width="5" customWidth="1"/>
    <col min="2" max="4" width="10" customWidth="1"/>
    <col min="5" max="5" width="12" customWidth="1"/>
    <col min="6" max="7" width="10" customWidth="1"/>
    <col min="8" max="13" width="11" customWidth="1"/>
    <col min="14" max="16" width="12" customWidth="1"/>
    <col min="17" max="23" width="11" customWidth="1"/>
  </cols>
  <sheetData>
    <row r="3" spans="2:18" ht="18" customHeight="1">
      <c r="B3" s="408" t="s">
        <v>4</v>
      </c>
      <c r="C3" s="409" t="s">
        <v>5</v>
      </c>
      <c r="D3" s="409" t="s">
        <v>6</v>
      </c>
      <c r="E3" s="409" t="s">
        <v>16</v>
      </c>
      <c r="F3" s="409" t="s">
        <v>17</v>
      </c>
      <c r="G3" s="409" t="s">
        <v>18</v>
      </c>
      <c r="H3" s="409" t="s">
        <v>19</v>
      </c>
      <c r="I3" s="409" t="s">
        <v>20</v>
      </c>
      <c r="J3" s="409" t="s">
        <v>21</v>
      </c>
      <c r="K3" s="409" t="s">
        <v>22</v>
      </c>
      <c r="L3" s="409" t="s">
        <v>23</v>
      </c>
      <c r="M3" s="410" t="s">
        <v>24</v>
      </c>
      <c r="N3" s="411"/>
      <c r="O3" s="411"/>
      <c r="P3" s="412" t="s">
        <v>3</v>
      </c>
      <c r="Q3" s="255"/>
      <c r="R3" s="256"/>
    </row>
    <row r="4" spans="2:18">
      <c r="B4" s="34">
        <f>Dane!F5</f>
        <v>7</v>
      </c>
      <c r="C4" s="35">
        <f>Dane!G5</f>
        <v>1</v>
      </c>
      <c r="D4" s="35">
        <f>Dane!H5</f>
        <v>0</v>
      </c>
      <c r="E4" s="35">
        <f>Dane!I5</f>
        <v>271.702</v>
      </c>
      <c r="F4" s="35">
        <f>Dane!M5-Dane!M11</f>
        <v>60</v>
      </c>
      <c r="G4" s="35">
        <f>Dane!N5-Dane!N11</f>
        <v>-265</v>
      </c>
      <c r="H4" s="36">
        <f>SQRT(F4^2+G4^2)</f>
        <v>271.70756338387048</v>
      </c>
      <c r="I4" s="35">
        <f>IF(ATAN2(F4,G4)*200/PI()&lt;0,ATAN2(F4,G4)*200/PI()+400)</f>
        <v>314.17503573430741</v>
      </c>
      <c r="J4" s="35">
        <f>SIN(I4*PI()/200)</f>
        <v>-0.97531329897359553</v>
      </c>
      <c r="K4" s="35">
        <f>COS(I4*PI()/200)</f>
        <v>0.22082565259779471</v>
      </c>
      <c r="L4" s="111">
        <f>0.001+0.000001*E4</f>
        <v>1.271702E-3</v>
      </c>
      <c r="M4" s="38">
        <f>H4-E4</f>
        <v>5.5633838704807204E-3</v>
      </c>
      <c r="N4" s="413"/>
      <c r="O4" s="413"/>
      <c r="P4" s="414" t="s">
        <v>8</v>
      </c>
      <c r="Q4" s="6" t="s">
        <v>9</v>
      </c>
      <c r="R4" s="7" t="s">
        <v>10</v>
      </c>
    </row>
    <row r="5" spans="2:18">
      <c r="B5" s="34">
        <f>Dane!F6</f>
        <v>7</v>
      </c>
      <c r="C5" s="35">
        <f>Dane!G6</f>
        <v>5</v>
      </c>
      <c r="D5" s="35">
        <f>Dane!H6</f>
        <v>0</v>
      </c>
      <c r="E5" s="35">
        <f>Dane!I6</f>
        <v>155.72790000000001</v>
      </c>
      <c r="F5" s="1">
        <f>Dane!M9-Dane!M11</f>
        <v>115</v>
      </c>
      <c r="G5" s="1">
        <f>Dane!N9-Dane!N11</f>
        <v>105</v>
      </c>
      <c r="H5" s="24">
        <f t="shared" ref="H5:H23" si="0">SQRT(F5^2+G5^2)</f>
        <v>155.72411502397438</v>
      </c>
      <c r="I5" s="1">
        <f>IF(ATAN2(F5,G5)*200/PI()&lt;0,ATAN2(F5,G5)*200/PI()+400,ATAN2(F5,G5)*200/PI())</f>
        <v>47.108264219444663</v>
      </c>
      <c r="J5" s="1">
        <f t="shared" ref="J5:J23" si="1">SIN(I5*PI()/200)</f>
        <v>0.67426936402133231</v>
      </c>
      <c r="K5" s="1">
        <f t="shared" ref="K5:K23" si="2">COS(I5*PI()/200)</f>
        <v>0.7384854939281259</v>
      </c>
      <c r="L5" s="26">
        <f t="shared" ref="L5:L23" si="3">0.001+0.000001*E5</f>
        <v>1.1557278999999999E-3</v>
      </c>
      <c r="M5" s="30">
        <f t="shared" ref="M5:M23" si="4">H5-E5</f>
        <v>-3.7849760256278842E-3</v>
      </c>
      <c r="P5" s="8">
        <v>1</v>
      </c>
      <c r="Q5" s="9">
        <v>240</v>
      </c>
      <c r="R5" s="10">
        <v>120</v>
      </c>
    </row>
    <row r="6" spans="2:18">
      <c r="B6" s="34">
        <f>Dane!F7</f>
        <v>7</v>
      </c>
      <c r="C6" s="35">
        <f>Dane!G7</f>
        <v>6</v>
      </c>
      <c r="D6" s="35">
        <f>Dane!H7</f>
        <v>0</v>
      </c>
      <c r="E6" s="35">
        <f>Dane!I7</f>
        <v>178.46850000000001</v>
      </c>
      <c r="F6" s="1">
        <f>Dane!M10-Dane!M11</f>
        <v>-35</v>
      </c>
      <c r="G6" s="1">
        <f>Dane!N10-Dane!N11</f>
        <v>175</v>
      </c>
      <c r="H6" s="24">
        <f t="shared" si="0"/>
        <v>178.46568297574746</v>
      </c>
      <c r="I6" s="1">
        <f>IF(ATAN2(F6,G6)*200/PI()&lt;0,ATAN2(F6,G6)*200/PI()+400,ATAN2(F6,G6)*200/PI())</f>
        <v>112.56659163780024</v>
      </c>
      <c r="J6" s="1">
        <f t="shared" si="1"/>
        <v>0.98058067569092011</v>
      </c>
      <c r="K6" s="1">
        <f t="shared" si="2"/>
        <v>-0.1961161351381841</v>
      </c>
      <c r="L6" s="26">
        <f t="shared" si="3"/>
        <v>1.1784685E-3</v>
      </c>
      <c r="M6" s="30">
        <f t="shared" si="4"/>
        <v>-2.8170242525504818E-3</v>
      </c>
      <c r="P6" s="11">
        <v>2</v>
      </c>
      <c r="Q6" s="1">
        <v>385</v>
      </c>
      <c r="R6" s="12">
        <v>145</v>
      </c>
    </row>
    <row r="7" spans="2:18">
      <c r="B7" s="34">
        <f>Dane!F8</f>
        <v>7</v>
      </c>
      <c r="C7" s="35">
        <f>Dane!G8</f>
        <v>8</v>
      </c>
      <c r="D7" s="35">
        <f>Dane!H8</f>
        <v>0</v>
      </c>
      <c r="E7" s="35">
        <f>Dane!I8</f>
        <v>148.06890000000001</v>
      </c>
      <c r="F7" s="1">
        <f>Dane!M12-Dane!M11</f>
        <v>-30</v>
      </c>
      <c r="G7" s="1">
        <f>Dane!N12-Dane!N11</f>
        <v>-145</v>
      </c>
      <c r="H7" s="24">
        <f t="shared" si="0"/>
        <v>148.07092894960846</v>
      </c>
      <c r="I7" s="1">
        <f t="shared" ref="I7:I23" si="5">IF(ATAN2(F7,G7)*200/PI()&lt;0,ATAN2(F7,G7)*200/PI()+400)</f>
        <v>287.01181202728981</v>
      </c>
      <c r="J7" s="1">
        <f t="shared" si="1"/>
        <v>-0.97926041950710285</v>
      </c>
      <c r="K7" s="1">
        <f t="shared" si="2"/>
        <v>-0.20260560403595176</v>
      </c>
      <c r="L7" s="26">
        <f t="shared" si="3"/>
        <v>1.1480689E-3</v>
      </c>
      <c r="M7" s="30">
        <f t="shared" si="4"/>
        <v>2.0289496084444636E-3</v>
      </c>
      <c r="P7" s="11">
        <v>3</v>
      </c>
      <c r="Q7" s="1">
        <v>475</v>
      </c>
      <c r="R7" s="12">
        <v>245</v>
      </c>
    </row>
    <row r="8" spans="2:18">
      <c r="B8" s="34">
        <f>Dane!F9</f>
        <v>7</v>
      </c>
      <c r="C8" s="35">
        <f>Dane!G9</f>
        <v>9</v>
      </c>
      <c r="D8" s="35">
        <f>Dane!H9</f>
        <v>0</v>
      </c>
      <c r="E8" s="35">
        <f>Dane!I9</f>
        <v>174.52199999999999</v>
      </c>
      <c r="F8" s="1">
        <f>Dane!M13-Dane!M11</f>
        <v>133</v>
      </c>
      <c r="G8" s="1">
        <f>Dane!N13-Dane!N11</f>
        <v>-113</v>
      </c>
      <c r="H8" s="24">
        <f t="shared" si="0"/>
        <v>174.52220489095365</v>
      </c>
      <c r="I8" s="1">
        <f t="shared" si="5"/>
        <v>355.16441187931889</v>
      </c>
      <c r="J8" s="1">
        <f t="shared" si="1"/>
        <v>-0.64748207868795626</v>
      </c>
      <c r="K8" s="1">
        <f t="shared" si="2"/>
        <v>0.76208067668582391</v>
      </c>
      <c r="L8" s="26">
        <f t="shared" si="3"/>
        <v>1.1745219999999999E-3</v>
      </c>
      <c r="M8" s="30">
        <f t="shared" si="4"/>
        <v>2.0489095365405774E-4</v>
      </c>
      <c r="P8" s="11">
        <v>4</v>
      </c>
      <c r="Q8" s="1">
        <v>435</v>
      </c>
      <c r="R8" s="12">
        <v>435</v>
      </c>
    </row>
    <row r="9" spans="2:18">
      <c r="B9" s="34">
        <f>Dane!F10</f>
        <v>8</v>
      </c>
      <c r="C9" s="35">
        <f>Dane!G10</f>
        <v>1</v>
      </c>
      <c r="D9" s="35">
        <f>Dane!H10</f>
        <v>0</v>
      </c>
      <c r="E9" s="35">
        <f>Dane!I10</f>
        <v>150.00059999999999</v>
      </c>
      <c r="F9" s="1">
        <f>Dane!M5-Dane!M12</f>
        <v>90</v>
      </c>
      <c r="G9" s="1">
        <f>Dane!N5-Dane!N12</f>
        <v>-120</v>
      </c>
      <c r="H9" s="24">
        <f t="shared" si="0"/>
        <v>150</v>
      </c>
      <c r="I9" s="1">
        <f t="shared" si="5"/>
        <v>340.96655293982667</v>
      </c>
      <c r="J9" s="1">
        <f t="shared" si="1"/>
        <v>-0.80000000000000016</v>
      </c>
      <c r="K9" s="1">
        <f t="shared" si="2"/>
        <v>0.59999999999999976</v>
      </c>
      <c r="L9" s="26">
        <f t="shared" si="3"/>
        <v>1.1500006E-3</v>
      </c>
      <c r="M9" s="30">
        <f t="shared" si="4"/>
        <v>-5.9999999999149622E-4</v>
      </c>
      <c r="P9" s="11">
        <v>5</v>
      </c>
      <c r="Q9" s="1">
        <v>295</v>
      </c>
      <c r="R9" s="12">
        <v>490</v>
      </c>
    </row>
    <row r="10" spans="2:18">
      <c r="B10" s="34">
        <f>Dane!F11</f>
        <v>8</v>
      </c>
      <c r="C10" s="35">
        <f>Dane!G11</f>
        <v>9</v>
      </c>
      <c r="D10" s="35">
        <f>Dane!H11</f>
        <v>0</v>
      </c>
      <c r="E10" s="35">
        <f>Dane!I11</f>
        <v>166.11449999999999</v>
      </c>
      <c r="F10" s="1">
        <f>Dane!M13-Dane!M12</f>
        <v>163</v>
      </c>
      <c r="G10" s="1">
        <f>Dane!N13-Dane!N12</f>
        <v>32</v>
      </c>
      <c r="H10" s="24">
        <f t="shared" si="0"/>
        <v>166.11140839809889</v>
      </c>
      <c r="I10" s="1">
        <f>IF(ATAN2(F10,G10)*200/PI()&lt;0,ATAN2(F10,G10)*200/PI()+400,ATAN2(F10,G10)*200/PI())</f>
        <v>12.341107419302547</v>
      </c>
      <c r="J10" s="1">
        <f t="shared" si="1"/>
        <v>0.19264179569960369</v>
      </c>
      <c r="K10" s="1">
        <f t="shared" si="2"/>
        <v>0.98126914684485633</v>
      </c>
      <c r="L10" s="26">
        <f t="shared" si="3"/>
        <v>1.1661144999999999E-3</v>
      </c>
      <c r="M10" s="30">
        <f t="shared" si="4"/>
        <v>-3.0916019011044682E-3</v>
      </c>
      <c r="P10" s="11">
        <v>6</v>
      </c>
      <c r="Q10" s="1">
        <v>145</v>
      </c>
      <c r="R10" s="12">
        <v>560</v>
      </c>
    </row>
    <row r="11" spans="2:18">
      <c r="B11" s="34">
        <f>Dane!F12</f>
        <v>8</v>
      </c>
      <c r="C11" s="35">
        <f>Dane!G12</f>
        <v>7</v>
      </c>
      <c r="D11" s="35">
        <f>Dane!H12</f>
        <v>0</v>
      </c>
      <c r="E11" s="35">
        <f>Dane!I12</f>
        <v>148.0712</v>
      </c>
      <c r="F11" s="1">
        <f>Dane!M11-Dane!M12</f>
        <v>30</v>
      </c>
      <c r="G11" s="1">
        <f>Dane!N11-Dane!N12</f>
        <v>145</v>
      </c>
      <c r="H11" s="24">
        <f t="shared" si="0"/>
        <v>148.07092894960846</v>
      </c>
      <c r="I11" s="1">
        <f t="shared" ref="I11:I19" si="6">IF(ATAN2(F11,G11)*200/PI()&lt;0,ATAN2(F11,G11)*200/PI()+400,ATAN2(F11,G11)*200/PI())</f>
        <v>87.011812027289793</v>
      </c>
      <c r="J11" s="1">
        <f t="shared" si="1"/>
        <v>0.97926041950710274</v>
      </c>
      <c r="K11" s="1">
        <f t="shared" si="2"/>
        <v>0.20260560403595229</v>
      </c>
      <c r="L11" s="26">
        <f t="shared" si="3"/>
        <v>1.1480711999999999E-3</v>
      </c>
      <c r="M11" s="30">
        <f t="shared" si="4"/>
        <v>-2.7105039154662336E-4</v>
      </c>
      <c r="P11" s="11">
        <v>7</v>
      </c>
      <c r="Q11" s="1">
        <v>180</v>
      </c>
      <c r="R11" s="12">
        <v>385</v>
      </c>
    </row>
    <row r="12" spans="2:18">
      <c r="B12" s="34">
        <f>Dane!F13</f>
        <v>8</v>
      </c>
      <c r="C12" s="35">
        <f>Dane!G13</f>
        <v>6</v>
      </c>
      <c r="D12" s="35">
        <f>Dane!H13</f>
        <v>0</v>
      </c>
      <c r="E12" s="35">
        <f>Dane!I13</f>
        <v>320.04450000000003</v>
      </c>
      <c r="F12" s="1">
        <f>Dane!M10-Dane!M12</f>
        <v>-5</v>
      </c>
      <c r="G12" s="1">
        <f>Dane!N10-Dane!N12</f>
        <v>320</v>
      </c>
      <c r="H12" s="24">
        <f t="shared" si="0"/>
        <v>320.03906011610519</v>
      </c>
      <c r="I12" s="1">
        <f t="shared" si="6"/>
        <v>100.99463745579008</v>
      </c>
      <c r="J12" s="1">
        <f t="shared" si="1"/>
        <v>0.99987795203469532</v>
      </c>
      <c r="K12" s="1">
        <f t="shared" si="2"/>
        <v>-1.5623093000542007E-2</v>
      </c>
      <c r="L12" s="26">
        <f t="shared" si="3"/>
        <v>1.3200445E-3</v>
      </c>
      <c r="M12" s="30">
        <f t="shared" si="4"/>
        <v>-5.4398838948372941E-3</v>
      </c>
      <c r="P12" s="11">
        <v>8</v>
      </c>
      <c r="Q12" s="1">
        <v>150</v>
      </c>
      <c r="R12" s="12">
        <v>240</v>
      </c>
    </row>
    <row r="13" spans="2:18">
      <c r="B13" s="34">
        <f>Dane!F14</f>
        <v>1</v>
      </c>
      <c r="C13" s="35">
        <f>Dane!G14</f>
        <v>2</v>
      </c>
      <c r="D13" s="35">
        <f>Dane!H14</f>
        <v>0</v>
      </c>
      <c r="E13" s="35">
        <f>Dane!I14</f>
        <v>147.1241</v>
      </c>
      <c r="F13" s="1">
        <f>Dane!M6-Dane!M5</f>
        <v>145</v>
      </c>
      <c r="G13" s="1">
        <f>Dane!N6-Dane!N5</f>
        <v>25</v>
      </c>
      <c r="H13" s="24">
        <f t="shared" si="0"/>
        <v>147.13938969562162</v>
      </c>
      <c r="I13" s="1">
        <f t="shared" si="6"/>
        <v>10.869341146452541</v>
      </c>
      <c r="J13" s="1">
        <f t="shared" si="1"/>
        <v>0.16990691650764622</v>
      </c>
      <c r="K13" s="1">
        <f t="shared" si="2"/>
        <v>0.985460115744348</v>
      </c>
      <c r="L13" s="26">
        <f t="shared" si="3"/>
        <v>1.1471241000000001E-3</v>
      </c>
      <c r="M13" s="30">
        <f t="shared" si="4"/>
        <v>1.5289695621618193E-2</v>
      </c>
      <c r="P13" s="13">
        <v>9</v>
      </c>
      <c r="Q13" s="14">
        <v>314</v>
      </c>
      <c r="R13" s="15">
        <v>271</v>
      </c>
    </row>
    <row r="14" spans="2:18">
      <c r="B14" s="34">
        <f>Dane!F15</f>
        <v>1</v>
      </c>
      <c r="C14" s="35">
        <f>Dane!G15</f>
        <v>9</v>
      </c>
      <c r="D14" s="35">
        <f>Dane!H15</f>
        <v>0</v>
      </c>
      <c r="E14" s="35">
        <f>Dane!I15</f>
        <v>168.61080000000001</v>
      </c>
      <c r="F14" s="1">
        <f>Dane!M13-Dane!M5</f>
        <v>73</v>
      </c>
      <c r="G14" s="1">
        <f>Dane!N13-Dane!N5</f>
        <v>152</v>
      </c>
      <c r="H14" s="24">
        <f t="shared" si="0"/>
        <v>168.62087652482418</v>
      </c>
      <c r="I14" s="1">
        <f t="shared" si="6"/>
        <v>71.496378905738268</v>
      </c>
      <c r="J14" s="1">
        <f t="shared" si="1"/>
        <v>0.90143049385479113</v>
      </c>
      <c r="K14" s="1">
        <f t="shared" si="2"/>
        <v>0.43292385560131397</v>
      </c>
      <c r="L14" s="26">
        <f t="shared" si="3"/>
        <v>1.1686108000000001E-3</v>
      </c>
      <c r="M14" s="30">
        <f t="shared" si="4"/>
        <v>1.0076524824171429E-2</v>
      </c>
    </row>
    <row r="15" spans="2:18">
      <c r="B15" s="34">
        <f>Dane!F16</f>
        <v>1</v>
      </c>
      <c r="C15" s="35">
        <f>Dane!G16</f>
        <v>7</v>
      </c>
      <c r="D15" s="35">
        <f>Dane!H16</f>
        <v>0</v>
      </c>
      <c r="E15" s="35">
        <f>Dane!I16</f>
        <v>271.70080000000002</v>
      </c>
      <c r="F15" s="1">
        <f>Dane!M11-Dane!M5</f>
        <v>-60</v>
      </c>
      <c r="G15" s="1">
        <f>Dane!N11-Dane!N5</f>
        <v>265</v>
      </c>
      <c r="H15" s="24">
        <f t="shared" si="0"/>
        <v>271.70756338387048</v>
      </c>
      <c r="I15" s="1">
        <f t="shared" si="6"/>
        <v>114.17503573430741</v>
      </c>
      <c r="J15" s="1">
        <f t="shared" si="1"/>
        <v>0.97531329897359542</v>
      </c>
      <c r="K15" s="1">
        <f t="shared" si="2"/>
        <v>-0.22082565259779505</v>
      </c>
      <c r="L15" s="26">
        <f t="shared" si="3"/>
        <v>1.2717008E-3</v>
      </c>
      <c r="M15" s="30">
        <f t="shared" si="4"/>
        <v>6.7633838704637128E-3</v>
      </c>
    </row>
    <row r="16" spans="2:18">
      <c r="B16" s="34">
        <f>Dane!F17</f>
        <v>2</v>
      </c>
      <c r="C16" s="35">
        <f>Dane!G17</f>
        <v>8</v>
      </c>
      <c r="D16" s="35">
        <f>Dane!H17</f>
        <v>0</v>
      </c>
      <c r="E16" s="35">
        <f>Dane!I17</f>
        <v>253.47229999999999</v>
      </c>
      <c r="F16" s="1">
        <f>Dane!M12-Dane!M6</f>
        <v>-235</v>
      </c>
      <c r="G16" s="1">
        <f>Dane!N12-Dane!N6</f>
        <v>95</v>
      </c>
      <c r="H16" s="24">
        <f t="shared" si="0"/>
        <v>253.47583711273151</v>
      </c>
      <c r="I16" s="1">
        <f t="shared" si="6"/>
        <v>175.54301866897848</v>
      </c>
      <c r="J16" s="1">
        <f t="shared" si="1"/>
        <v>0.37478917549742424</v>
      </c>
      <c r="K16" s="1">
        <f t="shared" si="2"/>
        <v>-0.92711006570415411</v>
      </c>
      <c r="L16" s="26">
        <f t="shared" si="3"/>
        <v>1.2534722999999999E-3</v>
      </c>
      <c r="M16" s="30">
        <f t="shared" si="4"/>
        <v>3.5371127315215745E-3</v>
      </c>
    </row>
    <row r="17" spans="2:20">
      <c r="B17" s="34">
        <f>Dane!F18</f>
        <v>2</v>
      </c>
      <c r="C17" s="35">
        <f>Dane!G18</f>
        <v>9</v>
      </c>
      <c r="D17" s="35">
        <f>Dane!H18</f>
        <v>0</v>
      </c>
      <c r="E17" s="35">
        <f>Dane!I18</f>
        <v>145.98650000000001</v>
      </c>
      <c r="F17" s="1">
        <f>Dane!M13-Dane!M6</f>
        <v>-72</v>
      </c>
      <c r="G17" s="1">
        <f>Dane!N13-Dane!N6</f>
        <v>127</v>
      </c>
      <c r="H17" s="24">
        <f t="shared" si="0"/>
        <v>145.98972566588375</v>
      </c>
      <c r="I17" s="1">
        <f t="shared" si="6"/>
        <v>132.83351557704827</v>
      </c>
      <c r="J17" s="1">
        <f t="shared" si="1"/>
        <v>0.86992423213847114</v>
      </c>
      <c r="K17" s="1">
        <f t="shared" si="2"/>
        <v>-0.49318539144858226</v>
      </c>
      <c r="L17" s="26">
        <f t="shared" si="3"/>
        <v>1.1459865000000001E-3</v>
      </c>
      <c r="M17" s="30">
        <f t="shared" si="4"/>
        <v>3.2256658837468422E-3</v>
      </c>
    </row>
    <row r="18" spans="2:20">
      <c r="B18" s="34">
        <f>Dane!F19</f>
        <v>2</v>
      </c>
      <c r="C18" s="35">
        <f>Dane!G19</f>
        <v>4</v>
      </c>
      <c r="D18" s="35">
        <f>Dane!H19</f>
        <v>0</v>
      </c>
      <c r="E18" s="35">
        <f>Dane!I19</f>
        <v>294.27249999999998</v>
      </c>
      <c r="F18" s="1">
        <f>Dane!M8-Dane!M6</f>
        <v>50</v>
      </c>
      <c r="G18" s="1">
        <f>Dane!N8-Dane!N6</f>
        <v>290</v>
      </c>
      <c r="H18" s="24">
        <f t="shared" si="0"/>
        <v>294.27877939124323</v>
      </c>
      <c r="I18" s="1">
        <f t="shared" si="6"/>
        <v>89.130658853547459</v>
      </c>
      <c r="J18" s="1">
        <f t="shared" si="1"/>
        <v>0.985460115744348</v>
      </c>
      <c r="K18" s="1">
        <f t="shared" si="2"/>
        <v>0.16990691650764617</v>
      </c>
      <c r="L18" s="26">
        <f t="shared" si="3"/>
        <v>1.2942724999999999E-3</v>
      </c>
      <c r="M18" s="30">
        <f t="shared" si="4"/>
        <v>6.27939124325394E-3</v>
      </c>
    </row>
    <row r="19" spans="2:20">
      <c r="B19" s="34">
        <f>Dane!F20</f>
        <v>4</v>
      </c>
      <c r="C19" s="35">
        <f>Dane!G20</f>
        <v>5</v>
      </c>
      <c r="D19" s="35">
        <f>Dane!H20</f>
        <v>0</v>
      </c>
      <c r="E19" s="35">
        <f>Dane!I20</f>
        <v>150.42429999999999</v>
      </c>
      <c r="F19" s="1">
        <f>Dane!M9-Dane!M8</f>
        <v>-140</v>
      </c>
      <c r="G19" s="1">
        <f>Dane!N9-Dane!N8</f>
        <v>55</v>
      </c>
      <c r="H19" s="24">
        <f t="shared" si="0"/>
        <v>150.41608956491322</v>
      </c>
      <c r="I19" s="1">
        <f t="shared" si="6"/>
        <v>176.16918185877182</v>
      </c>
      <c r="J19" s="1">
        <f t="shared" si="1"/>
        <v>0.36565237242299375</v>
      </c>
      <c r="K19" s="1">
        <f t="shared" si="2"/>
        <v>-0.93075149344034702</v>
      </c>
      <c r="L19" s="26">
        <f t="shared" si="3"/>
        <v>1.1504243E-3</v>
      </c>
      <c r="M19" s="30">
        <f t="shared" si="4"/>
        <v>-8.2104350867666653E-3</v>
      </c>
    </row>
    <row r="20" spans="2:20">
      <c r="B20" s="34">
        <f>Dane!F21</f>
        <v>4</v>
      </c>
      <c r="C20" s="35">
        <f>Dane!G21</f>
        <v>7</v>
      </c>
      <c r="D20" s="35">
        <f>Dane!H21</f>
        <v>0</v>
      </c>
      <c r="E20" s="35">
        <f>Dane!I21</f>
        <v>259.86799999999999</v>
      </c>
      <c r="F20" s="1">
        <f>Dane!M11-Dane!M8</f>
        <v>-255</v>
      </c>
      <c r="G20" s="1">
        <f>Dane!N11-Dane!N8</f>
        <v>-50</v>
      </c>
      <c r="H20" s="24">
        <f t="shared" si="0"/>
        <v>259.85572920372567</v>
      </c>
      <c r="I20" s="1">
        <f t="shared" si="5"/>
        <v>212.32635890173094</v>
      </c>
      <c r="J20" s="1">
        <f t="shared" si="1"/>
        <v>-0.19241446072101101</v>
      </c>
      <c r="K20" s="1">
        <f t="shared" si="2"/>
        <v>-0.98131374967715723</v>
      </c>
      <c r="L20" s="26">
        <f t="shared" si="3"/>
        <v>1.2598679999999999E-3</v>
      </c>
      <c r="M20" s="30">
        <f t="shared" si="4"/>
        <v>-1.2270796274322038E-2</v>
      </c>
    </row>
    <row r="21" spans="2:20">
      <c r="B21" s="34">
        <f>Dane!F22</f>
        <v>4</v>
      </c>
      <c r="C21" s="35">
        <f>Dane!G22</f>
        <v>9</v>
      </c>
      <c r="D21" s="35">
        <f>Dane!H22</f>
        <v>0</v>
      </c>
      <c r="E21" s="35">
        <f>Dane!I22</f>
        <v>203.6019</v>
      </c>
      <c r="F21" s="1">
        <f>Dane!M13-Dane!M8</f>
        <v>-122</v>
      </c>
      <c r="G21" s="1">
        <f>Dane!N13-Dane!N8</f>
        <v>-163</v>
      </c>
      <c r="H21" s="24">
        <f t="shared" si="0"/>
        <v>203.60009823180343</v>
      </c>
      <c r="I21" s="1">
        <f t="shared" si="5"/>
        <v>259.09598336347381</v>
      </c>
      <c r="J21" s="1">
        <f t="shared" si="1"/>
        <v>-0.80058900469891048</v>
      </c>
      <c r="K21" s="1">
        <f t="shared" si="2"/>
        <v>-0.59921385627771317</v>
      </c>
      <c r="L21" s="26">
        <f t="shared" si="3"/>
        <v>1.2036019E-3</v>
      </c>
      <c r="M21" s="30">
        <f t="shared" si="4"/>
        <v>-1.8017681965716292E-3</v>
      </c>
    </row>
    <row r="22" spans="2:20">
      <c r="B22" s="34">
        <f>Dane!F23</f>
        <v>6</v>
      </c>
      <c r="C22" s="35">
        <f>Dane!G23</f>
        <v>9</v>
      </c>
      <c r="D22" s="35">
        <f>Dane!H23</f>
        <v>0</v>
      </c>
      <c r="E22" s="35">
        <f>Dane!I23</f>
        <v>333.41739999999999</v>
      </c>
      <c r="F22" s="1">
        <f>Dane!M13-Dane!M10</f>
        <v>168</v>
      </c>
      <c r="G22" s="1">
        <f>Dane!N13-Dane!N10</f>
        <v>-288</v>
      </c>
      <c r="H22" s="24">
        <f t="shared" si="0"/>
        <v>333.41865574679531</v>
      </c>
      <c r="I22" s="1">
        <f t="shared" si="5"/>
        <v>333.61826351503248</v>
      </c>
      <c r="J22" s="1">
        <f t="shared" si="1"/>
        <v>-0.86377890089843368</v>
      </c>
      <c r="K22" s="1">
        <f t="shared" si="2"/>
        <v>0.50387102552408569</v>
      </c>
      <c r="L22" s="26">
        <f t="shared" si="3"/>
        <v>1.3334174000000001E-3</v>
      </c>
      <c r="M22" s="30">
        <f t="shared" si="4"/>
        <v>1.2557467953229207E-3</v>
      </c>
    </row>
    <row r="23" spans="2:20">
      <c r="B23" s="117">
        <f>Dane!F24</f>
        <v>6</v>
      </c>
      <c r="C23" s="116">
        <f>Dane!G24</f>
        <v>5</v>
      </c>
      <c r="D23" s="116">
        <f>Dane!H24</f>
        <v>0</v>
      </c>
      <c r="E23" s="116">
        <f>Dane!I24</f>
        <v>165.53030000000001</v>
      </c>
      <c r="F23" s="14">
        <f>Dane!M9-Dane!M10</f>
        <v>150</v>
      </c>
      <c r="G23" s="14">
        <f>Dane!N9-Dane!N10</f>
        <v>-70</v>
      </c>
      <c r="H23" s="31">
        <f t="shared" si="0"/>
        <v>165.5294535724685</v>
      </c>
      <c r="I23" s="14">
        <f t="shared" si="5"/>
        <v>372.203451691</v>
      </c>
      <c r="J23" s="14">
        <f t="shared" si="1"/>
        <v>-0.42288546533112437</v>
      </c>
      <c r="K23" s="14">
        <f t="shared" si="2"/>
        <v>0.90618313999526523</v>
      </c>
      <c r="L23" s="118">
        <f t="shared" si="3"/>
        <v>1.1655303E-3</v>
      </c>
      <c r="M23" s="33">
        <f t="shared" si="4"/>
        <v>-8.4642753151342731E-4</v>
      </c>
    </row>
    <row r="24" x14ac:dyDescent="0.2" ht="18" customHeight="1"/>
    <row r="25" spans="2:20" ht="18" customHeight="1">
      <c r="B25" s="415" t="s">
        <v>4</v>
      </c>
      <c r="C25" s="416" t="s">
        <v>5</v>
      </c>
      <c r="D25" s="416" t="s">
        <v>6</v>
      </c>
      <c r="E25" s="417" t="s">
        <v>25</v>
      </c>
      <c r="F25" s="416" t="s">
        <v>26</v>
      </c>
      <c r="G25" s="416" t="s">
        <v>27</v>
      </c>
      <c r="H25" s="418" t="s">
        <v>28</v>
      </c>
      <c r="I25" s="416" t="s">
        <v>29</v>
      </c>
      <c r="J25" s="416" t="s">
        <v>30</v>
      </c>
      <c r="K25" s="416" t="s">
        <v>31</v>
      </c>
      <c r="L25" s="416" t="s">
        <v>32</v>
      </c>
      <c r="M25" s="416" t="s">
        <v>33</v>
      </c>
      <c r="N25" s="417" t="s">
        <v>34</v>
      </c>
      <c r="O25" s="416" t="s">
        <v>35</v>
      </c>
      <c r="P25" s="416" t="s">
        <v>36</v>
      </c>
      <c r="Q25" s="419" t="s">
        <v>80</v>
      </c>
      <c r="R25" s="416" t="s">
        <v>81</v>
      </c>
      <c r="S25" s="416" t="s">
        <v>82</v>
      </c>
      <c r="T25" s="420" t="s">
        <v>83</v>
      </c>
    </row>
    <row r="26" spans="2:20">
      <c r="B26" s="50">
        <f>Dane!F25</f>
        <v>9</v>
      </c>
      <c r="C26" s="51">
        <f>Dane!G25</f>
        <v>1</v>
      </c>
      <c r="D26" s="35">
        <f>Dane!H25</f>
        <v>2</v>
      </c>
      <c r="E26" s="35">
        <f>Dane!I25</f>
        <v>61.334200000000003</v>
      </c>
      <c r="F26" s="35">
        <f>Dane!M5-Dane!M13</f>
        <v>-73</v>
      </c>
      <c r="G26" s="35">
        <f>Dane!N5-Dane!N13</f>
        <v>-152</v>
      </c>
      <c r="H26" s="35">
        <f>Dane!M6-Dane!M13</f>
        <v>72</v>
      </c>
      <c r="I26" s="35">
        <f>Dane!N6-Dane!N13</f>
        <v>-127</v>
      </c>
      <c r="J26" s="35">
        <f>F26^2+G26^2</f>
        <v>28433</v>
      </c>
      <c r="K26" s="35">
        <f>H26^2+I26^2</f>
        <v>21313</v>
      </c>
      <c r="L26" s="35">
        <f>IF(ATAN2(F26,G26)*200/PI()&lt;0,ATAN2(F26,G26)*200/PI()+400,ATAN2(F26,G26)*200/PI())</f>
        <v>271.49637890573825</v>
      </c>
      <c r="M26" s="35">
        <f>IF(ATAN2(H26,I26)*200/PI()&lt;0,ATAN2(H26,I26)*200/PI()+400,ATAN2(H26,I26)*200/PI())</f>
        <v>332.83351557704827</v>
      </c>
      <c r="N26" s="35">
        <f>IF(M26-L26&lt;0,M26-L26+400,M26-L26)</f>
        <v>61.33713667131002</v>
      </c>
      <c r="O26" s="35">
        <f>Dane!$M$15</f>
        <v>3</v>
      </c>
      <c r="P26" s="60">
        <f>N26-E26</f>
        <v>2.9366713100174024E-3</v>
      </c>
      <c r="Q26" s="35">
        <f>F26/J26*(2000000/PI())</f>
        <v>-1634.4825865309128</v>
      </c>
      <c r="R26" s="35">
        <f>G26/J26*2000000/PI()</f>
        <v>-3403.3062075712155</v>
      </c>
      <c r="S26" s="35">
        <f>H26/K26*2000000/PI()</f>
        <v>2150.6415619793488</v>
      </c>
      <c r="T26" s="61">
        <f>I26/K26*2000000/PI()</f>
        <v>-3793.4927551580181</v>
      </c>
    </row>
    <row r="27" spans="2:20">
      <c r="B27" s="50">
        <f>Dane!F26</f>
        <v>9</v>
      </c>
      <c r="C27" s="51">
        <f>Dane!G26</f>
        <v>2</v>
      </c>
      <c r="D27" s="35">
        <f>Dane!H26</f>
        <v>4</v>
      </c>
      <c r="E27" s="35">
        <f>Dane!I26</f>
        <v>126.2606</v>
      </c>
      <c r="F27" s="1">
        <f>Dane!M6-Dane!M13</f>
        <v>72</v>
      </c>
      <c r="G27" s="1">
        <f>Dane!N6-Dane!N13</f>
        <v>-127</v>
      </c>
      <c r="H27" s="1">
        <f>Dane!M8-Dane!M13</f>
        <v>122</v>
      </c>
      <c r="I27" s="1">
        <f>Dane!N8-Dane!N13</f>
        <v>163</v>
      </c>
      <c r="J27" s="1">
        <f t="shared" ref="J27:J37" si="7">F27^2+G27^2</f>
        <v>21313</v>
      </c>
      <c r="K27" s="1">
        <f t="shared" ref="K27:K37" si="8">H27^2+I27^2</f>
        <v>41453</v>
      </c>
      <c r="L27" s="1">
        <f t="shared" ref="L27:L37" si="9">IF(ATAN2(F27,G27)*200/PI()&lt;0,ATAN2(F27,G27)*200/PI()+400,ATAN2(F27,G27)*200/PI())</f>
        <v>332.83351557704827</v>
      </c>
      <c r="M27" s="1">
        <f t="shared" ref="M27:M37" si="10">IF(ATAN2(H27,I27)*200/PI()&lt;0,ATAN2(H27,I27)*200/PI()+400,ATAN2(H27,I27)*200/PI())</f>
        <v>59.095983363473813</v>
      </c>
      <c r="N27" s="1">
        <f t="shared" ref="N27:N37" si="11">IF(M27-L27&lt;0,M27-L27+400,M27-L27)</f>
        <v>126.26246778642553</v>
      </c>
      <c r="O27" s="1">
        <f>Dane!$M$15</f>
        <v>3</v>
      </c>
      <c r="P27" s="62">
        <f t="shared" ref="P27:P37" si="12">N27-E27</f>
        <v>1.8677864255352006E-3</v>
      </c>
      <c r="Q27" s="35">
        <f t="shared" ref="Q27:Q37" si="13">F27/J27*(2000000/PI())</f>
        <v>2150.6415619793488</v>
      </c>
      <c r="R27" s="1">
        <f t="shared" ref="R27:S37" si="14">G27/J27*2000000/PI()</f>
        <v>-3793.4927551580181</v>
      </c>
      <c r="S27" s="1">
        <f t="shared" si="14"/>
        <v>1873.6306715761204</v>
      </c>
      <c r="T27" s="12">
        <f t="shared" ref="T27:T37" si="15">I27/K27*2000000/PI()</f>
        <v>2503.2934382533417</v>
      </c>
    </row>
    <row r="28" spans="2:20">
      <c r="B28" s="50">
        <f>Dane!F27</f>
        <v>9</v>
      </c>
      <c r="C28" s="51">
        <f>Dane!G27</f>
        <v>4</v>
      </c>
      <c r="D28" s="35">
        <f>Dane!H27</f>
        <v>5</v>
      </c>
      <c r="E28" s="35">
        <f>Dane!I27</f>
        <v>46.151299999999999</v>
      </c>
      <c r="F28" s="1">
        <f>Dane!M8-Dane!M13</f>
        <v>122</v>
      </c>
      <c r="G28" s="1">
        <f>Dane!N8-Dane!N13</f>
        <v>163</v>
      </c>
      <c r="H28" s="1">
        <f>Dane!M9-Dane!M13</f>
        <v>-18</v>
      </c>
      <c r="I28" s="1">
        <f>Dane!N9-Dane!N13</f>
        <v>218</v>
      </c>
      <c r="J28" s="1">
        <f t="shared" si="7"/>
        <v>41453</v>
      </c>
      <c r="K28" s="1">
        <f t="shared" si="8"/>
        <v>47848</v>
      </c>
      <c r="L28" s="1">
        <f t="shared" si="9"/>
        <v>59.095983363473813</v>
      </c>
      <c r="M28" s="1">
        <f t="shared" si="10"/>
        <v>105.24459659004839</v>
      </c>
      <c r="N28" s="1">
        <f t="shared" si="11"/>
        <v>46.148613226574575</v>
      </c>
      <c r="O28" s="1">
        <f>Dane!$M$15</f>
        <v>3</v>
      </c>
      <c r="P28" s="62">
        <f t="shared" si="12"/>
        <v>-2.686773425423894E-3</v>
      </c>
      <c r="Q28" s="35">
        <f t="shared" si="13"/>
        <v>1873.6306715761207</v>
      </c>
      <c r="R28" s="1">
        <f t="shared" si="14"/>
        <v>2503.2934382533417</v>
      </c>
      <c r="S28" s="1">
        <f t="shared" si="14"/>
        <v>-239.49080217807358</v>
      </c>
      <c r="T28" s="12">
        <f t="shared" si="15"/>
        <v>2900.4997152677797</v>
      </c>
    </row>
    <row r="29" spans="2:20">
      <c r="B29" s="50">
        <f>Dane!F28</f>
        <v>9</v>
      </c>
      <c r="C29" s="51">
        <f>Dane!G28</f>
        <v>5</v>
      </c>
      <c r="D29" s="35">
        <f>Dane!H28</f>
        <v>7</v>
      </c>
      <c r="E29" s="35">
        <f>Dane!I28</f>
        <v>49.921900000000001</v>
      </c>
      <c r="F29" s="1">
        <f>Dane!M9-Dane!M13</f>
        <v>-18</v>
      </c>
      <c r="G29" s="1">
        <f>Dane!N9-Dane!N13</f>
        <v>218</v>
      </c>
      <c r="H29" s="1">
        <f>Dane!M11-Dane!M13</f>
        <v>-133</v>
      </c>
      <c r="I29" s="1">
        <f>Dane!N11-Dane!N13</f>
        <v>113</v>
      </c>
      <c r="J29" s="1">
        <f t="shared" si="7"/>
        <v>47848</v>
      </c>
      <c r="K29" s="1">
        <f t="shared" si="8"/>
        <v>30458</v>
      </c>
      <c r="L29" s="1">
        <f t="shared" si="9"/>
        <v>105.24459659004839</v>
      </c>
      <c r="M29" s="1">
        <f t="shared" si="10"/>
        <v>155.16441187931892</v>
      </c>
      <c r="N29" s="1">
        <f t="shared" si="11"/>
        <v>49.919815289270531</v>
      </c>
      <c r="O29" s="1">
        <f>Dane!$M$15</f>
        <v>3</v>
      </c>
      <c r="P29" s="62">
        <f t="shared" si="12"/>
        <v>-2.0847107294699185E-3</v>
      </c>
      <c r="Q29" s="35">
        <f t="shared" si="13"/>
        <v>-239.49080217807358</v>
      </c>
      <c r="R29" s="1">
        <f t="shared" si="14"/>
        <v>2900.4997152677797</v>
      </c>
      <c r="S29" s="1">
        <f t="shared" si="14"/>
        <v>-2779.9077327758987</v>
      </c>
      <c r="T29" s="12">
        <f t="shared" si="15"/>
        <v>2361.876494764485</v>
      </c>
    </row>
    <row r="30" spans="2:20">
      <c r="B30" s="50">
        <f>Dane!F29</f>
        <v>9</v>
      </c>
      <c r="C30" s="51">
        <f>Dane!G29</f>
        <v>7</v>
      </c>
      <c r="D30" s="35">
        <f>Dane!H29</f>
        <v>8</v>
      </c>
      <c r="E30" s="35">
        <f>Dane!I29</f>
        <v>57.176400000000001</v>
      </c>
      <c r="F30" s="1">
        <f>Dane!M11-Dane!M13</f>
        <v>-133</v>
      </c>
      <c r="G30" s="1">
        <f>Dane!N11-Dane!N13</f>
        <v>113</v>
      </c>
      <c r="H30" s="1">
        <f>Dane!M12-Dane!M13</f>
        <v>-163</v>
      </c>
      <c r="I30" s="1">
        <f>Dane!N12-Dane!N13</f>
        <v>-32</v>
      </c>
      <c r="J30" s="1">
        <f t="shared" si="7"/>
        <v>30458</v>
      </c>
      <c r="K30" s="1">
        <f t="shared" si="8"/>
        <v>27593</v>
      </c>
      <c r="L30" s="1">
        <f t="shared" si="9"/>
        <v>155.16441187931892</v>
      </c>
      <c r="M30" s="1">
        <f t="shared" si="10"/>
        <v>212.34110741930257</v>
      </c>
      <c r="N30" s="1">
        <f t="shared" si="11"/>
        <v>57.176695539983655</v>
      </c>
      <c r="O30" s="1">
        <f>Dane!$M$15</f>
        <v>3</v>
      </c>
      <c r="P30" s="62">
        <f t="shared" si="12"/>
        <v>2.9553998365372536E-4</v>
      </c>
      <c r="Q30" s="35">
        <f t="shared" si="13"/>
        <v>-2779.9077327758987</v>
      </c>
      <c r="R30" s="1">
        <f t="shared" si="14"/>
        <v>2361.876494764485</v>
      </c>
      <c r="S30" s="1">
        <f t="shared" si="14"/>
        <v>-3760.7010073538854</v>
      </c>
      <c r="T30" s="12">
        <f t="shared" si="15"/>
        <v>-738.29713027806338</v>
      </c>
    </row>
    <row r="31" spans="2:20">
      <c r="B31" s="50">
        <f>Dane!F30</f>
        <v>9</v>
      </c>
      <c r="C31" s="51">
        <f>Dane!G30</f>
        <v>8</v>
      </c>
      <c r="D31" s="35">
        <f>Dane!H30</f>
        <v>1</v>
      </c>
      <c r="E31" s="35">
        <f>Dane!I30</f>
        <v>59.156700000000001</v>
      </c>
      <c r="F31" s="1">
        <f>Dane!M12-Dane!M13</f>
        <v>-163</v>
      </c>
      <c r="G31" s="1">
        <f>Dane!N12-Dane!N13</f>
        <v>-32</v>
      </c>
      <c r="H31" s="1">
        <f>Dane!M5-Dane!M13</f>
        <v>-73</v>
      </c>
      <c r="I31" s="1">
        <f>Dane!N5-Dane!N13</f>
        <v>-152</v>
      </c>
      <c r="J31" s="1">
        <f t="shared" si="7"/>
        <v>27593</v>
      </c>
      <c r="K31" s="1">
        <f t="shared" si="8"/>
        <v>28433</v>
      </c>
      <c r="L31" s="1">
        <f t="shared" si="9"/>
        <v>212.34110741930257</v>
      </c>
      <c r="M31" s="1">
        <f t="shared" si="10"/>
        <v>271.49637890573825</v>
      </c>
      <c r="N31" s="1">
        <f t="shared" si="11"/>
        <v>59.15527148643568</v>
      </c>
      <c r="O31" s="1">
        <f>Dane!$M$15</f>
        <v>3</v>
      </c>
      <c r="P31" s="62">
        <f t="shared" si="12"/>
        <v>-1.4285135643206104E-3</v>
      </c>
      <c r="Q31" s="35">
        <f t="shared" si="13"/>
        <v>-3760.7010073538859</v>
      </c>
      <c r="R31" s="1">
        <f t="shared" si="14"/>
        <v>-738.29713027806338</v>
      </c>
      <c r="S31" s="1">
        <f t="shared" si="14"/>
        <v>-1634.4825865309126</v>
      </c>
      <c r="T31" s="12">
        <f t="shared" si="15"/>
        <v>-3403.3062075712155</v>
      </c>
    </row>
    <row r="32" spans="2:20">
      <c r="B32" s="50">
        <f>Dane!F31</f>
        <v>6</v>
      </c>
      <c r="C32" s="51">
        <f>Dane!G31</f>
        <v>8</v>
      </c>
      <c r="D32" s="35">
        <f>Dane!H31</f>
        <v>7</v>
      </c>
      <c r="E32" s="35">
        <f>Dane!I31</f>
        <v>11.571400000000001</v>
      </c>
      <c r="F32" s="1">
        <f>Dane!M12-Dane!M10</f>
        <v>5</v>
      </c>
      <c r="G32" s="1">
        <f>Dane!N12-Dane!N10</f>
        <v>-320</v>
      </c>
      <c r="H32" s="1">
        <f>Dane!M11-Dane!M10</f>
        <v>35</v>
      </c>
      <c r="I32" s="1">
        <f>Dane!N11-Dane!N10</f>
        <v>-175</v>
      </c>
      <c r="J32" s="1">
        <f t="shared" si="7"/>
        <v>102425</v>
      </c>
      <c r="K32" s="1">
        <f t="shared" si="8"/>
        <v>31850</v>
      </c>
      <c r="L32" s="1">
        <f t="shared" si="9"/>
        <v>300.9946374557901</v>
      </c>
      <c r="M32" s="1">
        <f t="shared" si="10"/>
        <v>312.56659163780023</v>
      </c>
      <c r="N32" s="1">
        <f t="shared" si="11"/>
        <v>11.571954182010131</v>
      </c>
      <c r="O32" s="1">
        <f>Dane!$M$15</f>
        <v>3</v>
      </c>
      <c r="P32" s="62">
        <f t="shared" si="12"/>
        <v>5.5418201013068824E-4</v>
      </c>
      <c r="Q32" s="35">
        <f t="shared" si="13"/>
        <v>31.077362575913178</v>
      </c>
      <c r="R32" s="1">
        <f t="shared" si="14"/>
        <v>-1988.9512048584434</v>
      </c>
      <c r="S32" s="1">
        <f t="shared" si="14"/>
        <v>699.58216743690264</v>
      </c>
      <c r="T32" s="12">
        <f t="shared" si="15"/>
        <v>-3497.9108371845136</v>
      </c>
    </row>
    <row r="33" spans="2:20">
      <c r="B33" s="50">
        <f>Dane!F32</f>
        <v>6</v>
      </c>
      <c r="C33" s="51">
        <f>Dane!G32</f>
        <v>7</v>
      </c>
      <c r="D33" s="35">
        <f>Dane!H32</f>
        <v>9</v>
      </c>
      <c r="E33" s="35">
        <f>Dane!I32</f>
        <v>21.053100000000001</v>
      </c>
      <c r="F33" s="1">
        <f>Dane!M11-Dane!M10</f>
        <v>35</v>
      </c>
      <c r="G33" s="1">
        <f>Dane!N11-Dane!N10</f>
        <v>-175</v>
      </c>
      <c r="H33" s="1">
        <f>Dane!M13-Dane!M10</f>
        <v>168</v>
      </c>
      <c r="I33" s="1">
        <f>Dane!N13-Dane!N10</f>
        <v>-288</v>
      </c>
      <c r="J33" s="1">
        <f t="shared" si="7"/>
        <v>31850</v>
      </c>
      <c r="K33" s="1">
        <f t="shared" si="8"/>
        <v>111168</v>
      </c>
      <c r="L33" s="1">
        <f t="shared" si="9"/>
        <v>312.56659163780023</v>
      </c>
      <c r="M33" s="1">
        <f t="shared" si="10"/>
        <v>333.61826351503248</v>
      </c>
      <c r="N33" s="1">
        <f t="shared" si="11"/>
        <v>21.051671877232252</v>
      </c>
      <c r="O33" s="1">
        <f>Dane!$M$15</f>
        <v>3</v>
      </c>
      <c r="P33" s="62">
        <f t="shared" si="12"/>
        <v>-1.4281227677486186E-3</v>
      </c>
      <c r="Q33" s="35">
        <f t="shared" si="13"/>
        <v>699.58216743690264</v>
      </c>
      <c r="R33" s="1">
        <f t="shared" si="14"/>
        <v>-3497.9108371845136</v>
      </c>
      <c r="S33" s="1">
        <f t="shared" si="14"/>
        <v>962.07651264530875</v>
      </c>
      <c r="T33" s="12">
        <f t="shared" si="15"/>
        <v>-1649.274021677672</v>
      </c>
    </row>
    <row r="34" spans="2:20">
      <c r="B34" s="50">
        <f>Dane!F33</f>
        <v>6</v>
      </c>
      <c r="C34" s="51">
        <f>Dane!G33</f>
        <v>9</v>
      </c>
      <c r="D34" s="35">
        <f>Dane!H33</f>
        <v>5</v>
      </c>
      <c r="E34" s="35">
        <f>Dane!I33</f>
        <v>38.585700000000003</v>
      </c>
      <c r="F34" s="1">
        <f>Dane!M13-Dane!M10</f>
        <v>168</v>
      </c>
      <c r="G34" s="1">
        <f>Dane!N13-Dane!N10</f>
        <v>-288</v>
      </c>
      <c r="H34" s="1">
        <f>Dane!M9-Dane!M10</f>
        <v>150</v>
      </c>
      <c r="I34" s="1">
        <f>Dane!N9-Dane!N10</f>
        <v>-70</v>
      </c>
      <c r="J34" s="1">
        <f t="shared" si="7"/>
        <v>111168</v>
      </c>
      <c r="K34" s="1">
        <f t="shared" si="8"/>
        <v>27400</v>
      </c>
      <c r="L34" s="1">
        <f t="shared" si="9"/>
        <v>333.61826351503248</v>
      </c>
      <c r="M34" s="1">
        <f t="shared" si="10"/>
        <v>372.203451691</v>
      </c>
      <c r="N34" s="1">
        <f t="shared" si="11"/>
        <v>38.585188175967517</v>
      </c>
      <c r="O34" s="1">
        <f>Dane!$M$15</f>
        <v>3</v>
      </c>
      <c r="P34" s="62">
        <f t="shared" si="12"/>
        <v>-5.1182403248617447E-4</v>
      </c>
      <c r="Q34" s="35">
        <f t="shared" si="13"/>
        <v>962.07651264530875</v>
      </c>
      <c r="R34" s="1">
        <f t="shared" si="14"/>
        <v>-1649.274021677672</v>
      </c>
      <c r="S34" s="1">
        <f t="shared" si="14"/>
        <v>3485.144739238584</v>
      </c>
      <c r="T34" s="12">
        <f t="shared" si="15"/>
        <v>-1626.4008783113393</v>
      </c>
    </row>
    <row r="35" spans="2:20">
      <c r="B35" s="50">
        <f>Dane!F34</f>
        <v>5</v>
      </c>
      <c r="C35" s="51">
        <f>Dane!G34</f>
        <v>6</v>
      </c>
      <c r="D35" s="35">
        <f>Dane!H34</f>
        <v>7</v>
      </c>
      <c r="E35" s="35">
        <f>Dane!I34</f>
        <v>74.9054</v>
      </c>
      <c r="F35" s="1">
        <f>Dane!M10-Dane!M9</f>
        <v>-150</v>
      </c>
      <c r="G35" s="1">
        <f>Dane!N10-Dane!N9</f>
        <v>70</v>
      </c>
      <c r="H35" s="1">
        <f>Dane!M11-Dane!M9</f>
        <v>-115</v>
      </c>
      <c r="I35" s="1">
        <f>Dane!N11-Dane!N9</f>
        <v>-105</v>
      </c>
      <c r="J35" s="1">
        <f t="shared" si="7"/>
        <v>27400</v>
      </c>
      <c r="K35" s="1">
        <f t="shared" si="8"/>
        <v>24250</v>
      </c>
      <c r="L35" s="1">
        <f t="shared" si="9"/>
        <v>172.20345169099997</v>
      </c>
      <c r="M35" s="1">
        <f t="shared" si="10"/>
        <v>247.10826421944466</v>
      </c>
      <c r="N35" s="1">
        <f t="shared" si="11"/>
        <v>74.904812528444694</v>
      </c>
      <c r="O35" s="1">
        <f>Dane!$M$15</f>
        <v>3</v>
      </c>
      <c r="P35" s="62">
        <f t="shared" si="12"/>
        <v>-5.874715553062515E-4</v>
      </c>
      <c r="Q35" s="35">
        <f t="shared" si="13"/>
        <v>-3485.1447392385844</v>
      </c>
      <c r="R35" s="1">
        <f t="shared" si="14"/>
        <v>1626.4008783113393</v>
      </c>
      <c r="S35" s="1">
        <f t="shared" si="14"/>
        <v>-3019.0216009184273</v>
      </c>
      <c r="T35" s="12">
        <f t="shared" si="15"/>
        <v>-2756.4979834472601</v>
      </c>
    </row>
    <row r="36" spans="2:20">
      <c r="B36" s="50">
        <f>Dane!F35</f>
        <v>5</v>
      </c>
      <c r="C36" s="51">
        <f>Dane!G35</f>
        <v>7</v>
      </c>
      <c r="D36" s="35">
        <f>Dane!H35</f>
        <v>9</v>
      </c>
      <c r="E36" s="35">
        <f>Dane!I35</f>
        <v>58.135899999999999</v>
      </c>
      <c r="F36" s="1">
        <f>Dane!M11-Dane!M9</f>
        <v>-115</v>
      </c>
      <c r="G36" s="1">
        <f>Dane!N11-Dane!N9</f>
        <v>-105</v>
      </c>
      <c r="H36" s="1">
        <f>Dane!M13-Dane!M9</f>
        <v>18</v>
      </c>
      <c r="I36" s="1">
        <f>Dane!N13-Dane!N9</f>
        <v>-218</v>
      </c>
      <c r="J36" s="1">
        <f t="shared" si="7"/>
        <v>24250</v>
      </c>
      <c r="K36" s="1">
        <f t="shared" si="8"/>
        <v>47848</v>
      </c>
      <c r="L36" s="1">
        <f t="shared" si="9"/>
        <v>247.10826421944466</v>
      </c>
      <c r="M36" s="1">
        <f t="shared" si="10"/>
        <v>305.24459659004839</v>
      </c>
      <c r="N36" s="1">
        <f t="shared" si="11"/>
        <v>58.136332370603725</v>
      </c>
      <c r="O36" s="1">
        <f>Dane!$M$15</f>
        <v>3</v>
      </c>
      <c r="P36" s="62">
        <f t="shared" si="12"/>
        <v>4.3237060372547376E-4</v>
      </c>
      <c r="Q36" s="35">
        <f t="shared" si="13"/>
        <v>-3019.0216009184273</v>
      </c>
      <c r="R36" s="1">
        <f t="shared" si="14"/>
        <v>-2756.4979834472601</v>
      </c>
      <c r="S36" s="1">
        <f t="shared" si="14"/>
        <v>239.49080217807358</v>
      </c>
      <c r="T36" s="12">
        <f t="shared" si="15"/>
        <v>-2900.4997152677797</v>
      </c>
    </row>
    <row r="37" spans="2:20">
      <c r="B37" s="114">
        <f>Dane!F36</f>
        <v>5</v>
      </c>
      <c r="C37" s="115">
        <f>Dane!G36</f>
        <v>9</v>
      </c>
      <c r="D37" s="116">
        <f>Dane!H36</f>
        <v>4</v>
      </c>
      <c r="E37" s="116">
        <f>Dane!I36</f>
        <v>70.924599999999998</v>
      </c>
      <c r="F37" s="14">
        <f>Dane!M13-Dane!M9</f>
        <v>18</v>
      </c>
      <c r="G37" s="14">
        <f>Dane!N13-Dane!N9</f>
        <v>-218</v>
      </c>
      <c r="H37" s="14">
        <f>Dane!M8-Dane!M9</f>
        <v>140</v>
      </c>
      <c r="I37" s="14">
        <f>Dane!N8-Dane!N9</f>
        <v>-55</v>
      </c>
      <c r="J37" s="14">
        <f t="shared" si="7"/>
        <v>47848</v>
      </c>
      <c r="K37" s="14">
        <f t="shared" si="8"/>
        <v>22625</v>
      </c>
      <c r="L37" s="14">
        <f t="shared" si="9"/>
        <v>305.24459659004839</v>
      </c>
      <c r="M37" s="14">
        <f t="shared" si="10"/>
        <v>376.16918185877182</v>
      </c>
      <c r="N37" s="14">
        <f t="shared" si="11"/>
        <v>70.924585268723433</v>
      </c>
      <c r="O37" s="14">
        <f>Dane!$M$15</f>
        <v>3</v>
      </c>
      <c r="P37" s="63">
        <f t="shared" si="12"/>
        <v>-1.4731276564816653E-5</v>
      </c>
      <c r="Q37" s="116">
        <f t="shared" si="13"/>
        <v>239.49080217807358</v>
      </c>
      <c r="R37" s="14">
        <f t="shared" si="14"/>
        <v>-2900.4997152677797</v>
      </c>
      <c r="S37" s="14">
        <f t="shared" si="14"/>
        <v>3939.3046687938736</v>
      </c>
      <c r="T37" s="15">
        <f t="shared" si="15"/>
        <v>-1547.5839770261648</v>
      </c>
    </row>
    <row r="39" spans="2:20" ht="18" customHeight="1">
      <c r="B39" s="421" t="s">
        <v>41</v>
      </c>
      <c r="C39" s="422"/>
      <c r="D39" s="422"/>
      <c r="E39" s="422"/>
      <c r="F39" s="422"/>
      <c r="G39" s="422"/>
      <c r="H39" s="422"/>
      <c r="I39" s="422"/>
      <c r="J39" s="422"/>
      <c r="K39" s="422"/>
      <c r="L39" s="422"/>
      <c r="M39" s="422"/>
      <c r="N39" s="422"/>
      <c r="O39" s="422"/>
      <c r="P39" s="422"/>
      <c r="Q39" s="423"/>
      <c r="S39" s="430" t="s">
        <v>42</v>
      </c>
    </row>
    <row r="40" spans="2:20" ht="18" customHeight="1">
      <c r="B40" s="424" t="s">
        <v>43</v>
      </c>
      <c r="C40" s="425" t="s">
        <v>44</v>
      </c>
      <c r="D40" s="425" t="s">
        <v>43</v>
      </c>
      <c r="E40" s="425" t="s">
        <v>44</v>
      </c>
      <c r="F40" s="425" t="s">
        <v>43</v>
      </c>
      <c r="G40" s="425" t="s">
        <v>44</v>
      </c>
      <c r="H40" s="425" t="s">
        <v>43</v>
      </c>
      <c r="I40" s="425" t="s">
        <v>44</v>
      </c>
      <c r="J40" s="425" t="s">
        <v>43</v>
      </c>
      <c r="K40" s="425" t="s">
        <v>44</v>
      </c>
      <c r="L40" s="425" t="s">
        <v>43</v>
      </c>
      <c r="M40" s="425" t="s">
        <v>44</v>
      </c>
      <c r="N40" s="425" t="s">
        <v>43</v>
      </c>
      <c r="O40" s="425" t="s">
        <v>44</v>
      </c>
      <c r="P40" s="425" t="s">
        <v>43</v>
      </c>
      <c r="Q40" s="426" t="s">
        <v>44</v>
      </c>
      <c r="S40" s="431"/>
    </row>
    <row r="41" spans="2:20" ht="18" customHeight="1">
      <c r="B41" s="427">
        <v>1</v>
      </c>
      <c r="C41" s="428">
        <v>1</v>
      </c>
      <c r="D41" s="428">
        <v>2</v>
      </c>
      <c r="E41" s="428">
        <v>2</v>
      </c>
      <c r="F41" s="428">
        <v>4</v>
      </c>
      <c r="G41" s="428">
        <v>4</v>
      </c>
      <c r="H41" s="428">
        <v>5</v>
      </c>
      <c r="I41" s="428">
        <v>5</v>
      </c>
      <c r="J41" s="428">
        <v>6</v>
      </c>
      <c r="K41" s="428">
        <v>6</v>
      </c>
      <c r="L41" s="428">
        <v>7</v>
      </c>
      <c r="M41" s="428">
        <v>7</v>
      </c>
      <c r="N41" s="428">
        <v>8</v>
      </c>
      <c r="O41" s="428">
        <v>8</v>
      </c>
      <c r="P41" s="428">
        <v>9</v>
      </c>
      <c r="Q41" s="429">
        <v>9</v>
      </c>
      <c r="S41" s="432"/>
    </row>
    <row r="42" spans="2:20">
      <c r="B42" s="8">
        <f>IF(B$41=$B4,IF(B$40="dx",-$K4,-$J4),IF(B$41=$C4,IF(B$40="dx",$K4,$J4),0))</f>
        <v>0.22082565259779471</v>
      </c>
      <c r="C42" s="9">
        <f>IF(C$41=$B4,IF(C$40="dx",-$K4,-$J4),IF(C$41=$C4,IF(C$40="dx",$K4,$J4),0))</f>
        <v>-0.97531329897359553</v>
      </c>
      <c r="D42" s="9">
        <f>IF(D$41=$B4,IF(D$40="dx",-$K4,-$J4),IF(D$41=$C4,IF(D$40="dx",$K4,$J4),0))</f>
        <v>0</v>
      </c>
      <c r="E42" s="9">
        <f>IF(E$41=$B4,IF(E$40="dx",-$K4,-$J4),IF(E$41=$C4,IF(E$40="dx",$K4,$J4),0))</f>
        <v>0</v>
      </c>
      <c r="F42" s="9">
        <f t="shared" ref="F42:Q57" si="16">IF(F$41=$B4,IF(F$40="dx",-$K4,-$J4),IF(F$41=$C4,IF(F$40="dx",$K4,$J4),0))</f>
        <v>0</v>
      </c>
      <c r="G42" s="9">
        <f t="shared" si="16"/>
        <v>0</v>
      </c>
      <c r="H42" s="9">
        <f t="shared" si="16"/>
        <v>0</v>
      </c>
      <c r="I42" s="9">
        <f t="shared" si="16"/>
        <v>0</v>
      </c>
      <c r="J42" s="9">
        <f t="shared" si="16"/>
        <v>0</v>
      </c>
      <c r="K42" s="9">
        <f t="shared" si="16"/>
        <v>0</v>
      </c>
      <c r="L42" s="9">
        <f t="shared" si="16"/>
        <v>-0.22082565259779471</v>
      </c>
      <c r="M42" s="9">
        <f t="shared" si="16"/>
        <v>0.97531329897359553</v>
      </c>
      <c r="N42" s="9">
        <f t="shared" si="16"/>
        <v>0</v>
      </c>
      <c r="O42" s="9">
        <f t="shared" si="16"/>
        <v>0</v>
      </c>
      <c r="P42" s="9">
        <f t="shared" si="16"/>
        <v>0</v>
      </c>
      <c r="Q42" s="10">
        <f t="shared" si="16"/>
        <v>0</v>
      </c>
      <c r="S42" s="72">
        <f t="shared" ref="S42:S61" si="17">M4</f>
        <v>5.5633838704807204E-3</v>
      </c>
    </row>
    <row r="43" spans="2:20">
      <c r="B43" s="11">
        <f t="shared" ref="B43:Q58" si="18">IF(B$41=$B5,IF(B$40="dx",-$K5,-$J5),IF(B$41=$C5,IF(B$40="dx",$K5,$J5),0))</f>
        <v>0</v>
      </c>
      <c r="C43" s="1">
        <f t="shared" si="18"/>
        <v>0</v>
      </c>
      <c r="D43" s="1">
        <f t="shared" si="18"/>
        <v>0</v>
      </c>
      <c r="E43" s="1">
        <f t="shared" si="18"/>
        <v>0</v>
      </c>
      <c r="F43" s="1">
        <f t="shared" si="18"/>
        <v>0</v>
      </c>
      <c r="G43" s="1">
        <f t="shared" si="18"/>
        <v>0</v>
      </c>
      <c r="H43" s="1">
        <f t="shared" si="16"/>
        <v>0.7384854939281259</v>
      </c>
      <c r="I43" s="1">
        <f t="shared" si="16"/>
        <v>0.67426936402133231</v>
      </c>
      <c r="J43" s="1">
        <f t="shared" si="16"/>
        <v>0</v>
      </c>
      <c r="K43" s="1">
        <f t="shared" si="16"/>
        <v>0</v>
      </c>
      <c r="L43" s="1">
        <f t="shared" si="16"/>
        <v>-0.7384854939281259</v>
      </c>
      <c r="M43" s="1">
        <f t="shared" si="16"/>
        <v>-0.67426936402133231</v>
      </c>
      <c r="N43" s="1">
        <f t="shared" si="16"/>
        <v>0</v>
      </c>
      <c r="O43" s="1">
        <f t="shared" si="16"/>
        <v>0</v>
      </c>
      <c r="P43" s="1">
        <f t="shared" si="16"/>
        <v>0</v>
      </c>
      <c r="Q43" s="12">
        <f t="shared" si="16"/>
        <v>0</v>
      </c>
      <c r="S43" s="72">
        <f t="shared" si="17"/>
        <v>-3.7849760256278842E-3</v>
      </c>
    </row>
    <row r="44" spans="2:20">
      <c r="B44" s="11">
        <f t="shared" si="18"/>
        <v>0</v>
      </c>
      <c r="C44" s="1">
        <f t="shared" si="18"/>
        <v>0</v>
      </c>
      <c r="D44" s="1">
        <f t="shared" si="18"/>
        <v>0</v>
      </c>
      <c r="E44" s="1">
        <f t="shared" si="18"/>
        <v>0</v>
      </c>
      <c r="F44" s="1">
        <f t="shared" si="18"/>
        <v>0</v>
      </c>
      <c r="G44" s="1">
        <f t="shared" si="18"/>
        <v>0</v>
      </c>
      <c r="H44" s="1">
        <f t="shared" si="16"/>
        <v>0</v>
      </c>
      <c r="I44" s="1">
        <f t="shared" si="16"/>
        <v>0</v>
      </c>
      <c r="J44" s="1">
        <f t="shared" si="16"/>
        <v>-0.1961161351381841</v>
      </c>
      <c r="K44" s="1">
        <f t="shared" si="16"/>
        <v>0.98058067569092011</v>
      </c>
      <c r="L44" s="1">
        <f t="shared" si="16"/>
        <v>0.1961161351381841</v>
      </c>
      <c r="M44" s="1">
        <f t="shared" si="16"/>
        <v>-0.98058067569092011</v>
      </c>
      <c r="N44" s="1">
        <f t="shared" si="16"/>
        <v>0</v>
      </c>
      <c r="O44" s="1">
        <f t="shared" si="16"/>
        <v>0</v>
      </c>
      <c r="P44" s="1">
        <f t="shared" si="16"/>
        <v>0</v>
      </c>
      <c r="Q44" s="12">
        <f t="shared" si="16"/>
        <v>0</v>
      </c>
      <c r="S44" s="72">
        <f t="shared" si="17"/>
        <v>-2.8170242525504818E-3</v>
      </c>
    </row>
    <row r="45" spans="2:20">
      <c r="B45" s="11">
        <f t="shared" si="18"/>
        <v>0</v>
      </c>
      <c r="C45" s="1">
        <f t="shared" si="18"/>
        <v>0</v>
      </c>
      <c r="D45" s="1">
        <f t="shared" si="18"/>
        <v>0</v>
      </c>
      <c r="E45" s="1">
        <f t="shared" si="18"/>
        <v>0</v>
      </c>
      <c r="F45" s="1">
        <f t="shared" si="18"/>
        <v>0</v>
      </c>
      <c r="G45" s="1">
        <f t="shared" si="18"/>
        <v>0</v>
      </c>
      <c r="H45" s="1">
        <f t="shared" si="16"/>
        <v>0</v>
      </c>
      <c r="I45" s="1">
        <f t="shared" si="16"/>
        <v>0</v>
      </c>
      <c r="J45" s="1">
        <f t="shared" si="16"/>
        <v>0</v>
      </c>
      <c r="K45" s="1">
        <f t="shared" si="16"/>
        <v>0</v>
      </c>
      <c r="L45" s="1">
        <f t="shared" si="16"/>
        <v>0.20260560403595176</v>
      </c>
      <c r="M45" s="1">
        <f t="shared" si="16"/>
        <v>0.97926041950710285</v>
      </c>
      <c r="N45" s="1">
        <f t="shared" si="16"/>
        <v>-0.20260560403595176</v>
      </c>
      <c r="O45" s="1">
        <f t="shared" si="16"/>
        <v>-0.97926041950710285</v>
      </c>
      <c r="P45" s="1">
        <f t="shared" si="16"/>
        <v>0</v>
      </c>
      <c r="Q45" s="12">
        <f t="shared" si="16"/>
        <v>0</v>
      </c>
      <c r="S45" s="72">
        <f t="shared" si="17"/>
        <v>2.0289496084444636E-3</v>
      </c>
    </row>
    <row r="46" spans="2:20">
      <c r="B46" s="11">
        <f t="shared" si="18"/>
        <v>0</v>
      </c>
      <c r="C46" s="1">
        <f t="shared" si="18"/>
        <v>0</v>
      </c>
      <c r="D46" s="1">
        <f t="shared" si="18"/>
        <v>0</v>
      </c>
      <c r="E46" s="1">
        <f t="shared" si="18"/>
        <v>0</v>
      </c>
      <c r="F46" s="1">
        <f t="shared" si="18"/>
        <v>0</v>
      </c>
      <c r="G46" s="1">
        <f t="shared" si="18"/>
        <v>0</v>
      </c>
      <c r="H46" s="1">
        <f t="shared" si="16"/>
        <v>0</v>
      </c>
      <c r="I46" s="1">
        <f t="shared" si="16"/>
        <v>0</v>
      </c>
      <c r="J46" s="1">
        <f t="shared" si="16"/>
        <v>0</v>
      </c>
      <c r="K46" s="1">
        <f t="shared" si="16"/>
        <v>0</v>
      </c>
      <c r="L46" s="1">
        <f t="shared" si="16"/>
        <v>-0.76208067668582391</v>
      </c>
      <c r="M46" s="1">
        <f t="shared" si="16"/>
        <v>0.64748207868795626</v>
      </c>
      <c r="N46" s="1">
        <f t="shared" si="16"/>
        <v>0</v>
      </c>
      <c r="O46" s="1">
        <f t="shared" si="16"/>
        <v>0</v>
      </c>
      <c r="P46" s="1">
        <f t="shared" si="16"/>
        <v>0.76208067668582391</v>
      </c>
      <c r="Q46" s="12">
        <f t="shared" si="16"/>
        <v>-0.64748207868795626</v>
      </c>
      <c r="S46" s="72">
        <f t="shared" si="17"/>
        <v>2.0489095365405774E-4</v>
      </c>
    </row>
    <row r="47" spans="2:20">
      <c r="B47" s="11">
        <f t="shared" si="18"/>
        <v>0.59999999999999976</v>
      </c>
      <c r="C47" s="1">
        <f t="shared" si="18"/>
        <v>-0.80000000000000016</v>
      </c>
      <c r="D47" s="1">
        <f t="shared" si="18"/>
        <v>0</v>
      </c>
      <c r="E47" s="1">
        <f t="shared" si="18"/>
        <v>0</v>
      </c>
      <c r="F47" s="1">
        <f t="shared" si="18"/>
        <v>0</v>
      </c>
      <c r="G47" s="1">
        <f t="shared" si="18"/>
        <v>0</v>
      </c>
      <c r="H47" s="1">
        <f t="shared" si="16"/>
        <v>0</v>
      </c>
      <c r="I47" s="1">
        <f t="shared" si="16"/>
        <v>0</v>
      </c>
      <c r="J47" s="1">
        <f t="shared" si="16"/>
        <v>0</v>
      </c>
      <c r="K47" s="1">
        <f t="shared" si="16"/>
        <v>0</v>
      </c>
      <c r="L47" s="1">
        <f t="shared" si="16"/>
        <v>0</v>
      </c>
      <c r="M47" s="1">
        <f t="shared" si="16"/>
        <v>0</v>
      </c>
      <c r="N47" s="1">
        <f t="shared" si="16"/>
        <v>-0.59999999999999976</v>
      </c>
      <c r="O47" s="1">
        <f t="shared" si="16"/>
        <v>0.80000000000000016</v>
      </c>
      <c r="P47" s="1">
        <f t="shared" si="16"/>
        <v>0</v>
      </c>
      <c r="Q47" s="12">
        <f t="shared" si="16"/>
        <v>0</v>
      </c>
      <c r="S47" s="72">
        <f t="shared" si="17"/>
        <v>-5.9999999999149622E-4</v>
      </c>
    </row>
    <row r="48" spans="2:20">
      <c r="B48" s="11">
        <f t="shared" si="18"/>
        <v>0</v>
      </c>
      <c r="C48" s="1">
        <f t="shared" si="18"/>
        <v>0</v>
      </c>
      <c r="D48" s="1">
        <f t="shared" si="18"/>
        <v>0</v>
      </c>
      <c r="E48" s="1">
        <f t="shared" si="18"/>
        <v>0</v>
      </c>
      <c r="F48" s="1">
        <f t="shared" si="18"/>
        <v>0</v>
      </c>
      <c r="G48" s="1">
        <f t="shared" si="18"/>
        <v>0</v>
      </c>
      <c r="H48" s="1">
        <f t="shared" si="16"/>
        <v>0</v>
      </c>
      <c r="I48" s="1">
        <f t="shared" si="16"/>
        <v>0</v>
      </c>
      <c r="J48" s="1">
        <f t="shared" si="16"/>
        <v>0</v>
      </c>
      <c r="K48" s="1">
        <f t="shared" si="16"/>
        <v>0</v>
      </c>
      <c r="L48" s="1">
        <f t="shared" si="16"/>
        <v>0</v>
      </c>
      <c r="M48" s="1">
        <f t="shared" si="16"/>
        <v>0</v>
      </c>
      <c r="N48" s="1">
        <f t="shared" si="16"/>
        <v>-0.98126914684485633</v>
      </c>
      <c r="O48" s="1">
        <f t="shared" si="16"/>
        <v>-0.19264179569960369</v>
      </c>
      <c r="P48" s="1">
        <f t="shared" si="16"/>
        <v>0.98126914684485633</v>
      </c>
      <c r="Q48" s="12">
        <f t="shared" si="16"/>
        <v>0.19264179569960369</v>
      </c>
      <c r="S48" s="72">
        <f t="shared" si="17"/>
        <v>-3.0916019011044682E-3</v>
      </c>
    </row>
    <row r="49" spans="2:19">
      <c r="B49" s="11">
        <f t="shared" si="18"/>
        <v>0</v>
      </c>
      <c r="C49" s="1">
        <f t="shared" si="18"/>
        <v>0</v>
      </c>
      <c r="D49" s="1">
        <f t="shared" si="18"/>
        <v>0</v>
      </c>
      <c r="E49" s="1">
        <f t="shared" si="18"/>
        <v>0</v>
      </c>
      <c r="F49" s="1">
        <f t="shared" si="18"/>
        <v>0</v>
      </c>
      <c r="G49" s="1">
        <f t="shared" si="18"/>
        <v>0</v>
      </c>
      <c r="H49" s="1">
        <f t="shared" si="16"/>
        <v>0</v>
      </c>
      <c r="I49" s="1">
        <f t="shared" si="16"/>
        <v>0</v>
      </c>
      <c r="J49" s="1">
        <f t="shared" si="16"/>
        <v>0</v>
      </c>
      <c r="K49" s="1">
        <f t="shared" si="16"/>
        <v>0</v>
      </c>
      <c r="L49" s="1">
        <f t="shared" si="16"/>
        <v>0.20260560403595229</v>
      </c>
      <c r="M49" s="1">
        <f t="shared" si="16"/>
        <v>0.97926041950710274</v>
      </c>
      <c r="N49" s="1">
        <f t="shared" si="16"/>
        <v>-0.20260560403595229</v>
      </c>
      <c r="O49" s="1">
        <f t="shared" si="16"/>
        <v>-0.97926041950710274</v>
      </c>
      <c r="P49" s="1">
        <f t="shared" si="16"/>
        <v>0</v>
      </c>
      <c r="Q49" s="12">
        <f t="shared" si="16"/>
        <v>0</v>
      </c>
      <c r="S49" s="72">
        <f t="shared" si="17"/>
        <v>-2.7105039154662336E-4</v>
      </c>
    </row>
    <row r="50" spans="2:19">
      <c r="B50" s="11">
        <f t="shared" si="18"/>
        <v>0</v>
      </c>
      <c r="C50" s="1">
        <f t="shared" si="18"/>
        <v>0</v>
      </c>
      <c r="D50" s="1">
        <f t="shared" si="18"/>
        <v>0</v>
      </c>
      <c r="E50" s="1">
        <f t="shared" si="18"/>
        <v>0</v>
      </c>
      <c r="F50" s="1">
        <f t="shared" si="18"/>
        <v>0</v>
      </c>
      <c r="G50" s="1">
        <f t="shared" si="18"/>
        <v>0</v>
      </c>
      <c r="H50" s="1">
        <f t="shared" si="16"/>
        <v>0</v>
      </c>
      <c r="I50" s="1">
        <f t="shared" si="16"/>
        <v>0</v>
      </c>
      <c r="J50" s="1">
        <f t="shared" si="16"/>
        <v>-1.5623093000542007E-2</v>
      </c>
      <c r="K50" s="1">
        <f t="shared" si="16"/>
        <v>0.99987795203469532</v>
      </c>
      <c r="L50" s="1">
        <f t="shared" si="16"/>
        <v>0</v>
      </c>
      <c r="M50" s="1">
        <f t="shared" si="16"/>
        <v>0</v>
      </c>
      <c r="N50" s="1">
        <f t="shared" si="16"/>
        <v>1.5623093000542007E-2</v>
      </c>
      <c r="O50" s="1">
        <f t="shared" si="16"/>
        <v>-0.99987795203469532</v>
      </c>
      <c r="P50" s="1">
        <f t="shared" si="16"/>
        <v>0</v>
      </c>
      <c r="Q50" s="12">
        <f t="shared" si="16"/>
        <v>0</v>
      </c>
      <c r="S50" s="72">
        <f t="shared" si="17"/>
        <v>-5.4398838948372941E-3</v>
      </c>
    </row>
    <row r="51" spans="2:19">
      <c r="B51" s="11">
        <f t="shared" si="18"/>
        <v>-0.985460115744348</v>
      </c>
      <c r="C51" s="1">
        <f t="shared" si="18"/>
        <v>-0.16990691650764622</v>
      </c>
      <c r="D51" s="1">
        <f t="shared" si="18"/>
        <v>0.985460115744348</v>
      </c>
      <c r="E51" s="1">
        <f t="shared" si="18"/>
        <v>0.16990691650764622</v>
      </c>
      <c r="F51" s="1">
        <f t="shared" si="18"/>
        <v>0</v>
      </c>
      <c r="G51" s="1">
        <f t="shared" si="18"/>
        <v>0</v>
      </c>
      <c r="H51" s="1">
        <f t="shared" si="16"/>
        <v>0</v>
      </c>
      <c r="I51" s="1">
        <f t="shared" si="16"/>
        <v>0</v>
      </c>
      <c r="J51" s="1">
        <f t="shared" si="16"/>
        <v>0</v>
      </c>
      <c r="K51" s="1">
        <f t="shared" si="16"/>
        <v>0</v>
      </c>
      <c r="L51" s="1">
        <f t="shared" si="16"/>
        <v>0</v>
      </c>
      <c r="M51" s="1">
        <f t="shared" si="16"/>
        <v>0</v>
      </c>
      <c r="N51" s="1">
        <f t="shared" si="16"/>
        <v>0</v>
      </c>
      <c r="O51" s="1">
        <f t="shared" si="16"/>
        <v>0</v>
      </c>
      <c r="P51" s="1">
        <f t="shared" si="16"/>
        <v>0</v>
      </c>
      <c r="Q51" s="12">
        <f t="shared" si="16"/>
        <v>0</v>
      </c>
      <c r="S51" s="72">
        <f t="shared" si="17"/>
        <v>1.5289695621618193E-2</v>
      </c>
    </row>
    <row r="52" spans="2:19">
      <c r="B52" s="11">
        <f t="shared" si="18"/>
        <v>-0.43292385560131397</v>
      </c>
      <c r="C52" s="1">
        <f t="shared" si="18"/>
        <v>-0.90143049385479113</v>
      </c>
      <c r="D52" s="1">
        <f t="shared" si="18"/>
        <v>0</v>
      </c>
      <c r="E52" s="1">
        <f t="shared" si="18"/>
        <v>0</v>
      </c>
      <c r="F52" s="1">
        <f t="shared" si="18"/>
        <v>0</v>
      </c>
      <c r="G52" s="1">
        <f t="shared" si="18"/>
        <v>0</v>
      </c>
      <c r="H52" s="1">
        <f t="shared" si="16"/>
        <v>0</v>
      </c>
      <c r="I52" s="1">
        <f t="shared" si="16"/>
        <v>0</v>
      </c>
      <c r="J52" s="1">
        <f t="shared" si="16"/>
        <v>0</v>
      </c>
      <c r="K52" s="1">
        <f t="shared" si="16"/>
        <v>0</v>
      </c>
      <c r="L52" s="1">
        <f t="shared" si="16"/>
        <v>0</v>
      </c>
      <c r="M52" s="1">
        <f t="shared" si="16"/>
        <v>0</v>
      </c>
      <c r="N52" s="1">
        <f t="shared" si="16"/>
        <v>0</v>
      </c>
      <c r="O52" s="1">
        <f t="shared" si="16"/>
        <v>0</v>
      </c>
      <c r="P52" s="1">
        <f t="shared" si="16"/>
        <v>0.43292385560131397</v>
      </c>
      <c r="Q52" s="12">
        <f t="shared" si="16"/>
        <v>0.90143049385479113</v>
      </c>
      <c r="S52" s="72">
        <f t="shared" si="17"/>
        <v>1.0076524824171429E-2</v>
      </c>
    </row>
    <row r="53" spans="2:19">
      <c r="B53" s="11">
        <f t="shared" si="18"/>
        <v>0.22082565259779505</v>
      </c>
      <c r="C53" s="1">
        <f t="shared" si="18"/>
        <v>-0.97531329897359542</v>
      </c>
      <c r="D53" s="1">
        <f t="shared" si="18"/>
        <v>0</v>
      </c>
      <c r="E53" s="1">
        <f t="shared" si="18"/>
        <v>0</v>
      </c>
      <c r="F53" s="1">
        <f t="shared" si="18"/>
        <v>0</v>
      </c>
      <c r="G53" s="1">
        <f t="shared" si="18"/>
        <v>0</v>
      </c>
      <c r="H53" s="1">
        <f t="shared" si="16"/>
        <v>0</v>
      </c>
      <c r="I53" s="1">
        <f t="shared" si="16"/>
        <v>0</v>
      </c>
      <c r="J53" s="1">
        <f t="shared" si="16"/>
        <v>0</v>
      </c>
      <c r="K53" s="1">
        <f t="shared" si="16"/>
        <v>0</v>
      </c>
      <c r="L53" s="1">
        <f t="shared" si="16"/>
        <v>-0.22082565259779505</v>
      </c>
      <c r="M53" s="1">
        <f t="shared" si="16"/>
        <v>0.97531329897359542</v>
      </c>
      <c r="N53" s="1">
        <f t="shared" si="16"/>
        <v>0</v>
      </c>
      <c r="O53" s="1">
        <f t="shared" si="16"/>
        <v>0</v>
      </c>
      <c r="P53" s="1">
        <f t="shared" si="16"/>
        <v>0</v>
      </c>
      <c r="Q53" s="12">
        <f t="shared" si="16"/>
        <v>0</v>
      </c>
      <c r="S53" s="72">
        <f t="shared" si="17"/>
        <v>6.7633838704637128E-3</v>
      </c>
    </row>
    <row r="54" spans="2:19">
      <c r="B54" s="11">
        <f t="shared" si="18"/>
        <v>0</v>
      </c>
      <c r="C54" s="1">
        <f t="shared" si="18"/>
        <v>0</v>
      </c>
      <c r="D54" s="1">
        <f t="shared" si="18"/>
        <v>0.92711006570415411</v>
      </c>
      <c r="E54" s="1">
        <f t="shared" si="18"/>
        <v>-0.37478917549742424</v>
      </c>
      <c r="F54" s="1">
        <f t="shared" si="18"/>
        <v>0</v>
      </c>
      <c r="G54" s="1">
        <f t="shared" si="18"/>
        <v>0</v>
      </c>
      <c r="H54" s="1">
        <f t="shared" si="16"/>
        <v>0</v>
      </c>
      <c r="I54" s="1">
        <f t="shared" si="16"/>
        <v>0</v>
      </c>
      <c r="J54" s="1">
        <f t="shared" si="16"/>
        <v>0</v>
      </c>
      <c r="K54" s="1">
        <f t="shared" si="16"/>
        <v>0</v>
      </c>
      <c r="L54" s="1">
        <f t="shared" si="16"/>
        <v>0</v>
      </c>
      <c r="M54" s="1">
        <f t="shared" si="16"/>
        <v>0</v>
      </c>
      <c r="N54" s="1">
        <f t="shared" si="16"/>
        <v>-0.92711006570415411</v>
      </c>
      <c r="O54" s="1">
        <f t="shared" si="16"/>
        <v>0.37478917549742424</v>
      </c>
      <c r="P54" s="1">
        <f t="shared" si="16"/>
        <v>0</v>
      </c>
      <c r="Q54" s="12">
        <f t="shared" si="16"/>
        <v>0</v>
      </c>
      <c r="S54" s="72">
        <f t="shared" si="17"/>
        <v>3.5371127315215745E-3</v>
      </c>
    </row>
    <row r="55" spans="2:19">
      <c r="B55" s="11">
        <f t="shared" si="18"/>
        <v>0</v>
      </c>
      <c r="C55" s="1">
        <f t="shared" si="18"/>
        <v>0</v>
      </c>
      <c r="D55" s="1">
        <f t="shared" si="18"/>
        <v>0.49318539144858226</v>
      </c>
      <c r="E55" s="1">
        <f t="shared" si="18"/>
        <v>-0.86992423213847114</v>
      </c>
      <c r="F55" s="1">
        <f t="shared" si="18"/>
        <v>0</v>
      </c>
      <c r="G55" s="1">
        <f t="shared" si="18"/>
        <v>0</v>
      </c>
      <c r="H55" s="1">
        <f t="shared" si="16"/>
        <v>0</v>
      </c>
      <c r="I55" s="1">
        <f t="shared" si="16"/>
        <v>0</v>
      </c>
      <c r="J55" s="1">
        <f t="shared" si="16"/>
        <v>0</v>
      </c>
      <c r="K55" s="1">
        <f t="shared" si="16"/>
        <v>0</v>
      </c>
      <c r="L55" s="1">
        <f t="shared" si="16"/>
        <v>0</v>
      </c>
      <c r="M55" s="1">
        <f t="shared" si="16"/>
        <v>0</v>
      </c>
      <c r="N55" s="1">
        <f t="shared" si="16"/>
        <v>0</v>
      </c>
      <c r="O55" s="1">
        <f t="shared" si="16"/>
        <v>0</v>
      </c>
      <c r="P55" s="1">
        <f t="shared" si="16"/>
        <v>-0.49318539144858226</v>
      </c>
      <c r="Q55" s="12">
        <f t="shared" si="16"/>
        <v>0.86992423213847114</v>
      </c>
      <c r="S55" s="72">
        <f t="shared" si="17"/>
        <v>3.2256658837468422E-3</v>
      </c>
    </row>
    <row r="56" spans="2:19">
      <c r="B56" s="11">
        <f t="shared" si="18"/>
        <v>0</v>
      </c>
      <c r="C56" s="1">
        <f t="shared" si="18"/>
        <v>0</v>
      </c>
      <c r="D56" s="1">
        <f t="shared" si="18"/>
        <v>-0.16990691650764617</v>
      </c>
      <c r="E56" s="1">
        <f t="shared" si="18"/>
        <v>-0.985460115744348</v>
      </c>
      <c r="F56" s="1">
        <f t="shared" si="18"/>
        <v>0.16990691650764617</v>
      </c>
      <c r="G56" s="1">
        <f t="shared" si="18"/>
        <v>0.985460115744348</v>
      </c>
      <c r="H56" s="1">
        <f t="shared" si="16"/>
        <v>0</v>
      </c>
      <c r="I56" s="1">
        <f t="shared" si="16"/>
        <v>0</v>
      </c>
      <c r="J56" s="1">
        <f t="shared" si="16"/>
        <v>0</v>
      </c>
      <c r="K56" s="1">
        <f t="shared" si="16"/>
        <v>0</v>
      </c>
      <c r="L56" s="1">
        <f t="shared" si="16"/>
        <v>0</v>
      </c>
      <c r="M56" s="1">
        <f t="shared" si="16"/>
        <v>0</v>
      </c>
      <c r="N56" s="1">
        <f t="shared" si="16"/>
        <v>0</v>
      </c>
      <c r="O56" s="1">
        <f t="shared" si="16"/>
        <v>0</v>
      </c>
      <c r="P56" s="1">
        <f t="shared" si="16"/>
        <v>0</v>
      </c>
      <c r="Q56" s="12">
        <f t="shared" si="16"/>
        <v>0</v>
      </c>
      <c r="S56" s="72">
        <f t="shared" si="17"/>
        <v>6.27939124325394E-3</v>
      </c>
    </row>
    <row r="57" spans="2:19">
      <c r="B57" s="11">
        <f t="shared" si="18"/>
        <v>0</v>
      </c>
      <c r="C57" s="1">
        <f t="shared" si="18"/>
        <v>0</v>
      </c>
      <c r="D57" s="1">
        <f t="shared" si="18"/>
        <v>0</v>
      </c>
      <c r="E57" s="1">
        <f t="shared" si="18"/>
        <v>0</v>
      </c>
      <c r="F57" s="1">
        <f t="shared" si="18"/>
        <v>0.93075149344034702</v>
      </c>
      <c r="G57" s="1">
        <f t="shared" si="18"/>
        <v>-0.36565237242299375</v>
      </c>
      <c r="H57" s="1">
        <f t="shared" si="16"/>
        <v>-0.93075149344034702</v>
      </c>
      <c r="I57" s="1">
        <f t="shared" si="16"/>
        <v>0.36565237242299375</v>
      </c>
      <c r="J57" s="1">
        <f t="shared" si="16"/>
        <v>0</v>
      </c>
      <c r="K57" s="1">
        <f t="shared" si="16"/>
        <v>0</v>
      </c>
      <c r="L57" s="1">
        <f t="shared" si="16"/>
        <v>0</v>
      </c>
      <c r="M57" s="1">
        <f t="shared" si="16"/>
        <v>0</v>
      </c>
      <c r="N57" s="1">
        <f t="shared" si="16"/>
        <v>0</v>
      </c>
      <c r="O57" s="1">
        <f t="shared" si="16"/>
        <v>0</v>
      </c>
      <c r="P57" s="1">
        <f t="shared" si="16"/>
        <v>0</v>
      </c>
      <c r="Q57" s="12">
        <f t="shared" si="16"/>
        <v>0</v>
      </c>
      <c r="S57" s="72">
        <f t="shared" si="17"/>
        <v>-8.2104350867666653E-3</v>
      </c>
    </row>
    <row r="58" spans="2:19">
      <c r="B58" s="11">
        <f t="shared" si="18"/>
        <v>0</v>
      </c>
      <c r="C58" s="1">
        <f t="shared" si="18"/>
        <v>0</v>
      </c>
      <c r="D58" s="1">
        <f t="shared" si="18"/>
        <v>0</v>
      </c>
      <c r="E58" s="1">
        <f t="shared" si="18"/>
        <v>0</v>
      </c>
      <c r="F58" s="1">
        <f t="shared" si="18"/>
        <v>0.98131374967715723</v>
      </c>
      <c r="G58" s="1">
        <f t="shared" si="18"/>
        <v>0.19241446072101101</v>
      </c>
      <c r="H58" s="1">
        <f t="shared" si="18"/>
        <v>0</v>
      </c>
      <c r="I58" s="1">
        <f t="shared" si="18"/>
        <v>0</v>
      </c>
      <c r="J58" s="1">
        <f t="shared" si="18"/>
        <v>0</v>
      </c>
      <c r="K58" s="1">
        <f t="shared" si="18"/>
        <v>0</v>
      </c>
      <c r="L58" s="1">
        <f t="shared" si="18"/>
        <v>-0.98131374967715723</v>
      </c>
      <c r="M58" s="1">
        <f t="shared" si="18"/>
        <v>-0.19241446072101101</v>
      </c>
      <c r="N58" s="1">
        <f t="shared" si="18"/>
        <v>0</v>
      </c>
      <c r="O58" s="1">
        <f t="shared" si="18"/>
        <v>0</v>
      </c>
      <c r="P58" s="1">
        <f t="shared" si="18"/>
        <v>0</v>
      </c>
      <c r="Q58" s="12">
        <f t="shared" si="18"/>
        <v>0</v>
      </c>
      <c r="S58" s="72">
        <f t="shared" si="17"/>
        <v>-1.2270796274322038E-2</v>
      </c>
    </row>
    <row r="59" spans="2:19">
      <c r="B59" s="11">
        <f t="shared" ref="B59:Q61" si="19">IF(B$41=$B21,IF(B$40="dx",-$K21,-$J21),IF(B$41=$C21,IF(B$40="dx",$K21,$J21),0))</f>
        <v>0</v>
      </c>
      <c r="C59" s="1">
        <f t="shared" si="19"/>
        <v>0</v>
      </c>
      <c r="D59" s="1">
        <f t="shared" si="19"/>
        <v>0</v>
      </c>
      <c r="E59" s="1">
        <f t="shared" si="19"/>
        <v>0</v>
      </c>
      <c r="F59" s="1">
        <f t="shared" si="19"/>
        <v>0.59921385627771317</v>
      </c>
      <c r="G59" s="1">
        <f t="shared" si="19"/>
        <v>0.80058900469891048</v>
      </c>
      <c r="H59" s="1">
        <f t="shared" si="19"/>
        <v>0</v>
      </c>
      <c r="I59" s="1">
        <f t="shared" si="19"/>
        <v>0</v>
      </c>
      <c r="J59" s="1">
        <f t="shared" si="19"/>
        <v>0</v>
      </c>
      <c r="K59" s="1">
        <f t="shared" si="19"/>
        <v>0</v>
      </c>
      <c r="L59" s="1">
        <f t="shared" si="19"/>
        <v>0</v>
      </c>
      <c r="M59" s="1">
        <f t="shared" si="19"/>
        <v>0</v>
      </c>
      <c r="N59" s="1">
        <f t="shared" si="19"/>
        <v>0</v>
      </c>
      <c r="O59" s="1">
        <f t="shared" si="19"/>
        <v>0</v>
      </c>
      <c r="P59" s="1">
        <f t="shared" si="19"/>
        <v>-0.59921385627771317</v>
      </c>
      <c r="Q59" s="12">
        <f t="shared" si="19"/>
        <v>-0.80058900469891048</v>
      </c>
      <c r="S59" s="72">
        <f t="shared" si="17"/>
        <v>-1.8017681965716292E-3</v>
      </c>
    </row>
    <row r="60" spans="2:19">
      <c r="B60" s="11">
        <f t="shared" si="19"/>
        <v>0</v>
      </c>
      <c r="C60" s="1">
        <f t="shared" si="19"/>
        <v>0</v>
      </c>
      <c r="D60" s="1">
        <f t="shared" si="19"/>
        <v>0</v>
      </c>
      <c r="E60" s="1">
        <f t="shared" si="19"/>
        <v>0</v>
      </c>
      <c r="F60" s="1">
        <f t="shared" si="19"/>
        <v>0</v>
      </c>
      <c r="G60" s="1">
        <f t="shared" si="19"/>
        <v>0</v>
      </c>
      <c r="H60" s="1">
        <f t="shared" si="19"/>
        <v>0</v>
      </c>
      <c r="I60" s="1">
        <f t="shared" si="19"/>
        <v>0</v>
      </c>
      <c r="J60" s="1">
        <f t="shared" si="19"/>
        <v>-0.50387102552408569</v>
      </c>
      <c r="K60" s="1">
        <f t="shared" si="19"/>
        <v>0.86377890089843368</v>
      </c>
      <c r="L60" s="1">
        <f t="shared" si="19"/>
        <v>0</v>
      </c>
      <c r="M60" s="1">
        <f t="shared" si="19"/>
        <v>0</v>
      </c>
      <c r="N60" s="1">
        <f t="shared" si="19"/>
        <v>0</v>
      </c>
      <c r="O60" s="1">
        <f t="shared" si="19"/>
        <v>0</v>
      </c>
      <c r="P60" s="1">
        <f t="shared" si="19"/>
        <v>0.50387102552408569</v>
      </c>
      <c r="Q60" s="12">
        <f t="shared" si="19"/>
        <v>-0.86377890089843368</v>
      </c>
      <c r="S60" s="72">
        <f t="shared" si="17"/>
        <v>1.2557467953229207E-3</v>
      </c>
    </row>
    <row r="61" spans="2:19">
      <c r="B61" s="13">
        <f t="shared" si="19"/>
        <v>0</v>
      </c>
      <c r="C61" s="14">
        <f t="shared" si="19"/>
        <v>0</v>
      </c>
      <c r="D61" s="14">
        <f t="shared" si="19"/>
        <v>0</v>
      </c>
      <c r="E61" s="14">
        <f t="shared" si="19"/>
        <v>0</v>
      </c>
      <c r="F61" s="14">
        <f t="shared" si="19"/>
        <v>0</v>
      </c>
      <c r="G61" s="14">
        <f t="shared" si="19"/>
        <v>0</v>
      </c>
      <c r="H61" s="14">
        <f t="shared" si="19"/>
        <v>0.90618313999526523</v>
      </c>
      <c r="I61" s="14">
        <f t="shared" si="19"/>
        <v>-0.42288546533112437</v>
      </c>
      <c r="J61" s="14">
        <f t="shared" si="19"/>
        <v>-0.90618313999526523</v>
      </c>
      <c r="K61" s="14">
        <f t="shared" si="19"/>
        <v>0.42288546533112437</v>
      </c>
      <c r="L61" s="14">
        <f t="shared" si="19"/>
        <v>0</v>
      </c>
      <c r="M61" s="14">
        <f t="shared" si="19"/>
        <v>0</v>
      </c>
      <c r="N61" s="14">
        <f t="shared" si="19"/>
        <v>0</v>
      </c>
      <c r="O61" s="14">
        <f t="shared" si="19"/>
        <v>0</v>
      </c>
      <c r="P61" s="14">
        <f t="shared" si="19"/>
        <v>0</v>
      </c>
      <c r="Q61" s="15">
        <f t="shared" si="19"/>
        <v>0</v>
      </c>
      <c r="S61" s="72">
        <f t="shared" si="17"/>
        <v>-8.4642753151342731E-4</v>
      </c>
    </row>
    <row r="62" spans="2:19">
      <c r="B62" s="8">
        <f t="shared" ref="B62:Q73" si="20">IF(B$41=$C26,IF(B$40="dx",$R26,-$Q26),IF(B$41=$D26,IF(B$40="dx",-$T26,$S26),IF(B$41=$B26,IF(B$40="dx",($T26-$R26),($Q26-$S26)),0)))</f>
        <v>-3403.3062075712155</v>
      </c>
      <c r="C62" s="9">
        <f t="shared" si="20"/>
        <v>1634.4825865309128</v>
      </c>
      <c r="D62" s="9">
        <f t="shared" si="20"/>
        <v>3793.4927551580181</v>
      </c>
      <c r="E62" s="9">
        <f t="shared" si="20"/>
        <v>2150.6415619793488</v>
      </c>
      <c r="F62" s="9">
        <f t="shared" si="20"/>
        <v>0</v>
      </c>
      <c r="G62" s="9">
        <f t="shared" si="20"/>
        <v>0</v>
      </c>
      <c r="H62" s="9">
        <f t="shared" si="20"/>
        <v>0</v>
      </c>
      <c r="I62" s="9">
        <f t="shared" si="20"/>
        <v>0</v>
      </c>
      <c r="J62" s="9">
        <f t="shared" si="20"/>
        <v>0</v>
      </c>
      <c r="K62" s="9">
        <f t="shared" si="20"/>
        <v>0</v>
      </c>
      <c r="L62" s="9">
        <f t="shared" si="20"/>
        <v>0</v>
      </c>
      <c r="M62" s="9">
        <f t="shared" si="20"/>
        <v>0</v>
      </c>
      <c r="N62" s="9">
        <f t="shared" si="20"/>
        <v>0</v>
      </c>
      <c r="O62" s="9">
        <f t="shared" si="20"/>
        <v>0</v>
      </c>
      <c r="P62" s="9">
        <f t="shared" si="20"/>
        <v>-390.18654758680259</v>
      </c>
      <c r="Q62" s="10">
        <f t="shared" si="20"/>
        <v>-3785.1241485102619</v>
      </c>
      <c r="S62" s="89">
        <f t="shared" ref="S62:S73" si="21">P26*10000</f>
        <v>29.366713100174024</v>
      </c>
    </row>
    <row r="63" spans="2:19">
      <c r="B63" s="11">
        <f t="shared" si="20"/>
        <v>0</v>
      </c>
      <c r="C63" s="1">
        <f t="shared" si="20"/>
        <v>0</v>
      </c>
      <c r="D63" s="1">
        <f t="shared" si="20"/>
        <v>-3793.4927551580181</v>
      </c>
      <c r="E63" s="1">
        <f t="shared" si="20"/>
        <v>-2150.6415619793488</v>
      </c>
      <c r="F63" s="1">
        <f t="shared" si="20"/>
        <v>-2503.2934382533417</v>
      </c>
      <c r="G63" s="1">
        <f t="shared" si="20"/>
        <v>1873.6306715761204</v>
      </c>
      <c r="H63" s="1">
        <f t="shared" si="20"/>
        <v>0</v>
      </c>
      <c r="I63" s="1">
        <f t="shared" si="20"/>
        <v>0</v>
      </c>
      <c r="J63" s="1">
        <f t="shared" si="20"/>
        <v>0</v>
      </c>
      <c r="K63" s="1">
        <f t="shared" si="20"/>
        <v>0</v>
      </c>
      <c r="L63" s="1">
        <f t="shared" si="20"/>
        <v>0</v>
      </c>
      <c r="M63" s="1">
        <f t="shared" si="20"/>
        <v>0</v>
      </c>
      <c r="N63" s="1">
        <f t="shared" si="20"/>
        <v>0</v>
      </c>
      <c r="O63" s="1">
        <f t="shared" si="20"/>
        <v>0</v>
      </c>
      <c r="P63" s="1">
        <f t="shared" si="20"/>
        <v>6296.7861934113598</v>
      </c>
      <c r="Q63" s="12">
        <f t="shared" si="20"/>
        <v>277.01089040322836</v>
      </c>
      <c r="S63" s="90">
        <f t="shared" si="21"/>
        <v>18.677864255352006</v>
      </c>
    </row>
    <row r="64" spans="2:19">
      <c r="B64" s="11">
        <f t="shared" si="20"/>
        <v>0</v>
      </c>
      <c r="C64" s="1">
        <f t="shared" si="20"/>
        <v>0</v>
      </c>
      <c r="D64" s="1">
        <f t="shared" si="20"/>
        <v>0</v>
      </c>
      <c r="E64" s="1">
        <f t="shared" si="20"/>
        <v>0</v>
      </c>
      <c r="F64" s="1">
        <f t="shared" si="20"/>
        <v>2503.2934382533417</v>
      </c>
      <c r="G64" s="1">
        <f t="shared" si="20"/>
        <v>-1873.6306715761207</v>
      </c>
      <c r="H64" s="1">
        <f t="shared" si="20"/>
        <v>-2900.4997152677797</v>
      </c>
      <c r="I64" s="1">
        <f t="shared" si="20"/>
        <v>-239.49080217807358</v>
      </c>
      <c r="J64" s="1">
        <f t="shared" si="20"/>
        <v>0</v>
      </c>
      <c r="K64" s="1">
        <f t="shared" si="20"/>
        <v>0</v>
      </c>
      <c r="L64" s="1">
        <f t="shared" si="20"/>
        <v>0</v>
      </c>
      <c r="M64" s="1">
        <f t="shared" si="20"/>
        <v>0</v>
      </c>
      <c r="N64" s="1">
        <f t="shared" si="20"/>
        <v>0</v>
      </c>
      <c r="O64" s="1">
        <f t="shared" si="20"/>
        <v>0</v>
      </c>
      <c r="P64" s="1">
        <f t="shared" si="20"/>
        <v>397.206277014438</v>
      </c>
      <c r="Q64" s="12">
        <f t="shared" si="20"/>
        <v>2113.1214737541941</v>
      </c>
      <c r="S64" s="90">
        <f t="shared" si="21"/>
        <v>-26.86773425423894</v>
      </c>
    </row>
    <row r="65" spans="2:19">
      <c r="B65" s="11">
        <f t="shared" si="20"/>
        <v>0</v>
      </c>
      <c r="C65" s="1">
        <f t="shared" si="20"/>
        <v>0</v>
      </c>
      <c r="D65" s="1">
        <f t="shared" si="20"/>
        <v>0</v>
      </c>
      <c r="E65" s="1">
        <f t="shared" si="20"/>
        <v>0</v>
      </c>
      <c r="F65" s="1">
        <f t="shared" si="20"/>
        <v>0</v>
      </c>
      <c r="G65" s="1">
        <f t="shared" si="20"/>
        <v>0</v>
      </c>
      <c r="H65" s="1">
        <f t="shared" si="20"/>
        <v>2900.4997152677797</v>
      </c>
      <c r="I65" s="1">
        <f t="shared" si="20"/>
        <v>239.49080217807358</v>
      </c>
      <c r="J65" s="1">
        <f t="shared" si="20"/>
        <v>0</v>
      </c>
      <c r="K65" s="1">
        <f t="shared" si="20"/>
        <v>0</v>
      </c>
      <c r="L65" s="1">
        <f t="shared" si="20"/>
        <v>-2361.876494764485</v>
      </c>
      <c r="M65" s="1">
        <f t="shared" si="20"/>
        <v>-2779.9077327758987</v>
      </c>
      <c r="N65" s="1">
        <f t="shared" si="20"/>
        <v>0</v>
      </c>
      <c r="O65" s="1">
        <f t="shared" si="20"/>
        <v>0</v>
      </c>
      <c r="P65" s="1">
        <f t="shared" si="20"/>
        <v>-538.62322050329476</v>
      </c>
      <c r="Q65" s="12">
        <f t="shared" si="20"/>
        <v>2540.4169305978253</v>
      </c>
      <c r="S65" s="90">
        <f t="shared" si="21"/>
        <v>-20.847107294699185</v>
      </c>
    </row>
    <row r="66" spans="2:19">
      <c r="B66" s="11">
        <f t="shared" si="20"/>
        <v>0</v>
      </c>
      <c r="C66" s="1">
        <f t="shared" si="20"/>
        <v>0</v>
      </c>
      <c r="D66" s="1">
        <f t="shared" si="20"/>
        <v>0</v>
      </c>
      <c r="E66" s="1">
        <f t="shared" si="20"/>
        <v>0</v>
      </c>
      <c r="F66" s="1">
        <f t="shared" si="20"/>
        <v>0</v>
      </c>
      <c r="G66" s="1">
        <f t="shared" si="20"/>
        <v>0</v>
      </c>
      <c r="H66" s="1">
        <f t="shared" si="20"/>
        <v>0</v>
      </c>
      <c r="I66" s="1">
        <f t="shared" si="20"/>
        <v>0</v>
      </c>
      <c r="J66" s="1">
        <f t="shared" si="20"/>
        <v>0</v>
      </c>
      <c r="K66" s="1">
        <f t="shared" si="20"/>
        <v>0</v>
      </c>
      <c r="L66" s="1">
        <f t="shared" si="20"/>
        <v>2361.876494764485</v>
      </c>
      <c r="M66" s="1">
        <f t="shared" si="20"/>
        <v>2779.9077327758987</v>
      </c>
      <c r="N66" s="1">
        <f t="shared" si="20"/>
        <v>738.29713027806338</v>
      </c>
      <c r="O66" s="1">
        <f t="shared" si="20"/>
        <v>-3760.7010073538854</v>
      </c>
      <c r="P66" s="1">
        <f t="shared" si="20"/>
        <v>-3100.1736250425483</v>
      </c>
      <c r="Q66" s="12">
        <f t="shared" si="20"/>
        <v>980.79327457798672</v>
      </c>
      <c r="S66" s="90">
        <f t="shared" si="21"/>
        <v>2.9553998365372536</v>
      </c>
    </row>
    <row r="67" spans="2:19">
      <c r="B67" s="11">
        <f t="shared" si="20"/>
        <v>3403.3062075712155</v>
      </c>
      <c r="C67" s="1">
        <f t="shared" si="20"/>
        <v>-1634.4825865309126</v>
      </c>
      <c r="D67" s="1">
        <f t="shared" si="20"/>
        <v>0</v>
      </c>
      <c r="E67" s="1">
        <f t="shared" si="20"/>
        <v>0</v>
      </c>
      <c r="F67" s="1">
        <f t="shared" si="20"/>
        <v>0</v>
      </c>
      <c r="G67" s="1">
        <f t="shared" si="20"/>
        <v>0</v>
      </c>
      <c r="H67" s="1">
        <f t="shared" si="20"/>
        <v>0</v>
      </c>
      <c r="I67" s="1">
        <f t="shared" si="20"/>
        <v>0</v>
      </c>
      <c r="J67" s="1">
        <f t="shared" si="20"/>
        <v>0</v>
      </c>
      <c r="K67" s="1">
        <f t="shared" si="20"/>
        <v>0</v>
      </c>
      <c r="L67" s="1">
        <f t="shared" si="20"/>
        <v>0</v>
      </c>
      <c r="M67" s="1">
        <f t="shared" si="20"/>
        <v>0</v>
      </c>
      <c r="N67" s="1">
        <f t="shared" si="20"/>
        <v>-738.29713027806338</v>
      </c>
      <c r="O67" s="1">
        <f t="shared" si="20"/>
        <v>3760.7010073538859</v>
      </c>
      <c r="P67" s="1">
        <f t="shared" si="20"/>
        <v>-2665.0090772931521</v>
      </c>
      <c r="Q67" s="12">
        <f t="shared" si="20"/>
        <v>-2126.2184208229733</v>
      </c>
      <c r="S67" s="90">
        <f t="shared" si="21"/>
        <v>-14.285135643206104</v>
      </c>
    </row>
    <row r="68" spans="2:19">
      <c r="B68" s="11">
        <f t="shared" si="20"/>
        <v>0</v>
      </c>
      <c r="C68" s="1">
        <f t="shared" si="20"/>
        <v>0</v>
      </c>
      <c r="D68" s="1">
        <f t="shared" si="20"/>
        <v>0</v>
      </c>
      <c r="E68" s="1">
        <f t="shared" si="20"/>
        <v>0</v>
      </c>
      <c r="F68" s="1">
        <f t="shared" si="20"/>
        <v>0</v>
      </c>
      <c r="G68" s="1">
        <f t="shared" si="20"/>
        <v>0</v>
      </c>
      <c r="H68" s="1">
        <f t="shared" si="20"/>
        <v>0</v>
      </c>
      <c r="I68" s="1">
        <f t="shared" si="20"/>
        <v>0</v>
      </c>
      <c r="J68" s="1">
        <f t="shared" si="20"/>
        <v>-1508.9596323260703</v>
      </c>
      <c r="K68" s="1">
        <f t="shared" si="20"/>
        <v>-668.50480486098945</v>
      </c>
      <c r="L68" s="1">
        <f t="shared" si="20"/>
        <v>3497.9108371845136</v>
      </c>
      <c r="M68" s="1">
        <f t="shared" si="20"/>
        <v>699.58216743690264</v>
      </c>
      <c r="N68" s="1">
        <f t="shared" si="20"/>
        <v>-1988.9512048584434</v>
      </c>
      <c r="O68" s="1">
        <f t="shared" si="20"/>
        <v>-31.077362575913178</v>
      </c>
      <c r="P68" s="1">
        <f t="shared" si="20"/>
        <v>0</v>
      </c>
      <c r="Q68" s="12">
        <f t="shared" si="20"/>
        <v>0</v>
      </c>
      <c r="S68" s="90">
        <f t="shared" si="21"/>
        <v>5.5418201013068824</v>
      </c>
    </row>
    <row r="69" spans="2:19">
      <c r="B69" s="11">
        <f t="shared" si="20"/>
        <v>0</v>
      </c>
      <c r="C69" s="1">
        <f t="shared" si="20"/>
        <v>0</v>
      </c>
      <c r="D69" s="1">
        <f t="shared" si="20"/>
        <v>0</v>
      </c>
      <c r="E69" s="1">
        <f t="shared" si="20"/>
        <v>0</v>
      </c>
      <c r="F69" s="1">
        <f t="shared" si="20"/>
        <v>0</v>
      </c>
      <c r="G69" s="1">
        <f t="shared" si="20"/>
        <v>0</v>
      </c>
      <c r="H69" s="1">
        <f t="shared" si="20"/>
        <v>0</v>
      </c>
      <c r="I69" s="1">
        <f t="shared" si="20"/>
        <v>0</v>
      </c>
      <c r="J69" s="1">
        <f t="shared" si="20"/>
        <v>1848.6368155068417</v>
      </c>
      <c r="K69" s="1">
        <f t="shared" si="20"/>
        <v>-262.49434520840612</v>
      </c>
      <c r="L69" s="1">
        <f t="shared" si="20"/>
        <v>-3497.9108371845136</v>
      </c>
      <c r="M69" s="1">
        <f t="shared" si="20"/>
        <v>-699.58216743690264</v>
      </c>
      <c r="N69" s="1">
        <f t="shared" si="20"/>
        <v>0</v>
      </c>
      <c r="O69" s="1">
        <f t="shared" si="20"/>
        <v>0</v>
      </c>
      <c r="P69" s="1">
        <f t="shared" si="20"/>
        <v>1649.274021677672</v>
      </c>
      <c r="Q69" s="12">
        <f t="shared" si="20"/>
        <v>962.07651264530875</v>
      </c>
      <c r="S69" s="90">
        <f t="shared" si="21"/>
        <v>-14.281227677486186</v>
      </c>
    </row>
    <row r="70" spans="2:19">
      <c r="B70" s="11">
        <f t="shared" si="20"/>
        <v>0</v>
      </c>
      <c r="C70" s="1">
        <f t="shared" si="20"/>
        <v>0</v>
      </c>
      <c r="D70" s="1">
        <f t="shared" si="20"/>
        <v>0</v>
      </c>
      <c r="E70" s="1">
        <f t="shared" si="20"/>
        <v>0</v>
      </c>
      <c r="F70" s="1">
        <f t="shared" si="20"/>
        <v>0</v>
      </c>
      <c r="G70" s="1">
        <f t="shared" si="20"/>
        <v>0</v>
      </c>
      <c r="H70" s="1">
        <f t="shared" si="20"/>
        <v>1626.4008783113393</v>
      </c>
      <c r="I70" s="1">
        <f t="shared" si="20"/>
        <v>3485.144739238584</v>
      </c>
      <c r="J70" s="1">
        <f t="shared" si="20"/>
        <v>22.87314336633267</v>
      </c>
      <c r="K70" s="1">
        <f t="shared" si="20"/>
        <v>-2523.0682265932751</v>
      </c>
      <c r="L70" s="1">
        <f t="shared" si="20"/>
        <v>0</v>
      </c>
      <c r="M70" s="1">
        <f t="shared" si="20"/>
        <v>0</v>
      </c>
      <c r="N70" s="1">
        <f t="shared" si="20"/>
        <v>0</v>
      </c>
      <c r="O70" s="1">
        <f t="shared" si="20"/>
        <v>0</v>
      </c>
      <c r="P70" s="1">
        <f t="shared" si="20"/>
        <v>-1649.274021677672</v>
      </c>
      <c r="Q70" s="12">
        <f t="shared" si="20"/>
        <v>-962.07651264530875</v>
      </c>
      <c r="S70" s="90">
        <f t="shared" si="21"/>
        <v>-5.1182403248617447</v>
      </c>
    </row>
    <row r="71" spans="2:19">
      <c r="B71" s="11">
        <f t="shared" si="20"/>
        <v>0</v>
      </c>
      <c r="C71" s="1">
        <f t="shared" si="20"/>
        <v>0</v>
      </c>
      <c r="D71" s="1">
        <f t="shared" si="20"/>
        <v>0</v>
      </c>
      <c r="E71" s="1">
        <f t="shared" si="20"/>
        <v>0</v>
      </c>
      <c r="F71" s="1">
        <f t="shared" si="20"/>
        <v>0</v>
      </c>
      <c r="G71" s="1">
        <f t="shared" si="20"/>
        <v>0</v>
      </c>
      <c r="H71" s="1">
        <f t="shared" si="20"/>
        <v>-4382.8988617585992</v>
      </c>
      <c r="I71" s="1">
        <f t="shared" si="20"/>
        <v>-466.12313832015707</v>
      </c>
      <c r="J71" s="1">
        <f t="shared" si="20"/>
        <v>1626.4008783113393</v>
      </c>
      <c r="K71" s="1">
        <f t="shared" si="20"/>
        <v>3485.1447392385844</v>
      </c>
      <c r="L71" s="1">
        <f t="shared" si="20"/>
        <v>2756.4979834472601</v>
      </c>
      <c r="M71" s="1">
        <f t="shared" si="20"/>
        <v>-3019.0216009184273</v>
      </c>
      <c r="N71" s="1">
        <f t="shared" si="20"/>
        <v>0</v>
      </c>
      <c r="O71" s="1">
        <f t="shared" si="20"/>
        <v>0</v>
      </c>
      <c r="P71" s="1">
        <f t="shared" si="20"/>
        <v>0</v>
      </c>
      <c r="Q71" s="12">
        <f t="shared" si="20"/>
        <v>0</v>
      </c>
      <c r="S71" s="90">
        <f t="shared" si="21"/>
        <v>-5.874715553062515</v>
      </c>
    </row>
    <row r="72" spans="2:19">
      <c r="B72" s="11">
        <f t="shared" si="20"/>
        <v>0</v>
      </c>
      <c r="C72" s="1">
        <f t="shared" si="20"/>
        <v>0</v>
      </c>
      <c r="D72" s="1">
        <f t="shared" si="20"/>
        <v>0</v>
      </c>
      <c r="E72" s="1">
        <f t="shared" si="20"/>
        <v>0</v>
      </c>
      <c r="F72" s="1">
        <f t="shared" si="20"/>
        <v>0</v>
      </c>
      <c r="G72" s="1">
        <f t="shared" si="20"/>
        <v>0</v>
      </c>
      <c r="H72" s="1">
        <f t="shared" si="20"/>
        <v>-144.00173182051958</v>
      </c>
      <c r="I72" s="1">
        <f t="shared" si="20"/>
        <v>-3258.5124030965007</v>
      </c>
      <c r="J72" s="1">
        <f t="shared" si="20"/>
        <v>0</v>
      </c>
      <c r="K72" s="1">
        <f t="shared" si="20"/>
        <v>0</v>
      </c>
      <c r="L72" s="1">
        <f t="shared" si="20"/>
        <v>-2756.4979834472601</v>
      </c>
      <c r="M72" s="1">
        <f t="shared" si="20"/>
        <v>3019.0216009184273</v>
      </c>
      <c r="N72" s="1">
        <f t="shared" si="20"/>
        <v>0</v>
      </c>
      <c r="O72" s="1">
        <f t="shared" si="20"/>
        <v>0</v>
      </c>
      <c r="P72" s="1">
        <f t="shared" si="20"/>
        <v>2900.4997152677797</v>
      </c>
      <c r="Q72" s="12">
        <f t="shared" si="20"/>
        <v>239.49080217807358</v>
      </c>
      <c r="S72" s="90">
        <f t="shared" si="21"/>
        <v>4.3237060372547376</v>
      </c>
    </row>
    <row r="73" spans="2:19">
      <c r="B73" s="13">
        <f t="shared" si="20"/>
        <v>0</v>
      </c>
      <c r="C73" s="14">
        <f t="shared" si="20"/>
        <v>0</v>
      </c>
      <c r="D73" s="14">
        <f t="shared" si="20"/>
        <v>0</v>
      </c>
      <c r="E73" s="14">
        <f t="shared" si="20"/>
        <v>0</v>
      </c>
      <c r="F73" s="14">
        <f t="shared" si="20"/>
        <v>1547.5839770261648</v>
      </c>
      <c r="G73" s="14">
        <f t="shared" si="20"/>
        <v>3939.3046687938736</v>
      </c>
      <c r="H73" s="14">
        <f t="shared" si="20"/>
        <v>1352.9157382416149</v>
      </c>
      <c r="I73" s="14">
        <f t="shared" si="20"/>
        <v>-3699.8138666158002</v>
      </c>
      <c r="J73" s="14">
        <f t="shared" si="20"/>
        <v>0</v>
      </c>
      <c r="K73" s="14">
        <f t="shared" si="20"/>
        <v>0</v>
      </c>
      <c r="L73" s="14">
        <f t="shared" si="20"/>
        <v>0</v>
      </c>
      <c r="M73" s="14">
        <f t="shared" si="20"/>
        <v>0</v>
      </c>
      <c r="N73" s="14">
        <f t="shared" si="20"/>
        <v>0</v>
      </c>
      <c r="O73" s="14">
        <f t="shared" si="20"/>
        <v>0</v>
      </c>
      <c r="P73" s="14">
        <f t="shared" si="20"/>
        <v>-2900.4997152677797</v>
      </c>
      <c r="Q73" s="15">
        <f t="shared" si="20"/>
        <v>-239.49080217807358</v>
      </c>
      <c r="S73" s="91">
        <f t="shared" si="21"/>
        <v>-0.14731276564816653</v>
      </c>
    </row>
    <row r="74" spans="2:19">
      <c r="B74" s="23"/>
      <c r="C74" s="23"/>
      <c r="D74" s="23"/>
      <c r="E74" s="23"/>
      <c r="F74" s="23"/>
      <c r="G74" s="23"/>
      <c r="H74" s="23"/>
      <c r="I74" s="23"/>
      <c r="J74" s="23"/>
      <c r="K74" s="23"/>
      <c r="L74" s="23"/>
      <c r="M74" s="23"/>
      <c r="N74" s="23"/>
      <c r="O74" s="23"/>
      <c r="P74" s="23"/>
      <c r="Q74" s="23"/>
      <c r="S74" s="23"/>
    </row>
    <row r="75" spans="2:19">
      <c r="B75" s="263" t="s">
        <v>45</v>
      </c>
      <c r="C75" s="264"/>
      <c r="D75" s="264"/>
      <c r="E75" s="264"/>
      <c r="F75" s="264"/>
      <c r="G75" s="264"/>
      <c r="H75" s="264"/>
      <c r="I75" s="264"/>
      <c r="J75" s="264"/>
      <c r="K75" s="264"/>
      <c r="L75" s="264"/>
      <c r="M75" s="264"/>
      <c r="N75" s="264"/>
      <c r="O75" s="264"/>
      <c r="P75" s="264"/>
      <c r="Q75" s="265"/>
      <c r="S75" s="69" t="s">
        <v>46</v>
      </c>
    </row>
    <row r="76" spans="2:19">
      <c r="B76" s="73">
        <f>B42/$L4</f>
        <v>173.64575395634725</v>
      </c>
      <c r="C76" s="74">
        <f t="shared" ref="C76:Q76" si="22">C42/$L4</f>
        <v>-766.93541330720211</v>
      </c>
      <c r="D76" s="74">
        <f t="shared" si="22"/>
        <v>0</v>
      </c>
      <c r="E76" s="74">
        <f t="shared" si="22"/>
        <v>0</v>
      </c>
      <c r="F76" s="74">
        <f t="shared" si="22"/>
        <v>0</v>
      </c>
      <c r="G76" s="74">
        <f t="shared" si="22"/>
        <v>0</v>
      </c>
      <c r="H76" s="74">
        <f t="shared" si="22"/>
        <v>0</v>
      </c>
      <c r="I76" s="74">
        <f t="shared" si="22"/>
        <v>0</v>
      </c>
      <c r="J76" s="74">
        <f t="shared" si="22"/>
        <v>0</v>
      </c>
      <c r="K76" s="74">
        <f t="shared" si="22"/>
        <v>0</v>
      </c>
      <c r="L76" s="74">
        <f t="shared" si="22"/>
        <v>-173.64575395634725</v>
      </c>
      <c r="M76" s="74">
        <f t="shared" si="22"/>
        <v>766.93541330720211</v>
      </c>
      <c r="N76" s="74">
        <f t="shared" si="22"/>
        <v>0</v>
      </c>
      <c r="O76" s="74">
        <f t="shared" si="22"/>
        <v>0</v>
      </c>
      <c r="P76" s="74">
        <f t="shared" si="22"/>
        <v>0</v>
      </c>
      <c r="Q76" s="95">
        <f t="shared" si="22"/>
        <v>0</v>
      </c>
      <c r="S76" s="75">
        <f t="shared" ref="S76:S95" si="23">S42/$L4</f>
        <v>4.3747543610694333</v>
      </c>
    </row>
    <row r="77" spans="2:19">
      <c r="B77" s="76">
        <f t="shared" ref="B77:Q92" si="24">B43/$L5</f>
        <v>0</v>
      </c>
      <c r="C77" s="77">
        <f t="shared" si="24"/>
        <v>0</v>
      </c>
      <c r="D77" s="77">
        <f t="shared" si="24"/>
        <v>0</v>
      </c>
      <c r="E77" s="77">
        <f t="shared" si="24"/>
        <v>0</v>
      </c>
      <c r="F77" s="77">
        <f t="shared" si="24"/>
        <v>0</v>
      </c>
      <c r="G77" s="77">
        <f t="shared" si="24"/>
        <v>0</v>
      </c>
      <c r="H77" s="77">
        <f t="shared" si="24"/>
        <v>638.97868514563504</v>
      </c>
      <c r="I77" s="77">
        <f t="shared" si="24"/>
        <v>583.41532121992759</v>
      </c>
      <c r="J77" s="77">
        <f t="shared" si="24"/>
        <v>0</v>
      </c>
      <c r="K77" s="77">
        <f t="shared" si="24"/>
        <v>0</v>
      </c>
      <c r="L77" s="77">
        <f t="shared" si="24"/>
        <v>-638.97868514563504</v>
      </c>
      <c r="M77" s="77">
        <f t="shared" si="24"/>
        <v>-583.41532121992759</v>
      </c>
      <c r="N77" s="77">
        <f t="shared" si="24"/>
        <v>0</v>
      </c>
      <c r="O77" s="77">
        <f t="shared" si="24"/>
        <v>0</v>
      </c>
      <c r="P77" s="77">
        <f t="shared" si="24"/>
        <v>0</v>
      </c>
      <c r="Q77" s="96">
        <f t="shared" si="24"/>
        <v>0</v>
      </c>
      <c r="S77" s="78">
        <f t="shared" si="23"/>
        <v>-3.2749715790610265</v>
      </c>
    </row>
    <row r="78" spans="2:19">
      <c r="B78" s="76">
        <f t="shared" si="24"/>
        <v>0</v>
      </c>
      <c r="C78" s="77">
        <f t="shared" si="24"/>
        <v>0</v>
      </c>
      <c r="D78" s="77">
        <f t="shared" si="24"/>
        <v>0</v>
      </c>
      <c r="E78" s="77">
        <f t="shared" si="24"/>
        <v>0</v>
      </c>
      <c r="F78" s="77">
        <f t="shared" si="24"/>
        <v>0</v>
      </c>
      <c r="G78" s="77">
        <f t="shared" si="24"/>
        <v>0</v>
      </c>
      <c r="H78" s="77">
        <f t="shared" si="24"/>
        <v>0</v>
      </c>
      <c r="I78" s="77">
        <f t="shared" si="24"/>
        <v>0</v>
      </c>
      <c r="J78" s="77">
        <f t="shared" si="24"/>
        <v>-166.41610288114117</v>
      </c>
      <c r="K78" s="77">
        <f t="shared" si="24"/>
        <v>832.08051440570546</v>
      </c>
      <c r="L78" s="77">
        <f t="shared" si="24"/>
        <v>166.41610288114117</v>
      </c>
      <c r="M78" s="77">
        <f t="shared" si="24"/>
        <v>-832.08051440570546</v>
      </c>
      <c r="N78" s="77">
        <f t="shared" si="24"/>
        <v>0</v>
      </c>
      <c r="O78" s="77">
        <f t="shared" si="24"/>
        <v>0</v>
      </c>
      <c r="P78" s="77">
        <f t="shared" si="24"/>
        <v>0</v>
      </c>
      <c r="Q78" s="96">
        <f t="shared" si="24"/>
        <v>0</v>
      </c>
      <c r="S78" s="78">
        <f t="shared" si="23"/>
        <v>-2.3904111586779639</v>
      </c>
    </row>
    <row r="79" spans="2:19">
      <c r="B79" s="76">
        <f t="shared" si="24"/>
        <v>0</v>
      </c>
      <c r="C79" s="77">
        <f t="shared" si="24"/>
        <v>0</v>
      </c>
      <c r="D79" s="77">
        <f t="shared" si="24"/>
        <v>0</v>
      </c>
      <c r="E79" s="77">
        <f t="shared" si="24"/>
        <v>0</v>
      </c>
      <c r="F79" s="77">
        <f t="shared" si="24"/>
        <v>0</v>
      </c>
      <c r="G79" s="77">
        <f t="shared" si="24"/>
        <v>0</v>
      </c>
      <c r="H79" s="77">
        <f t="shared" si="24"/>
        <v>0</v>
      </c>
      <c r="I79" s="77">
        <f t="shared" si="24"/>
        <v>0</v>
      </c>
      <c r="J79" s="77">
        <f t="shared" si="24"/>
        <v>0</v>
      </c>
      <c r="K79" s="77">
        <f t="shared" si="24"/>
        <v>0</v>
      </c>
      <c r="L79" s="77">
        <f t="shared" si="24"/>
        <v>176.475126219299</v>
      </c>
      <c r="M79" s="77">
        <f t="shared" si="24"/>
        <v>852.96311005994744</v>
      </c>
      <c r="N79" s="77">
        <f t="shared" si="24"/>
        <v>-176.475126219299</v>
      </c>
      <c r="O79" s="77">
        <f t="shared" si="24"/>
        <v>-852.96311005994744</v>
      </c>
      <c r="P79" s="77">
        <f t="shared" si="24"/>
        <v>0</v>
      </c>
      <c r="Q79" s="96">
        <f t="shared" si="24"/>
        <v>0</v>
      </c>
      <c r="S79" s="78">
        <f t="shared" si="23"/>
        <v>1.767271640617095</v>
      </c>
    </row>
    <row r="80" spans="2:19">
      <c r="B80" s="76">
        <f t="shared" si="24"/>
        <v>0</v>
      </c>
      <c r="C80" s="77">
        <f t="shared" si="24"/>
        <v>0</v>
      </c>
      <c r="D80" s="77">
        <f t="shared" si="24"/>
        <v>0</v>
      </c>
      <c r="E80" s="77">
        <f t="shared" si="24"/>
        <v>0</v>
      </c>
      <c r="F80" s="77">
        <f t="shared" si="24"/>
        <v>0</v>
      </c>
      <c r="G80" s="77">
        <f t="shared" si="24"/>
        <v>0</v>
      </c>
      <c r="H80" s="77">
        <f t="shared" si="24"/>
        <v>0</v>
      </c>
      <c r="I80" s="77">
        <f t="shared" si="24"/>
        <v>0</v>
      </c>
      <c r="J80" s="77">
        <f t="shared" si="24"/>
        <v>0</v>
      </c>
      <c r="K80" s="77">
        <f t="shared" si="24"/>
        <v>0</v>
      </c>
      <c r="L80" s="77">
        <f t="shared" si="24"/>
        <v>-648.84325426498947</v>
      </c>
      <c r="M80" s="77">
        <f t="shared" si="24"/>
        <v>551.27284008980359</v>
      </c>
      <c r="N80" s="77">
        <f t="shared" si="24"/>
        <v>0</v>
      </c>
      <c r="O80" s="77">
        <f t="shared" si="24"/>
        <v>0</v>
      </c>
      <c r="P80" s="77">
        <f t="shared" si="24"/>
        <v>648.84325426498947</v>
      </c>
      <c r="Q80" s="96">
        <f t="shared" si="24"/>
        <v>-551.27284008980359</v>
      </c>
      <c r="S80" s="78">
        <f t="shared" si="23"/>
        <v>0.17444624592307148</v>
      </c>
    </row>
    <row r="81" spans="2:52">
      <c r="B81" s="76">
        <f t="shared" si="24"/>
        <v>521.73885822320426</v>
      </c>
      <c r="C81" s="77">
        <f t="shared" si="24"/>
        <v>-695.65181096427273</v>
      </c>
      <c r="D81" s="77">
        <f t="shared" si="24"/>
        <v>0</v>
      </c>
      <c r="E81" s="77">
        <f t="shared" si="24"/>
        <v>0</v>
      </c>
      <c r="F81" s="77">
        <f t="shared" si="24"/>
        <v>0</v>
      </c>
      <c r="G81" s="77">
        <f t="shared" si="24"/>
        <v>0</v>
      </c>
      <c r="H81" s="77">
        <f t="shared" si="24"/>
        <v>0</v>
      </c>
      <c r="I81" s="77">
        <f t="shared" si="24"/>
        <v>0</v>
      </c>
      <c r="J81" s="77">
        <f t="shared" si="24"/>
        <v>0</v>
      </c>
      <c r="K81" s="77">
        <f t="shared" si="24"/>
        <v>0</v>
      </c>
      <c r="L81" s="77">
        <f t="shared" si="24"/>
        <v>0</v>
      </c>
      <c r="M81" s="77">
        <f t="shared" si="24"/>
        <v>0</v>
      </c>
      <c r="N81" s="77">
        <f t="shared" si="24"/>
        <v>-521.73885822320426</v>
      </c>
      <c r="O81" s="77">
        <f t="shared" si="24"/>
        <v>695.65181096427273</v>
      </c>
      <c r="P81" s="77">
        <f t="shared" si="24"/>
        <v>0</v>
      </c>
      <c r="Q81" s="96">
        <f t="shared" si="24"/>
        <v>0</v>
      </c>
      <c r="S81" s="78">
        <f t="shared" si="23"/>
        <v>-0.52173885821580979</v>
      </c>
    </row>
    <row r="82" spans="2:52">
      <c r="B82" s="76">
        <f t="shared" si="24"/>
        <v>0</v>
      </c>
      <c r="C82" s="77">
        <f t="shared" si="24"/>
        <v>0</v>
      </c>
      <c r="D82" s="77">
        <f t="shared" si="24"/>
        <v>0</v>
      </c>
      <c r="E82" s="77">
        <f t="shared" si="24"/>
        <v>0</v>
      </c>
      <c r="F82" s="77">
        <f t="shared" si="24"/>
        <v>0</v>
      </c>
      <c r="G82" s="77">
        <f t="shared" si="24"/>
        <v>0</v>
      </c>
      <c r="H82" s="77">
        <f t="shared" si="24"/>
        <v>0</v>
      </c>
      <c r="I82" s="77">
        <f t="shared" si="24"/>
        <v>0</v>
      </c>
      <c r="J82" s="77">
        <f t="shared" si="24"/>
        <v>0</v>
      </c>
      <c r="K82" s="77">
        <f t="shared" si="24"/>
        <v>0</v>
      </c>
      <c r="L82" s="77">
        <f t="shared" si="24"/>
        <v>0</v>
      </c>
      <c r="M82" s="77">
        <f t="shared" si="24"/>
        <v>0</v>
      </c>
      <c r="N82" s="77">
        <f t="shared" si="24"/>
        <v>-841.4861035042926</v>
      </c>
      <c r="O82" s="77">
        <f t="shared" si="24"/>
        <v>-165.1997258413335</v>
      </c>
      <c r="P82" s="77">
        <f t="shared" si="24"/>
        <v>841.4861035042926</v>
      </c>
      <c r="Q82" s="96">
        <f t="shared" si="24"/>
        <v>165.1997258413335</v>
      </c>
      <c r="S82" s="78">
        <f t="shared" si="23"/>
        <v>-2.6511992613971169</v>
      </c>
    </row>
    <row r="83" spans="2:52">
      <c r="B83" s="76">
        <f t="shared" si="24"/>
        <v>0</v>
      </c>
      <c r="C83" s="77">
        <f t="shared" si="24"/>
        <v>0</v>
      </c>
      <c r="D83" s="77">
        <f t="shared" si="24"/>
        <v>0</v>
      </c>
      <c r="E83" s="77">
        <f t="shared" si="24"/>
        <v>0</v>
      </c>
      <c r="F83" s="77">
        <f t="shared" si="24"/>
        <v>0</v>
      </c>
      <c r="G83" s="77">
        <f t="shared" si="24"/>
        <v>0</v>
      </c>
      <c r="H83" s="77">
        <f t="shared" si="24"/>
        <v>0</v>
      </c>
      <c r="I83" s="77">
        <f t="shared" si="24"/>
        <v>0</v>
      </c>
      <c r="J83" s="77">
        <f t="shared" si="24"/>
        <v>0</v>
      </c>
      <c r="K83" s="77">
        <f t="shared" si="24"/>
        <v>0</v>
      </c>
      <c r="L83" s="77">
        <f t="shared" si="24"/>
        <v>176.4747726760782</v>
      </c>
      <c r="M83" s="77">
        <f t="shared" si="24"/>
        <v>852.96140126771127</v>
      </c>
      <c r="N83" s="77">
        <f t="shared" si="24"/>
        <v>-176.4747726760782</v>
      </c>
      <c r="O83" s="77">
        <f t="shared" si="24"/>
        <v>-852.96140126771127</v>
      </c>
      <c r="P83" s="77">
        <f t="shared" si="24"/>
        <v>0</v>
      </c>
      <c r="Q83" s="96">
        <f t="shared" si="24"/>
        <v>0</v>
      </c>
      <c r="S83" s="78">
        <f t="shared" si="23"/>
        <v>-0.23609197020761724</v>
      </c>
    </row>
    <row r="84" spans="2:52">
      <c r="B84" s="76">
        <f t="shared" si="24"/>
        <v>0</v>
      </c>
      <c r="C84" s="77">
        <f t="shared" si="24"/>
        <v>0</v>
      </c>
      <c r="D84" s="77">
        <f t="shared" si="24"/>
        <v>0</v>
      </c>
      <c r="E84" s="77">
        <f t="shared" si="24"/>
        <v>0</v>
      </c>
      <c r="F84" s="77">
        <f t="shared" si="24"/>
        <v>0</v>
      </c>
      <c r="G84" s="77">
        <f t="shared" si="24"/>
        <v>0</v>
      </c>
      <c r="H84" s="77">
        <f t="shared" si="24"/>
        <v>0</v>
      </c>
      <c r="I84" s="77">
        <f t="shared" si="24"/>
        <v>0</v>
      </c>
      <c r="J84" s="77">
        <f t="shared" si="24"/>
        <v>-11.835277523251683</v>
      </c>
      <c r="K84" s="77">
        <f t="shared" si="24"/>
        <v>757.45776148811296</v>
      </c>
      <c r="L84" s="77">
        <f t="shared" si="24"/>
        <v>0</v>
      </c>
      <c r="M84" s="77">
        <f t="shared" si="24"/>
        <v>0</v>
      </c>
      <c r="N84" s="77">
        <f t="shared" si="24"/>
        <v>11.835277523251683</v>
      </c>
      <c r="O84" s="77">
        <f t="shared" si="24"/>
        <v>-757.45776148811296</v>
      </c>
      <c r="P84" s="77">
        <f t="shared" si="24"/>
        <v>0</v>
      </c>
      <c r="Q84" s="96">
        <f t="shared" si="24"/>
        <v>0</v>
      </c>
      <c r="S84" s="78">
        <f t="shared" si="23"/>
        <v>-4.1209852356017498</v>
      </c>
    </row>
    <row r="85" spans="2:52">
      <c r="B85" s="76">
        <f t="shared" si="24"/>
        <v>-859.07018756239881</v>
      </c>
      <c r="C85" s="77">
        <f t="shared" si="24"/>
        <v>-148.11554957972396</v>
      </c>
      <c r="D85" s="77">
        <f t="shared" si="24"/>
        <v>859.07018756239881</v>
      </c>
      <c r="E85" s="77">
        <f t="shared" si="24"/>
        <v>148.11554957972396</v>
      </c>
      <c r="F85" s="77">
        <f t="shared" si="24"/>
        <v>0</v>
      </c>
      <c r="G85" s="77">
        <f t="shared" si="24"/>
        <v>0</v>
      </c>
      <c r="H85" s="77">
        <f t="shared" si="24"/>
        <v>0</v>
      </c>
      <c r="I85" s="77">
        <f t="shared" si="24"/>
        <v>0</v>
      </c>
      <c r="J85" s="77">
        <f t="shared" si="24"/>
        <v>0</v>
      </c>
      <c r="K85" s="77">
        <f t="shared" si="24"/>
        <v>0</v>
      </c>
      <c r="L85" s="77">
        <f t="shared" si="24"/>
        <v>0</v>
      </c>
      <c r="M85" s="77">
        <f t="shared" si="24"/>
        <v>0</v>
      </c>
      <c r="N85" s="77">
        <f t="shared" si="24"/>
        <v>0</v>
      </c>
      <c r="O85" s="77">
        <f t="shared" si="24"/>
        <v>0</v>
      </c>
      <c r="P85" s="77">
        <f t="shared" si="24"/>
        <v>0</v>
      </c>
      <c r="Q85" s="96">
        <f t="shared" si="24"/>
        <v>0</v>
      </c>
      <c r="S85" s="78">
        <f t="shared" si="23"/>
        <v>13.328719727550133</v>
      </c>
    </row>
    <row r="86" spans="2:52">
      <c r="B86" s="76">
        <f t="shared" si="24"/>
        <v>-370.46025554557082</v>
      </c>
      <c r="C86" s="77">
        <f t="shared" si="24"/>
        <v>-771.36929921817512</v>
      </c>
      <c r="D86" s="77">
        <f t="shared" si="24"/>
        <v>0</v>
      </c>
      <c r="E86" s="77">
        <f t="shared" si="24"/>
        <v>0</v>
      </c>
      <c r="F86" s="77">
        <f t="shared" si="24"/>
        <v>0</v>
      </c>
      <c r="G86" s="77">
        <f t="shared" si="24"/>
        <v>0</v>
      </c>
      <c r="H86" s="77">
        <f t="shared" si="24"/>
        <v>0</v>
      </c>
      <c r="I86" s="77">
        <f t="shared" si="24"/>
        <v>0</v>
      </c>
      <c r="J86" s="77">
        <f t="shared" si="24"/>
        <v>0</v>
      </c>
      <c r="K86" s="77">
        <f t="shared" si="24"/>
        <v>0</v>
      </c>
      <c r="L86" s="77">
        <f t="shared" si="24"/>
        <v>0</v>
      </c>
      <c r="M86" s="77">
        <f t="shared" si="24"/>
        <v>0</v>
      </c>
      <c r="N86" s="77">
        <f t="shared" si="24"/>
        <v>0</v>
      </c>
      <c r="O86" s="77">
        <f t="shared" si="24"/>
        <v>0</v>
      </c>
      <c r="P86" s="77">
        <f t="shared" si="24"/>
        <v>370.46025554557082</v>
      </c>
      <c r="Q86" s="96">
        <f t="shared" si="24"/>
        <v>771.36929921817512</v>
      </c>
      <c r="S86" s="78">
        <f t="shared" si="23"/>
        <v>8.6226524897523014</v>
      </c>
    </row>
    <row r="87" spans="2:52">
      <c r="B87" s="76">
        <f t="shared" si="24"/>
        <v>173.64591781163858</v>
      </c>
      <c r="C87" s="77">
        <f t="shared" si="24"/>
        <v>-766.93613700140429</v>
      </c>
      <c r="D87" s="77">
        <f t="shared" si="24"/>
        <v>0</v>
      </c>
      <c r="E87" s="77">
        <f t="shared" si="24"/>
        <v>0</v>
      </c>
      <c r="F87" s="77">
        <f t="shared" si="24"/>
        <v>0</v>
      </c>
      <c r="G87" s="77">
        <f t="shared" si="24"/>
        <v>0</v>
      </c>
      <c r="H87" s="77">
        <f t="shared" si="24"/>
        <v>0</v>
      </c>
      <c r="I87" s="77">
        <f t="shared" si="24"/>
        <v>0</v>
      </c>
      <c r="J87" s="77">
        <f t="shared" si="24"/>
        <v>0</v>
      </c>
      <c r="K87" s="77">
        <f t="shared" si="24"/>
        <v>0</v>
      </c>
      <c r="L87" s="77">
        <f t="shared" si="24"/>
        <v>-173.64591781163858</v>
      </c>
      <c r="M87" s="77">
        <f t="shared" si="24"/>
        <v>766.93613700140429</v>
      </c>
      <c r="N87" s="77">
        <f t="shared" si="24"/>
        <v>0</v>
      </c>
      <c r="O87" s="77">
        <f t="shared" si="24"/>
        <v>0</v>
      </c>
      <c r="P87" s="77">
        <f t="shared" si="24"/>
        <v>0</v>
      </c>
      <c r="Q87" s="96">
        <f t="shared" si="24"/>
        <v>0</v>
      </c>
      <c r="S87" s="78">
        <f t="shared" si="23"/>
        <v>5.3183766735569504</v>
      </c>
    </row>
    <row r="88" spans="2:52">
      <c r="B88" s="76">
        <f t="shared" si="24"/>
        <v>0</v>
      </c>
      <c r="C88" s="77">
        <f t="shared" si="24"/>
        <v>0</v>
      </c>
      <c r="D88" s="77">
        <f t="shared" si="24"/>
        <v>739.63346912744237</v>
      </c>
      <c r="E88" s="77">
        <f t="shared" si="24"/>
        <v>-299.00076411534923</v>
      </c>
      <c r="F88" s="77">
        <f t="shared" si="24"/>
        <v>0</v>
      </c>
      <c r="G88" s="77">
        <f t="shared" si="24"/>
        <v>0</v>
      </c>
      <c r="H88" s="77">
        <f t="shared" si="24"/>
        <v>0</v>
      </c>
      <c r="I88" s="77">
        <f t="shared" si="24"/>
        <v>0</v>
      </c>
      <c r="J88" s="77">
        <f t="shared" si="24"/>
        <v>0</v>
      </c>
      <c r="K88" s="77">
        <f t="shared" si="24"/>
        <v>0</v>
      </c>
      <c r="L88" s="77">
        <f t="shared" si="24"/>
        <v>0</v>
      </c>
      <c r="M88" s="77">
        <f t="shared" si="24"/>
        <v>0</v>
      </c>
      <c r="N88" s="77">
        <f t="shared" si="24"/>
        <v>-739.63346912744237</v>
      </c>
      <c r="O88" s="77">
        <f t="shared" si="24"/>
        <v>299.00076411534923</v>
      </c>
      <c r="P88" s="77">
        <f t="shared" si="24"/>
        <v>0</v>
      </c>
      <c r="Q88" s="96">
        <f t="shared" si="24"/>
        <v>0</v>
      </c>
      <c r="S88" s="78">
        <f t="shared" si="23"/>
        <v>2.8218515331544021</v>
      </c>
    </row>
    <row r="89" spans="2:52">
      <c r="B89" s="76">
        <f t="shared" si="24"/>
        <v>0</v>
      </c>
      <c r="C89" s="77">
        <f t="shared" si="24"/>
        <v>0</v>
      </c>
      <c r="D89" s="77">
        <f t="shared" si="24"/>
        <v>430.35881439142804</v>
      </c>
      <c r="E89" s="77">
        <f t="shared" si="24"/>
        <v>-759.10513094043529</v>
      </c>
      <c r="F89" s="77">
        <f t="shared" si="24"/>
        <v>0</v>
      </c>
      <c r="G89" s="77">
        <f t="shared" si="24"/>
        <v>0</v>
      </c>
      <c r="H89" s="77">
        <f t="shared" si="24"/>
        <v>0</v>
      </c>
      <c r="I89" s="77">
        <f t="shared" si="24"/>
        <v>0</v>
      </c>
      <c r="J89" s="77">
        <f t="shared" si="24"/>
        <v>0</v>
      </c>
      <c r="K89" s="77">
        <f t="shared" si="24"/>
        <v>0</v>
      </c>
      <c r="L89" s="77">
        <f t="shared" si="24"/>
        <v>0</v>
      </c>
      <c r="M89" s="77">
        <f t="shared" si="24"/>
        <v>0</v>
      </c>
      <c r="N89" s="77">
        <f t="shared" si="24"/>
        <v>0</v>
      </c>
      <c r="O89" s="77">
        <f t="shared" si="24"/>
        <v>0</v>
      </c>
      <c r="P89" s="77">
        <f t="shared" si="24"/>
        <v>-430.35881439142804</v>
      </c>
      <c r="Q89" s="96">
        <f t="shared" si="24"/>
        <v>759.10513094043529</v>
      </c>
      <c r="S89" s="78">
        <f t="shared" si="23"/>
        <v>2.8147503340980387</v>
      </c>
    </row>
    <row r="90" spans="2:52">
      <c r="B90" s="76">
        <f t="shared" si="24"/>
        <v>0</v>
      </c>
      <c r="C90" s="77">
        <f t="shared" si="24"/>
        <v>0</v>
      </c>
      <c r="D90" s="77">
        <f t="shared" si="24"/>
        <v>-131.2759998436544</v>
      </c>
      <c r="E90" s="77">
        <f t="shared" si="24"/>
        <v>-761.4007990931957</v>
      </c>
      <c r="F90" s="77">
        <f t="shared" si="24"/>
        <v>131.2759998436544</v>
      </c>
      <c r="G90" s="77">
        <f t="shared" si="24"/>
        <v>761.4007990931957</v>
      </c>
      <c r="H90" s="77">
        <f t="shared" si="24"/>
        <v>0</v>
      </c>
      <c r="I90" s="77">
        <f t="shared" si="24"/>
        <v>0</v>
      </c>
      <c r="J90" s="77">
        <f t="shared" si="24"/>
        <v>0</v>
      </c>
      <c r="K90" s="77">
        <f t="shared" si="24"/>
        <v>0</v>
      </c>
      <c r="L90" s="77">
        <f t="shared" si="24"/>
        <v>0</v>
      </c>
      <c r="M90" s="77">
        <f t="shared" si="24"/>
        <v>0</v>
      </c>
      <c r="N90" s="77">
        <f t="shared" si="24"/>
        <v>0</v>
      </c>
      <c r="O90" s="77">
        <f t="shared" si="24"/>
        <v>0</v>
      </c>
      <c r="P90" s="77">
        <f t="shared" si="24"/>
        <v>0</v>
      </c>
      <c r="Q90" s="96">
        <f t="shared" si="24"/>
        <v>0</v>
      </c>
      <c r="S90" s="78">
        <f t="shared" si="23"/>
        <v>4.851676322608987</v>
      </c>
    </row>
    <row r="91" spans="2:52">
      <c r="B91" s="76">
        <f t="shared" si="24"/>
        <v>0</v>
      </c>
      <c r="C91" s="77">
        <f t="shared" si="24"/>
        <v>0</v>
      </c>
      <c r="D91" s="77">
        <f t="shared" si="24"/>
        <v>0</v>
      </c>
      <c r="E91" s="77">
        <f t="shared" si="24"/>
        <v>0</v>
      </c>
      <c r="F91" s="77">
        <f t="shared" si="24"/>
        <v>809.05062022798631</v>
      </c>
      <c r="G91" s="77">
        <f t="shared" si="24"/>
        <v>-317.84131508956631</v>
      </c>
      <c r="H91" s="77">
        <f t="shared" si="24"/>
        <v>-809.05062022798631</v>
      </c>
      <c r="I91" s="77">
        <f t="shared" si="24"/>
        <v>317.84131508956631</v>
      </c>
      <c r="J91" s="77">
        <f t="shared" si="24"/>
        <v>0</v>
      </c>
      <c r="K91" s="77">
        <f t="shared" si="24"/>
        <v>0</v>
      </c>
      <c r="L91" s="77">
        <f t="shared" si="24"/>
        <v>0</v>
      </c>
      <c r="M91" s="77">
        <f t="shared" si="24"/>
        <v>0</v>
      </c>
      <c r="N91" s="77">
        <f t="shared" si="24"/>
        <v>0</v>
      </c>
      <c r="O91" s="77">
        <f t="shared" si="24"/>
        <v>0</v>
      </c>
      <c r="P91" s="77">
        <f t="shared" si="24"/>
        <v>0</v>
      </c>
      <c r="Q91" s="96">
        <f t="shared" si="24"/>
        <v>0</v>
      </c>
      <c r="S91" s="78">
        <f t="shared" si="23"/>
        <v>-7.1368755743134642</v>
      </c>
      <c r="U91" s="257" t="s">
        <v>47</v>
      </c>
      <c r="V91" s="258"/>
      <c r="W91" s="258"/>
      <c r="X91" s="258"/>
      <c r="Y91" s="258"/>
      <c r="Z91" s="258"/>
      <c r="AA91" s="258"/>
      <c r="AB91" s="258"/>
      <c r="AC91" s="258"/>
      <c r="AD91" s="258"/>
      <c r="AE91" s="258"/>
      <c r="AF91" s="258"/>
      <c r="AG91" s="258"/>
      <c r="AH91" s="258"/>
      <c r="AI91" s="258"/>
      <c r="AJ91" s="258"/>
      <c r="AK91" s="258"/>
      <c r="AL91" s="258"/>
      <c r="AM91" s="258"/>
      <c r="AN91" s="258"/>
      <c r="AO91" s="258"/>
      <c r="AP91" s="258"/>
      <c r="AQ91" s="258"/>
      <c r="AR91" s="258"/>
      <c r="AS91" s="258"/>
      <c r="AT91" s="258"/>
      <c r="AU91" s="258"/>
      <c r="AV91" s="258"/>
      <c r="AW91" s="258"/>
      <c r="AX91" s="258"/>
      <c r="AY91" s="258"/>
      <c r="AZ91" s="259"/>
    </row>
    <row r="92" spans="2:52">
      <c r="B92" s="76">
        <f t="shared" si="24"/>
        <v>0</v>
      </c>
      <c r="C92" s="77">
        <f t="shared" si="24"/>
        <v>0</v>
      </c>
      <c r="D92" s="77">
        <f t="shared" si="24"/>
        <v>0</v>
      </c>
      <c r="E92" s="77">
        <f t="shared" si="24"/>
        <v>0</v>
      </c>
      <c r="F92" s="77">
        <f t="shared" si="24"/>
        <v>778.90203551257537</v>
      </c>
      <c r="G92" s="77">
        <f t="shared" si="24"/>
        <v>152.72588931619109</v>
      </c>
      <c r="H92" s="77">
        <f t="shared" si="24"/>
        <v>0</v>
      </c>
      <c r="I92" s="77">
        <f t="shared" si="24"/>
        <v>0</v>
      </c>
      <c r="J92" s="77">
        <f t="shared" si="24"/>
        <v>0</v>
      </c>
      <c r="K92" s="77">
        <f t="shared" si="24"/>
        <v>0</v>
      </c>
      <c r="L92" s="77">
        <f t="shared" si="24"/>
        <v>-778.90203551257537</v>
      </c>
      <c r="M92" s="77">
        <f t="shared" si="24"/>
        <v>-152.72588931619109</v>
      </c>
      <c r="N92" s="77">
        <f t="shared" si="24"/>
        <v>0</v>
      </c>
      <c r="O92" s="77">
        <f t="shared" si="24"/>
        <v>0</v>
      </c>
      <c r="P92" s="77">
        <f t="shared" si="24"/>
        <v>0</v>
      </c>
      <c r="Q92" s="96">
        <f t="shared" ref="Q92" si="25">Q58/$L20</f>
        <v>0</v>
      </c>
      <c r="S92" s="78">
        <f t="shared" si="23"/>
        <v>-9.7397475563487905</v>
      </c>
      <c r="U92" s="8" cm="1">
        <f t="array" ref="U92:AZ107">TRANSPOSE(B76:Q107)</f>
        <v>173.64575395634725</v>
      </c>
      <c r="V92" s="9">
        <v>0</v>
      </c>
      <c r="W92" s="9">
        <v>0</v>
      </c>
      <c r="X92" s="9">
        <v>0</v>
      </c>
      <c r="Y92" s="9">
        <v>0</v>
      </c>
      <c r="Z92" s="9">
        <v>521.73885822320426</v>
      </c>
      <c r="AA92" s="9">
        <v>0</v>
      </c>
      <c r="AB92" s="9">
        <v>0</v>
      </c>
      <c r="AC92" s="9">
        <v>0</v>
      </c>
      <c r="AD92" s="9">
        <v>-859.07018756239881</v>
      </c>
      <c r="AE92" s="9">
        <v>-370.46025554557082</v>
      </c>
      <c r="AF92" s="9">
        <v>173.64591781163858</v>
      </c>
      <c r="AG92" s="9">
        <v>0</v>
      </c>
      <c r="AH92" s="9">
        <v>0</v>
      </c>
      <c r="AI92" s="9">
        <v>0</v>
      </c>
      <c r="AJ92" s="9">
        <v>0</v>
      </c>
      <c r="AK92" s="9">
        <v>0</v>
      </c>
      <c r="AL92" s="9">
        <v>0</v>
      </c>
      <c r="AM92" s="9">
        <v>0</v>
      </c>
      <c r="AN92" s="9">
        <v>0</v>
      </c>
      <c r="AO92" s="65">
        <v>-1134.4354025237385</v>
      </c>
      <c r="AP92" s="65">
        <v>0</v>
      </c>
      <c r="AQ92" s="65">
        <v>0</v>
      </c>
      <c r="AR92" s="65">
        <v>0</v>
      </c>
      <c r="AS92" s="65">
        <v>0</v>
      </c>
      <c r="AT92" s="65">
        <v>1134.4354025237385</v>
      </c>
      <c r="AU92" s="65">
        <v>0</v>
      </c>
      <c r="AV92" s="65">
        <v>0</v>
      </c>
      <c r="AW92" s="65">
        <v>0</v>
      </c>
      <c r="AX92" s="65">
        <v>0</v>
      </c>
      <c r="AY92" s="65">
        <v>0</v>
      </c>
      <c r="AZ92" s="66">
        <v>0</v>
      </c>
    </row>
    <row r="93" spans="2:52">
      <c r="B93" s="76">
        <f t="shared" ref="B93:Q95" si="26">B59/$L21</f>
        <v>0</v>
      </c>
      <c r="C93" s="77">
        <f t="shared" si="26"/>
        <v>0</v>
      </c>
      <c r="D93" s="77">
        <f t="shared" si="26"/>
        <v>0</v>
      </c>
      <c r="E93" s="77">
        <f t="shared" si="26"/>
        <v>0</v>
      </c>
      <c r="F93" s="77">
        <f t="shared" si="26"/>
        <v>497.85054034703103</v>
      </c>
      <c r="G93" s="77">
        <f t="shared" si="26"/>
        <v>665.16096784070419</v>
      </c>
      <c r="H93" s="77">
        <f t="shared" si="26"/>
        <v>0</v>
      </c>
      <c r="I93" s="77">
        <f t="shared" si="26"/>
        <v>0</v>
      </c>
      <c r="J93" s="77">
        <f t="shared" si="26"/>
        <v>0</v>
      </c>
      <c r="K93" s="77">
        <f t="shared" si="26"/>
        <v>0</v>
      </c>
      <c r="L93" s="77">
        <f t="shared" si="26"/>
        <v>0</v>
      </c>
      <c r="M93" s="77">
        <f t="shared" si="26"/>
        <v>0</v>
      </c>
      <c r="N93" s="77">
        <f t="shared" si="26"/>
        <v>0</v>
      </c>
      <c r="O93" s="77">
        <f t="shared" si="26"/>
        <v>0</v>
      </c>
      <c r="P93" s="77">
        <f t="shared" si="26"/>
        <v>-497.85054034703103</v>
      </c>
      <c r="Q93" s="96">
        <f t="shared" si="26"/>
        <v>-665.16096784070419</v>
      </c>
      <c r="S93" s="78">
        <f t="shared" si="23"/>
        <v>-1.4969801863653001</v>
      </c>
      <c r="U93" s="11">
        <v>-766.93541330720211</v>
      </c>
      <c r="V93" s="1">
        <v>0</v>
      </c>
      <c r="W93" s="1">
        <v>0</v>
      </c>
      <c r="X93" s="1">
        <v>0</v>
      </c>
      <c r="Y93" s="1">
        <v>0</v>
      </c>
      <c r="Z93" s="1">
        <v>-695.65181096427273</v>
      </c>
      <c r="AA93" s="1">
        <v>0</v>
      </c>
      <c r="AB93" s="1">
        <v>0</v>
      </c>
      <c r="AC93" s="1">
        <v>0</v>
      </c>
      <c r="AD93" s="1">
        <v>-148.11554957972396</v>
      </c>
      <c r="AE93" s="1">
        <v>-771.36929921817512</v>
      </c>
      <c r="AF93" s="1">
        <v>-766.93613700140429</v>
      </c>
      <c r="AG93" s="1">
        <v>0</v>
      </c>
      <c r="AH93" s="1">
        <v>0</v>
      </c>
      <c r="AI93" s="1">
        <v>0</v>
      </c>
      <c r="AJ93" s="1">
        <v>0</v>
      </c>
      <c r="AK93" s="1">
        <v>0</v>
      </c>
      <c r="AL93" s="1">
        <v>0</v>
      </c>
      <c r="AM93" s="1">
        <v>0</v>
      </c>
      <c r="AN93" s="1">
        <v>0</v>
      </c>
      <c r="AO93" s="25">
        <v>544.82752884363765</v>
      </c>
      <c r="AP93" s="25">
        <v>0</v>
      </c>
      <c r="AQ93" s="25">
        <v>0</v>
      </c>
      <c r="AR93" s="25">
        <v>0</v>
      </c>
      <c r="AS93" s="25">
        <v>0</v>
      </c>
      <c r="AT93" s="25">
        <v>-544.82752884363754</v>
      </c>
      <c r="AU93" s="25">
        <v>0</v>
      </c>
      <c r="AV93" s="25">
        <v>0</v>
      </c>
      <c r="AW93" s="25">
        <v>0</v>
      </c>
      <c r="AX93" s="25">
        <v>0</v>
      </c>
      <c r="AY93" s="25">
        <v>0</v>
      </c>
      <c r="AZ93" s="45">
        <v>0</v>
      </c>
    </row>
    <row r="94" spans="2:52">
      <c r="B94" s="76">
        <f t="shared" si="26"/>
        <v>0</v>
      </c>
      <c r="C94" s="77">
        <f t="shared" si="26"/>
        <v>0</v>
      </c>
      <c r="D94" s="77">
        <f t="shared" si="26"/>
        <v>0</v>
      </c>
      <c r="E94" s="77">
        <f t="shared" si="26"/>
        <v>0</v>
      </c>
      <c r="F94" s="77">
        <f t="shared" si="26"/>
        <v>0</v>
      </c>
      <c r="G94" s="77">
        <f t="shared" si="26"/>
        <v>0</v>
      </c>
      <c r="H94" s="77">
        <f t="shared" si="26"/>
        <v>0</v>
      </c>
      <c r="I94" s="77">
        <f t="shared" si="26"/>
        <v>0</v>
      </c>
      <c r="J94" s="77">
        <f t="shared" si="26"/>
        <v>-377.87944384412987</v>
      </c>
      <c r="K94" s="77">
        <f t="shared" si="26"/>
        <v>647.79333230422344</v>
      </c>
      <c r="L94" s="77">
        <f t="shared" si="26"/>
        <v>0</v>
      </c>
      <c r="M94" s="77">
        <f t="shared" si="26"/>
        <v>0</v>
      </c>
      <c r="N94" s="77">
        <f t="shared" si="26"/>
        <v>0</v>
      </c>
      <c r="O94" s="77">
        <f t="shared" si="26"/>
        <v>0</v>
      </c>
      <c r="P94" s="77">
        <f t="shared" si="26"/>
        <v>377.87944384412987</v>
      </c>
      <c r="Q94" s="96">
        <f t="shared" si="26"/>
        <v>-647.79333230422344</v>
      </c>
      <c r="S94" s="78">
        <f t="shared" si="23"/>
        <v>0.9417507191093506</v>
      </c>
      <c r="U94" s="11">
        <v>0</v>
      </c>
      <c r="V94" s="1">
        <v>0</v>
      </c>
      <c r="W94" s="1">
        <v>0</v>
      </c>
      <c r="X94" s="1">
        <v>0</v>
      </c>
      <c r="Y94" s="1">
        <v>0</v>
      </c>
      <c r="Z94" s="1">
        <v>0</v>
      </c>
      <c r="AA94" s="1">
        <v>0</v>
      </c>
      <c r="AB94" s="1">
        <v>0</v>
      </c>
      <c r="AC94" s="1">
        <v>0</v>
      </c>
      <c r="AD94" s="1">
        <v>859.07018756239881</v>
      </c>
      <c r="AE94" s="1">
        <v>0</v>
      </c>
      <c r="AF94" s="1">
        <v>0</v>
      </c>
      <c r="AG94" s="1">
        <v>739.63346912744237</v>
      </c>
      <c r="AH94" s="1">
        <v>430.35881439142804</v>
      </c>
      <c r="AI94" s="1">
        <v>-131.2759998436544</v>
      </c>
      <c r="AJ94" s="1">
        <v>0</v>
      </c>
      <c r="AK94" s="1">
        <v>0</v>
      </c>
      <c r="AL94" s="1">
        <v>0</v>
      </c>
      <c r="AM94" s="1">
        <v>0</v>
      </c>
      <c r="AN94" s="1">
        <v>0</v>
      </c>
      <c r="AO94" s="25">
        <v>1264.4975850526728</v>
      </c>
      <c r="AP94" s="25">
        <v>-1264.4975850526728</v>
      </c>
      <c r="AQ94" s="25">
        <v>0</v>
      </c>
      <c r="AR94" s="25">
        <v>0</v>
      </c>
      <c r="AS94" s="25">
        <v>0</v>
      </c>
      <c r="AT94" s="25">
        <v>0</v>
      </c>
      <c r="AU94" s="25">
        <v>0</v>
      </c>
      <c r="AV94" s="25">
        <v>0</v>
      </c>
      <c r="AW94" s="25">
        <v>0</v>
      </c>
      <c r="AX94" s="25">
        <v>0</v>
      </c>
      <c r="AY94" s="25">
        <v>0</v>
      </c>
      <c r="AZ94" s="45">
        <v>0</v>
      </c>
    </row>
    <row r="95" spans="2:52">
      <c r="B95" s="79">
        <f t="shared" si="26"/>
        <v>0</v>
      </c>
      <c r="C95" s="80">
        <f t="shared" si="26"/>
        <v>0</v>
      </c>
      <c r="D95" s="80">
        <f t="shared" si="26"/>
        <v>0</v>
      </c>
      <c r="E95" s="80">
        <f t="shared" si="26"/>
        <v>0</v>
      </c>
      <c r="F95" s="80">
        <f t="shared" si="26"/>
        <v>0</v>
      </c>
      <c r="G95" s="80">
        <f t="shared" si="26"/>
        <v>0</v>
      </c>
      <c r="H95" s="80">
        <f t="shared" si="26"/>
        <v>777.48569899492554</v>
      </c>
      <c r="I95" s="80">
        <f t="shared" si="26"/>
        <v>-362.82665953096574</v>
      </c>
      <c r="J95" s="80">
        <f t="shared" si="26"/>
        <v>-777.48569899492554</v>
      </c>
      <c r="K95" s="80">
        <f t="shared" si="26"/>
        <v>362.82665953096574</v>
      </c>
      <c r="L95" s="80">
        <f t="shared" si="26"/>
        <v>0</v>
      </c>
      <c r="M95" s="80">
        <f t="shared" si="26"/>
        <v>0</v>
      </c>
      <c r="N95" s="80">
        <f t="shared" si="26"/>
        <v>0</v>
      </c>
      <c r="O95" s="80">
        <f t="shared" si="26"/>
        <v>0</v>
      </c>
      <c r="P95" s="80">
        <f t="shared" si="26"/>
        <v>0</v>
      </c>
      <c r="Q95" s="97">
        <f t="shared" si="26"/>
        <v>0</v>
      </c>
      <c r="S95" s="81">
        <f t="shared" si="23"/>
        <v>-0.72621666850997124</v>
      </c>
      <c r="U95" s="11">
        <v>0</v>
      </c>
      <c r="V95" s="1">
        <v>0</v>
      </c>
      <c r="W95" s="1">
        <v>0</v>
      </c>
      <c r="X95" s="1">
        <v>0</v>
      </c>
      <c r="Y95" s="1">
        <v>0</v>
      </c>
      <c r="Z95" s="1">
        <v>0</v>
      </c>
      <c r="AA95" s="1">
        <v>0</v>
      </c>
      <c r="AB95" s="1">
        <v>0</v>
      </c>
      <c r="AC95" s="1">
        <v>0</v>
      </c>
      <c r="AD95" s="1">
        <v>148.11554957972396</v>
      </c>
      <c r="AE95" s="1">
        <v>0</v>
      </c>
      <c r="AF95" s="1">
        <v>0</v>
      </c>
      <c r="AG95" s="1">
        <v>-299.00076411534923</v>
      </c>
      <c r="AH95" s="1">
        <v>-759.10513094043529</v>
      </c>
      <c r="AI95" s="1">
        <v>-761.4007990931957</v>
      </c>
      <c r="AJ95" s="1">
        <v>0</v>
      </c>
      <c r="AK95" s="1">
        <v>0</v>
      </c>
      <c r="AL95" s="1">
        <v>0</v>
      </c>
      <c r="AM95" s="1">
        <v>0</v>
      </c>
      <c r="AN95" s="1">
        <v>0</v>
      </c>
      <c r="AO95" s="25">
        <v>716.88052065978297</v>
      </c>
      <c r="AP95" s="25">
        <v>-716.88052065978297</v>
      </c>
      <c r="AQ95" s="25">
        <v>0</v>
      </c>
      <c r="AR95" s="25">
        <v>0</v>
      </c>
      <c r="AS95" s="25">
        <v>0</v>
      </c>
      <c r="AT95" s="25">
        <v>0</v>
      </c>
      <c r="AU95" s="25">
        <v>0</v>
      </c>
      <c r="AV95" s="25">
        <v>0</v>
      </c>
      <c r="AW95" s="25">
        <v>0</v>
      </c>
      <c r="AX95" s="25">
        <v>0</v>
      </c>
      <c r="AY95" s="25">
        <v>0</v>
      </c>
      <c r="AZ95" s="45">
        <v>0</v>
      </c>
    </row>
    <row r="96" spans="2:52">
      <c r="B96" s="82">
        <f t="shared" ref="B96:Q107" si="27">B62/$O26</f>
        <v>-1134.4354025237385</v>
      </c>
      <c r="C96" s="83">
        <f t="shared" si="27"/>
        <v>544.82752884363765</v>
      </c>
      <c r="D96" s="83">
        <f t="shared" si="27"/>
        <v>1264.4975850526728</v>
      </c>
      <c r="E96" s="83">
        <f t="shared" si="27"/>
        <v>716.88052065978297</v>
      </c>
      <c r="F96" s="83">
        <f t="shared" si="27"/>
        <v>0</v>
      </c>
      <c r="G96" s="83">
        <f t="shared" si="27"/>
        <v>0</v>
      </c>
      <c r="H96" s="83">
        <f t="shared" si="27"/>
        <v>0</v>
      </c>
      <c r="I96" s="83">
        <f t="shared" si="27"/>
        <v>0</v>
      </c>
      <c r="J96" s="83">
        <f t="shared" si="27"/>
        <v>0</v>
      </c>
      <c r="K96" s="83">
        <f t="shared" si="27"/>
        <v>0</v>
      </c>
      <c r="L96" s="83">
        <f t="shared" si="27"/>
        <v>0</v>
      </c>
      <c r="M96" s="83">
        <f t="shared" si="27"/>
        <v>0</v>
      </c>
      <c r="N96" s="83">
        <f t="shared" si="27"/>
        <v>0</v>
      </c>
      <c r="O96" s="83">
        <f t="shared" si="27"/>
        <v>0</v>
      </c>
      <c r="P96" s="83">
        <f t="shared" si="27"/>
        <v>-130.06218252893419</v>
      </c>
      <c r="Q96" s="120">
        <f t="shared" si="27"/>
        <v>-1261.7080495034206</v>
      </c>
      <c r="S96" s="75">
        <f t="shared" ref="S96:S107" si="28">S62/$O26</f>
        <v>9.7889043667246742</v>
      </c>
      <c r="U96" s="11">
        <v>0</v>
      </c>
      <c r="V96" s="1">
        <v>0</v>
      </c>
      <c r="W96" s="1">
        <v>0</v>
      </c>
      <c r="X96" s="1">
        <v>0</v>
      </c>
      <c r="Y96" s="1">
        <v>0</v>
      </c>
      <c r="Z96" s="1">
        <v>0</v>
      </c>
      <c r="AA96" s="1">
        <v>0</v>
      </c>
      <c r="AB96" s="1">
        <v>0</v>
      </c>
      <c r="AC96" s="1">
        <v>0</v>
      </c>
      <c r="AD96" s="1">
        <v>0</v>
      </c>
      <c r="AE96" s="1">
        <v>0</v>
      </c>
      <c r="AF96" s="1">
        <v>0</v>
      </c>
      <c r="AG96" s="1">
        <v>0</v>
      </c>
      <c r="AH96" s="1">
        <v>0</v>
      </c>
      <c r="AI96" s="1">
        <v>131.2759998436544</v>
      </c>
      <c r="AJ96" s="1">
        <v>809.05062022798631</v>
      </c>
      <c r="AK96" s="1">
        <v>778.90203551257537</v>
      </c>
      <c r="AL96" s="1">
        <v>497.85054034703103</v>
      </c>
      <c r="AM96" s="1">
        <v>0</v>
      </c>
      <c r="AN96" s="1">
        <v>0</v>
      </c>
      <c r="AO96" s="25">
        <v>0</v>
      </c>
      <c r="AP96" s="25">
        <v>-834.43114608444728</v>
      </c>
      <c r="AQ96" s="25">
        <v>834.43114608444728</v>
      </c>
      <c r="AR96" s="25">
        <v>0</v>
      </c>
      <c r="AS96" s="25">
        <v>0</v>
      </c>
      <c r="AT96" s="25">
        <v>0</v>
      </c>
      <c r="AU96" s="25">
        <v>0</v>
      </c>
      <c r="AV96" s="25">
        <v>0</v>
      </c>
      <c r="AW96" s="25">
        <v>0</v>
      </c>
      <c r="AX96" s="25">
        <v>0</v>
      </c>
      <c r="AY96" s="25">
        <v>0</v>
      </c>
      <c r="AZ96" s="45">
        <v>515.86132567538823</v>
      </c>
    </row>
    <row r="97" spans="1:52">
      <c r="B97" s="76">
        <f t="shared" si="27"/>
        <v>0</v>
      </c>
      <c r="C97" s="77">
        <f t="shared" si="27"/>
        <v>0</v>
      </c>
      <c r="D97" s="77">
        <f t="shared" si="27"/>
        <v>-1264.4975850526728</v>
      </c>
      <c r="E97" s="77">
        <f t="shared" si="27"/>
        <v>-716.88052065978297</v>
      </c>
      <c r="F97" s="77">
        <f t="shared" si="27"/>
        <v>-834.43114608444728</v>
      </c>
      <c r="G97" s="77">
        <f t="shared" si="27"/>
        <v>624.54355719204011</v>
      </c>
      <c r="H97" s="77">
        <f t="shared" si="27"/>
        <v>0</v>
      </c>
      <c r="I97" s="77">
        <f t="shared" si="27"/>
        <v>0</v>
      </c>
      <c r="J97" s="77">
        <f t="shared" si="27"/>
        <v>0</v>
      </c>
      <c r="K97" s="77">
        <f t="shared" si="27"/>
        <v>0</v>
      </c>
      <c r="L97" s="77">
        <f t="shared" si="27"/>
        <v>0</v>
      </c>
      <c r="M97" s="77">
        <f t="shared" si="27"/>
        <v>0</v>
      </c>
      <c r="N97" s="77">
        <f t="shared" si="27"/>
        <v>0</v>
      </c>
      <c r="O97" s="77">
        <f t="shared" si="27"/>
        <v>0</v>
      </c>
      <c r="P97" s="77">
        <f t="shared" si="27"/>
        <v>2098.9287311371199</v>
      </c>
      <c r="Q97" s="96">
        <f t="shared" si="27"/>
        <v>92.336963467742791</v>
      </c>
      <c r="S97" s="84">
        <f t="shared" si="28"/>
        <v>6.2259547517840019</v>
      </c>
      <c r="U97" s="11">
        <v>0</v>
      </c>
      <c r="V97" s="1">
        <v>0</v>
      </c>
      <c r="W97" s="1">
        <v>0</v>
      </c>
      <c r="X97" s="1">
        <v>0</v>
      </c>
      <c r="Y97" s="1">
        <v>0</v>
      </c>
      <c r="Z97" s="1">
        <v>0</v>
      </c>
      <c r="AA97" s="1">
        <v>0</v>
      </c>
      <c r="AB97" s="1">
        <v>0</v>
      </c>
      <c r="AC97" s="1">
        <v>0</v>
      </c>
      <c r="AD97" s="1">
        <v>0</v>
      </c>
      <c r="AE97" s="1">
        <v>0</v>
      </c>
      <c r="AF97" s="1">
        <v>0</v>
      </c>
      <c r="AG97" s="1">
        <v>0</v>
      </c>
      <c r="AH97" s="1">
        <v>0</v>
      </c>
      <c r="AI97" s="1">
        <v>761.4007990931957</v>
      </c>
      <c r="AJ97" s="1">
        <v>-317.84131508956631</v>
      </c>
      <c r="AK97" s="1">
        <v>152.72588931619109</v>
      </c>
      <c r="AL97" s="1">
        <v>665.16096784070419</v>
      </c>
      <c r="AM97" s="1">
        <v>0</v>
      </c>
      <c r="AN97" s="1">
        <v>0</v>
      </c>
      <c r="AO97" s="25">
        <v>0</v>
      </c>
      <c r="AP97" s="25">
        <v>624.54355719204011</v>
      </c>
      <c r="AQ97" s="25">
        <v>-624.54355719204023</v>
      </c>
      <c r="AR97" s="25">
        <v>0</v>
      </c>
      <c r="AS97" s="25">
        <v>0</v>
      </c>
      <c r="AT97" s="25">
        <v>0</v>
      </c>
      <c r="AU97" s="25">
        <v>0</v>
      </c>
      <c r="AV97" s="25">
        <v>0</v>
      </c>
      <c r="AW97" s="25">
        <v>0</v>
      </c>
      <c r="AX97" s="25">
        <v>0</v>
      </c>
      <c r="AY97" s="25">
        <v>0</v>
      </c>
      <c r="AZ97" s="45">
        <v>1313.1015562646246</v>
      </c>
    </row>
    <row r="98" spans="1:52">
      <c r="B98" s="76">
        <f t="shared" si="27"/>
        <v>0</v>
      </c>
      <c r="C98" s="77">
        <f t="shared" si="27"/>
        <v>0</v>
      </c>
      <c r="D98" s="77">
        <f t="shared" si="27"/>
        <v>0</v>
      </c>
      <c r="E98" s="77">
        <f t="shared" si="27"/>
        <v>0</v>
      </c>
      <c r="F98" s="77">
        <f t="shared" si="27"/>
        <v>834.43114608444728</v>
      </c>
      <c r="G98" s="77">
        <f t="shared" si="27"/>
        <v>-624.54355719204023</v>
      </c>
      <c r="H98" s="77">
        <f t="shared" si="27"/>
        <v>-966.83323842259324</v>
      </c>
      <c r="I98" s="77">
        <f t="shared" si="27"/>
        <v>-79.830267392691198</v>
      </c>
      <c r="J98" s="77">
        <f t="shared" si="27"/>
        <v>0</v>
      </c>
      <c r="K98" s="77">
        <f t="shared" si="27"/>
        <v>0</v>
      </c>
      <c r="L98" s="77">
        <f t="shared" si="27"/>
        <v>0</v>
      </c>
      <c r="M98" s="77">
        <f t="shared" si="27"/>
        <v>0</v>
      </c>
      <c r="N98" s="77">
        <f t="shared" si="27"/>
        <v>0</v>
      </c>
      <c r="O98" s="77">
        <f t="shared" si="27"/>
        <v>0</v>
      </c>
      <c r="P98" s="77">
        <f t="shared" si="27"/>
        <v>132.40209233814599</v>
      </c>
      <c r="Q98" s="96">
        <f t="shared" si="27"/>
        <v>704.37382458473132</v>
      </c>
      <c r="S98" s="84">
        <f t="shared" si="28"/>
        <v>-8.955911418079646</v>
      </c>
      <c r="U98" s="11">
        <v>0</v>
      </c>
      <c r="V98" s="1">
        <v>638.97868514563504</v>
      </c>
      <c r="W98" s="1">
        <v>0</v>
      </c>
      <c r="X98" s="1">
        <v>0</v>
      </c>
      <c r="Y98" s="1">
        <v>0</v>
      </c>
      <c r="Z98" s="1">
        <v>0</v>
      </c>
      <c r="AA98" s="1">
        <v>0</v>
      </c>
      <c r="AB98" s="1">
        <v>0</v>
      </c>
      <c r="AC98" s="1">
        <v>0</v>
      </c>
      <c r="AD98" s="1">
        <v>0</v>
      </c>
      <c r="AE98" s="1">
        <v>0</v>
      </c>
      <c r="AF98" s="1">
        <v>0</v>
      </c>
      <c r="AG98" s="1">
        <v>0</v>
      </c>
      <c r="AH98" s="1">
        <v>0</v>
      </c>
      <c r="AI98" s="1">
        <v>0</v>
      </c>
      <c r="AJ98" s="1">
        <v>-809.05062022798631</v>
      </c>
      <c r="AK98" s="1">
        <v>0</v>
      </c>
      <c r="AL98" s="1">
        <v>0</v>
      </c>
      <c r="AM98" s="1">
        <v>0</v>
      </c>
      <c r="AN98" s="1">
        <v>777.48569899492554</v>
      </c>
      <c r="AO98" s="25">
        <v>0</v>
      </c>
      <c r="AP98" s="25">
        <v>0</v>
      </c>
      <c r="AQ98" s="25">
        <v>-966.83323842259324</v>
      </c>
      <c r="AR98" s="25">
        <v>966.83323842259324</v>
      </c>
      <c r="AS98" s="25">
        <v>0</v>
      </c>
      <c r="AT98" s="25">
        <v>0</v>
      </c>
      <c r="AU98" s="25">
        <v>0</v>
      </c>
      <c r="AV98" s="25">
        <v>0</v>
      </c>
      <c r="AW98" s="25">
        <v>542.13362610377976</v>
      </c>
      <c r="AX98" s="25">
        <v>-1460.9662872528663</v>
      </c>
      <c r="AY98" s="25">
        <v>-48.000577273506529</v>
      </c>
      <c r="AZ98" s="45">
        <v>450.97191274720495</v>
      </c>
    </row>
    <row r="99" spans="1:52">
      <c r="B99" s="76">
        <f t="shared" si="27"/>
        <v>0</v>
      </c>
      <c r="C99" s="77">
        <f t="shared" si="27"/>
        <v>0</v>
      </c>
      <c r="D99" s="77">
        <f t="shared" si="27"/>
        <v>0</v>
      </c>
      <c r="E99" s="77">
        <f t="shared" si="27"/>
        <v>0</v>
      </c>
      <c r="F99" s="77">
        <f t="shared" si="27"/>
        <v>0</v>
      </c>
      <c r="G99" s="77">
        <f t="shared" si="27"/>
        <v>0</v>
      </c>
      <c r="H99" s="77">
        <f t="shared" si="27"/>
        <v>966.83323842259324</v>
      </c>
      <c r="I99" s="77">
        <f t="shared" si="27"/>
        <v>79.830267392691198</v>
      </c>
      <c r="J99" s="77">
        <f t="shared" si="27"/>
        <v>0</v>
      </c>
      <c r="K99" s="77">
        <f t="shared" si="27"/>
        <v>0</v>
      </c>
      <c r="L99" s="77">
        <f t="shared" si="27"/>
        <v>-787.29216492149499</v>
      </c>
      <c r="M99" s="77">
        <f t="shared" si="27"/>
        <v>-926.63591092529953</v>
      </c>
      <c r="N99" s="77">
        <f t="shared" si="27"/>
        <v>0</v>
      </c>
      <c r="O99" s="77">
        <f t="shared" si="27"/>
        <v>0</v>
      </c>
      <c r="P99" s="77">
        <f t="shared" si="27"/>
        <v>-179.54107350109825</v>
      </c>
      <c r="Q99" s="96">
        <f t="shared" si="27"/>
        <v>846.80564353260843</v>
      </c>
      <c r="S99" s="84">
        <f t="shared" si="28"/>
        <v>-6.9490357648997287</v>
      </c>
      <c r="U99" s="11">
        <v>0</v>
      </c>
      <c r="V99" s="1">
        <v>583.41532121992759</v>
      </c>
      <c r="W99" s="1">
        <v>0</v>
      </c>
      <c r="X99" s="1">
        <v>0</v>
      </c>
      <c r="Y99" s="1">
        <v>0</v>
      </c>
      <c r="Z99" s="1">
        <v>0</v>
      </c>
      <c r="AA99" s="1">
        <v>0</v>
      </c>
      <c r="AB99" s="1">
        <v>0</v>
      </c>
      <c r="AC99" s="1">
        <v>0</v>
      </c>
      <c r="AD99" s="1">
        <v>0</v>
      </c>
      <c r="AE99" s="1">
        <v>0</v>
      </c>
      <c r="AF99" s="1">
        <v>0</v>
      </c>
      <c r="AG99" s="1">
        <v>0</v>
      </c>
      <c r="AH99" s="1">
        <v>0</v>
      </c>
      <c r="AI99" s="1">
        <v>0</v>
      </c>
      <c r="AJ99" s="1">
        <v>317.84131508956631</v>
      </c>
      <c r="AK99" s="1">
        <v>0</v>
      </c>
      <c r="AL99" s="1">
        <v>0</v>
      </c>
      <c r="AM99" s="1">
        <v>0</v>
      </c>
      <c r="AN99" s="1">
        <v>-362.82665953096574</v>
      </c>
      <c r="AO99" s="25">
        <v>0</v>
      </c>
      <c r="AP99" s="25">
        <v>0</v>
      </c>
      <c r="AQ99" s="25">
        <v>-79.830267392691198</v>
      </c>
      <c r="AR99" s="25">
        <v>79.830267392691198</v>
      </c>
      <c r="AS99" s="25">
        <v>0</v>
      </c>
      <c r="AT99" s="25">
        <v>0</v>
      </c>
      <c r="AU99" s="25">
        <v>0</v>
      </c>
      <c r="AV99" s="25">
        <v>0</v>
      </c>
      <c r="AW99" s="25">
        <v>1161.7149130795281</v>
      </c>
      <c r="AX99" s="25">
        <v>-155.37437944005237</v>
      </c>
      <c r="AY99" s="25">
        <v>-1086.170801032167</v>
      </c>
      <c r="AZ99" s="45">
        <v>-1233.2712888719334</v>
      </c>
    </row>
    <row r="100" spans="1:52">
      <c r="B100" s="76">
        <f t="shared" si="27"/>
        <v>0</v>
      </c>
      <c r="C100" s="77">
        <f t="shared" si="27"/>
        <v>0</v>
      </c>
      <c r="D100" s="77">
        <f t="shared" si="27"/>
        <v>0</v>
      </c>
      <c r="E100" s="77">
        <f t="shared" si="27"/>
        <v>0</v>
      </c>
      <c r="F100" s="77">
        <f t="shared" si="27"/>
        <v>0</v>
      </c>
      <c r="G100" s="77">
        <f t="shared" si="27"/>
        <v>0</v>
      </c>
      <c r="H100" s="77">
        <f t="shared" si="27"/>
        <v>0</v>
      </c>
      <c r="I100" s="77">
        <f t="shared" si="27"/>
        <v>0</v>
      </c>
      <c r="J100" s="77">
        <f t="shared" si="27"/>
        <v>0</v>
      </c>
      <c r="K100" s="77">
        <f t="shared" si="27"/>
        <v>0</v>
      </c>
      <c r="L100" s="77">
        <f t="shared" si="27"/>
        <v>787.29216492149499</v>
      </c>
      <c r="M100" s="77">
        <f t="shared" si="27"/>
        <v>926.63591092529953</v>
      </c>
      <c r="N100" s="77">
        <f t="shared" si="27"/>
        <v>246.09904342602113</v>
      </c>
      <c r="O100" s="77">
        <f t="shared" si="27"/>
        <v>-1253.5670024512951</v>
      </c>
      <c r="P100" s="77">
        <f t="shared" si="27"/>
        <v>-1033.3912083475161</v>
      </c>
      <c r="Q100" s="96">
        <f t="shared" si="27"/>
        <v>326.93109152599556</v>
      </c>
      <c r="S100" s="84">
        <f t="shared" si="28"/>
        <v>0.98513327884575119</v>
      </c>
      <c r="U100" s="11">
        <v>0</v>
      </c>
      <c r="V100" s="1">
        <v>0</v>
      </c>
      <c r="W100" s="1">
        <v>-166.41610288114117</v>
      </c>
      <c r="X100" s="1">
        <v>0</v>
      </c>
      <c r="Y100" s="1">
        <v>0</v>
      </c>
      <c r="Z100" s="1">
        <v>0</v>
      </c>
      <c r="AA100" s="1">
        <v>0</v>
      </c>
      <c r="AB100" s="1">
        <v>0</v>
      </c>
      <c r="AC100" s="1">
        <v>-11.835277523251683</v>
      </c>
      <c r="AD100" s="1">
        <v>0</v>
      </c>
      <c r="AE100" s="1">
        <v>0</v>
      </c>
      <c r="AF100" s="1">
        <v>0</v>
      </c>
      <c r="AG100" s="1">
        <v>0</v>
      </c>
      <c r="AH100" s="1">
        <v>0</v>
      </c>
      <c r="AI100" s="1">
        <v>0</v>
      </c>
      <c r="AJ100" s="1">
        <v>0</v>
      </c>
      <c r="AK100" s="1">
        <v>0</v>
      </c>
      <c r="AL100" s="1">
        <v>0</v>
      </c>
      <c r="AM100" s="1">
        <v>-377.87944384412987</v>
      </c>
      <c r="AN100" s="1">
        <v>-777.48569899492554</v>
      </c>
      <c r="AO100" s="25">
        <v>0</v>
      </c>
      <c r="AP100" s="25">
        <v>0</v>
      </c>
      <c r="AQ100" s="25">
        <v>0</v>
      </c>
      <c r="AR100" s="25">
        <v>0</v>
      </c>
      <c r="AS100" s="25">
        <v>0</v>
      </c>
      <c r="AT100" s="25">
        <v>0</v>
      </c>
      <c r="AU100" s="25">
        <v>-502.98654410869011</v>
      </c>
      <c r="AV100" s="25">
        <v>616.21227183561393</v>
      </c>
      <c r="AW100" s="25">
        <v>7.6243811221108899</v>
      </c>
      <c r="AX100" s="25">
        <v>542.13362610377976</v>
      </c>
      <c r="AY100" s="25">
        <v>0</v>
      </c>
      <c r="AZ100" s="45">
        <v>0</v>
      </c>
    </row>
    <row r="101" spans="1:52">
      <c r="B101" s="76">
        <f t="shared" si="27"/>
        <v>1134.4354025237385</v>
      </c>
      <c r="C101" s="77">
        <f t="shared" si="27"/>
        <v>-544.82752884363754</v>
      </c>
      <c r="D101" s="77">
        <f t="shared" si="27"/>
        <v>0</v>
      </c>
      <c r="E101" s="77">
        <f t="shared" si="27"/>
        <v>0</v>
      </c>
      <c r="F101" s="77">
        <f t="shared" si="27"/>
        <v>0</v>
      </c>
      <c r="G101" s="77">
        <f t="shared" si="27"/>
        <v>0</v>
      </c>
      <c r="H101" s="77">
        <f t="shared" si="27"/>
        <v>0</v>
      </c>
      <c r="I101" s="77">
        <f t="shared" si="27"/>
        <v>0</v>
      </c>
      <c r="J101" s="77">
        <f t="shared" si="27"/>
        <v>0</v>
      </c>
      <c r="K101" s="77">
        <f t="shared" si="27"/>
        <v>0</v>
      </c>
      <c r="L101" s="77">
        <f t="shared" si="27"/>
        <v>0</v>
      </c>
      <c r="M101" s="77">
        <f t="shared" si="27"/>
        <v>0</v>
      </c>
      <c r="N101" s="77">
        <f t="shared" si="27"/>
        <v>-246.09904342602113</v>
      </c>
      <c r="O101" s="77">
        <f t="shared" si="27"/>
        <v>1253.5670024512954</v>
      </c>
      <c r="P101" s="77">
        <f t="shared" si="27"/>
        <v>-888.33635909771738</v>
      </c>
      <c r="Q101" s="96">
        <f t="shared" si="27"/>
        <v>-708.73947360765771</v>
      </c>
      <c r="S101" s="84">
        <f t="shared" si="28"/>
        <v>-4.7617118810687016</v>
      </c>
      <c r="U101" s="11">
        <v>0</v>
      </c>
      <c r="V101" s="1">
        <v>0</v>
      </c>
      <c r="W101" s="1">
        <v>832.08051440570546</v>
      </c>
      <c r="X101" s="1">
        <v>0</v>
      </c>
      <c r="Y101" s="1">
        <v>0</v>
      </c>
      <c r="Z101" s="1">
        <v>0</v>
      </c>
      <c r="AA101" s="1">
        <v>0</v>
      </c>
      <c r="AB101" s="1">
        <v>0</v>
      </c>
      <c r="AC101" s="1">
        <v>757.45776148811296</v>
      </c>
      <c r="AD101" s="1">
        <v>0</v>
      </c>
      <c r="AE101" s="1">
        <v>0</v>
      </c>
      <c r="AF101" s="1">
        <v>0</v>
      </c>
      <c r="AG101" s="1">
        <v>0</v>
      </c>
      <c r="AH101" s="1">
        <v>0</v>
      </c>
      <c r="AI101" s="1">
        <v>0</v>
      </c>
      <c r="AJ101" s="1">
        <v>0</v>
      </c>
      <c r="AK101" s="1">
        <v>0</v>
      </c>
      <c r="AL101" s="1">
        <v>0</v>
      </c>
      <c r="AM101" s="1">
        <v>647.79333230422344</v>
      </c>
      <c r="AN101" s="1">
        <v>362.82665953096574</v>
      </c>
      <c r="AO101" s="25">
        <v>0</v>
      </c>
      <c r="AP101" s="25">
        <v>0</v>
      </c>
      <c r="AQ101" s="25">
        <v>0</v>
      </c>
      <c r="AR101" s="25">
        <v>0</v>
      </c>
      <c r="AS101" s="25">
        <v>0</v>
      </c>
      <c r="AT101" s="25">
        <v>0</v>
      </c>
      <c r="AU101" s="25">
        <v>-222.83493495366315</v>
      </c>
      <c r="AV101" s="25">
        <v>-87.49811506946871</v>
      </c>
      <c r="AW101" s="25">
        <v>-841.02274219775836</v>
      </c>
      <c r="AX101" s="25">
        <v>1161.7149130795281</v>
      </c>
      <c r="AY101" s="25">
        <v>0</v>
      </c>
      <c r="AZ101" s="45">
        <v>0</v>
      </c>
    </row>
    <row r="102" spans="1:52">
      <c r="B102" s="76">
        <f t="shared" si="27"/>
        <v>0</v>
      </c>
      <c r="C102" s="77">
        <f t="shared" si="27"/>
        <v>0</v>
      </c>
      <c r="D102" s="77">
        <f t="shared" si="27"/>
        <v>0</v>
      </c>
      <c r="E102" s="77">
        <f t="shared" si="27"/>
        <v>0</v>
      </c>
      <c r="F102" s="77">
        <f t="shared" si="27"/>
        <v>0</v>
      </c>
      <c r="G102" s="77">
        <f t="shared" si="27"/>
        <v>0</v>
      </c>
      <c r="H102" s="77">
        <f t="shared" si="27"/>
        <v>0</v>
      </c>
      <c r="I102" s="77">
        <f t="shared" si="27"/>
        <v>0</v>
      </c>
      <c r="J102" s="77">
        <f t="shared" si="27"/>
        <v>-502.98654410869011</v>
      </c>
      <c r="K102" s="77">
        <f t="shared" si="27"/>
        <v>-222.83493495366315</v>
      </c>
      <c r="L102" s="77">
        <f t="shared" si="27"/>
        <v>1165.9702790615045</v>
      </c>
      <c r="M102" s="77">
        <f t="shared" si="27"/>
        <v>233.19405581230089</v>
      </c>
      <c r="N102" s="77">
        <f t="shared" si="27"/>
        <v>-662.98373495281442</v>
      </c>
      <c r="O102" s="77">
        <f t="shared" si="27"/>
        <v>-10.359120858637725</v>
      </c>
      <c r="P102" s="77">
        <f t="shared" si="27"/>
        <v>0</v>
      </c>
      <c r="Q102" s="96">
        <f t="shared" si="27"/>
        <v>0</v>
      </c>
      <c r="S102" s="84">
        <f t="shared" si="28"/>
        <v>1.8472733671022941</v>
      </c>
      <c r="U102" s="11">
        <v>-173.64575395634725</v>
      </c>
      <c r="V102" s="1">
        <v>-638.97868514563504</v>
      </c>
      <c r="W102" s="1">
        <v>166.41610288114117</v>
      </c>
      <c r="X102" s="1">
        <v>176.475126219299</v>
      </c>
      <c r="Y102" s="1">
        <v>-648.84325426498947</v>
      </c>
      <c r="Z102" s="1">
        <v>0</v>
      </c>
      <c r="AA102" s="1">
        <v>0</v>
      </c>
      <c r="AB102" s="1">
        <v>176.4747726760782</v>
      </c>
      <c r="AC102" s="1">
        <v>0</v>
      </c>
      <c r="AD102" s="1">
        <v>0</v>
      </c>
      <c r="AE102" s="1">
        <v>0</v>
      </c>
      <c r="AF102" s="1">
        <v>-173.64591781163858</v>
      </c>
      <c r="AG102" s="1">
        <v>0</v>
      </c>
      <c r="AH102" s="1">
        <v>0</v>
      </c>
      <c r="AI102" s="1">
        <v>0</v>
      </c>
      <c r="AJ102" s="1">
        <v>0</v>
      </c>
      <c r="AK102" s="1">
        <v>-778.90203551257537</v>
      </c>
      <c r="AL102" s="1">
        <v>0</v>
      </c>
      <c r="AM102" s="1">
        <v>0</v>
      </c>
      <c r="AN102" s="1">
        <v>0</v>
      </c>
      <c r="AO102" s="25">
        <v>0</v>
      </c>
      <c r="AP102" s="25">
        <v>0</v>
      </c>
      <c r="AQ102" s="25">
        <v>0</v>
      </c>
      <c r="AR102" s="25">
        <v>-787.29216492149499</v>
      </c>
      <c r="AS102" s="25">
        <v>787.29216492149499</v>
      </c>
      <c r="AT102" s="25">
        <v>0</v>
      </c>
      <c r="AU102" s="25">
        <v>1165.9702790615045</v>
      </c>
      <c r="AV102" s="25">
        <v>-1165.9702790615045</v>
      </c>
      <c r="AW102" s="25">
        <v>0</v>
      </c>
      <c r="AX102" s="25">
        <v>918.83266114908668</v>
      </c>
      <c r="AY102" s="25">
        <v>-918.83266114908668</v>
      </c>
      <c r="AZ102" s="45">
        <v>0</v>
      </c>
    </row>
    <row r="103" spans="1:52">
      <c r="B103" s="76">
        <f t="shared" si="27"/>
        <v>0</v>
      </c>
      <c r="C103" s="77">
        <f t="shared" si="27"/>
        <v>0</v>
      </c>
      <c r="D103" s="77">
        <f t="shared" si="27"/>
        <v>0</v>
      </c>
      <c r="E103" s="77">
        <f t="shared" si="27"/>
        <v>0</v>
      </c>
      <c r="F103" s="77">
        <f t="shared" si="27"/>
        <v>0</v>
      </c>
      <c r="G103" s="77">
        <f t="shared" si="27"/>
        <v>0</v>
      </c>
      <c r="H103" s="77">
        <f t="shared" si="27"/>
        <v>0</v>
      </c>
      <c r="I103" s="77">
        <f t="shared" si="27"/>
        <v>0</v>
      </c>
      <c r="J103" s="77">
        <f t="shared" si="27"/>
        <v>616.21227183561393</v>
      </c>
      <c r="K103" s="77">
        <f t="shared" si="27"/>
        <v>-87.49811506946871</v>
      </c>
      <c r="L103" s="77">
        <f t="shared" si="27"/>
        <v>-1165.9702790615045</v>
      </c>
      <c r="M103" s="77">
        <f t="shared" si="27"/>
        <v>-233.19405581230089</v>
      </c>
      <c r="N103" s="77">
        <f t="shared" si="27"/>
        <v>0</v>
      </c>
      <c r="O103" s="77">
        <f t="shared" si="27"/>
        <v>0</v>
      </c>
      <c r="P103" s="77">
        <f t="shared" si="27"/>
        <v>549.75800722589065</v>
      </c>
      <c r="Q103" s="96">
        <f t="shared" si="27"/>
        <v>320.69217088176958</v>
      </c>
      <c r="S103" s="84">
        <f t="shared" si="28"/>
        <v>-4.7604092258287283</v>
      </c>
      <c r="U103" s="11">
        <v>766.93541330720211</v>
      </c>
      <c r="V103" s="1">
        <v>-583.41532121992759</v>
      </c>
      <c r="W103" s="1">
        <v>-832.08051440570546</v>
      </c>
      <c r="X103" s="1">
        <v>852.96311005994744</v>
      </c>
      <c r="Y103" s="1">
        <v>551.27284008980359</v>
      </c>
      <c r="Z103" s="1">
        <v>0</v>
      </c>
      <c r="AA103" s="1">
        <v>0</v>
      </c>
      <c r="AB103" s="1">
        <v>852.96140126771127</v>
      </c>
      <c r="AC103" s="1">
        <v>0</v>
      </c>
      <c r="AD103" s="1">
        <v>0</v>
      </c>
      <c r="AE103" s="1">
        <v>0</v>
      </c>
      <c r="AF103" s="1">
        <v>766.93613700140429</v>
      </c>
      <c r="AG103" s="1">
        <v>0</v>
      </c>
      <c r="AH103" s="1">
        <v>0</v>
      </c>
      <c r="AI103" s="1">
        <v>0</v>
      </c>
      <c r="AJ103" s="1">
        <v>0</v>
      </c>
      <c r="AK103" s="1">
        <v>-152.72588931619109</v>
      </c>
      <c r="AL103" s="1">
        <v>0</v>
      </c>
      <c r="AM103" s="1">
        <v>0</v>
      </c>
      <c r="AN103" s="1">
        <v>0</v>
      </c>
      <c r="AO103" s="25">
        <v>0</v>
      </c>
      <c r="AP103" s="25">
        <v>0</v>
      </c>
      <c r="AQ103" s="25">
        <v>0</v>
      </c>
      <c r="AR103" s="25">
        <v>-926.63591092529953</v>
      </c>
      <c r="AS103" s="25">
        <v>926.63591092529953</v>
      </c>
      <c r="AT103" s="25">
        <v>0</v>
      </c>
      <c r="AU103" s="25">
        <v>233.19405581230089</v>
      </c>
      <c r="AV103" s="25">
        <v>-233.19405581230089</v>
      </c>
      <c r="AW103" s="25">
        <v>0</v>
      </c>
      <c r="AX103" s="25">
        <v>-1006.3405336394758</v>
      </c>
      <c r="AY103" s="25">
        <v>1006.3405336394758</v>
      </c>
      <c r="AZ103" s="45">
        <v>0</v>
      </c>
    </row>
    <row r="104" spans="1:52">
      <c r="B104" s="76">
        <f t="shared" si="27"/>
        <v>0</v>
      </c>
      <c r="C104" s="77">
        <f t="shared" si="27"/>
        <v>0</v>
      </c>
      <c r="D104" s="77">
        <f t="shared" si="27"/>
        <v>0</v>
      </c>
      <c r="E104" s="77">
        <f t="shared" si="27"/>
        <v>0</v>
      </c>
      <c r="F104" s="77">
        <f t="shared" si="27"/>
        <v>0</v>
      </c>
      <c r="G104" s="77">
        <f t="shared" si="27"/>
        <v>0</v>
      </c>
      <c r="H104" s="77">
        <f t="shared" si="27"/>
        <v>542.13362610377976</v>
      </c>
      <c r="I104" s="77">
        <f t="shared" si="27"/>
        <v>1161.7149130795281</v>
      </c>
      <c r="J104" s="77">
        <f t="shared" si="27"/>
        <v>7.6243811221108899</v>
      </c>
      <c r="K104" s="77">
        <f t="shared" si="27"/>
        <v>-841.02274219775836</v>
      </c>
      <c r="L104" s="77">
        <f t="shared" si="27"/>
        <v>0</v>
      </c>
      <c r="M104" s="77">
        <f t="shared" si="27"/>
        <v>0</v>
      </c>
      <c r="N104" s="77">
        <f t="shared" si="27"/>
        <v>0</v>
      </c>
      <c r="O104" s="77">
        <f t="shared" si="27"/>
        <v>0</v>
      </c>
      <c r="P104" s="77">
        <f t="shared" si="27"/>
        <v>-549.75800722589065</v>
      </c>
      <c r="Q104" s="96">
        <f t="shared" si="27"/>
        <v>-320.69217088176958</v>
      </c>
      <c r="S104" s="84">
        <f t="shared" si="28"/>
        <v>-1.7060801082872483</v>
      </c>
      <c r="U104" s="11">
        <v>0</v>
      </c>
      <c r="V104" s="1">
        <v>0</v>
      </c>
      <c r="W104" s="1">
        <v>0</v>
      </c>
      <c r="X104" s="1">
        <v>-176.475126219299</v>
      </c>
      <c r="Y104" s="1">
        <v>0</v>
      </c>
      <c r="Z104" s="1">
        <v>-521.73885822320426</v>
      </c>
      <c r="AA104" s="1">
        <v>-841.4861035042926</v>
      </c>
      <c r="AB104" s="1">
        <v>-176.4747726760782</v>
      </c>
      <c r="AC104" s="1">
        <v>11.835277523251683</v>
      </c>
      <c r="AD104" s="1">
        <v>0</v>
      </c>
      <c r="AE104" s="1">
        <v>0</v>
      </c>
      <c r="AF104" s="1">
        <v>0</v>
      </c>
      <c r="AG104" s="1">
        <v>-739.63346912744237</v>
      </c>
      <c r="AH104" s="1">
        <v>0</v>
      </c>
      <c r="AI104" s="1">
        <v>0</v>
      </c>
      <c r="AJ104" s="1">
        <v>0</v>
      </c>
      <c r="AK104" s="1">
        <v>0</v>
      </c>
      <c r="AL104" s="1">
        <v>0</v>
      </c>
      <c r="AM104" s="1">
        <v>0</v>
      </c>
      <c r="AN104" s="1">
        <v>0</v>
      </c>
      <c r="AO104" s="25">
        <v>0</v>
      </c>
      <c r="AP104" s="25">
        <v>0</v>
      </c>
      <c r="AQ104" s="25">
        <v>0</v>
      </c>
      <c r="AR104" s="25">
        <v>0</v>
      </c>
      <c r="AS104" s="25">
        <v>246.09904342602113</v>
      </c>
      <c r="AT104" s="25">
        <v>-246.09904342602113</v>
      </c>
      <c r="AU104" s="25">
        <v>-662.98373495281442</v>
      </c>
      <c r="AV104" s="25">
        <v>0</v>
      </c>
      <c r="AW104" s="25">
        <v>0</v>
      </c>
      <c r="AX104" s="25">
        <v>0</v>
      </c>
      <c r="AY104" s="25">
        <v>0</v>
      </c>
      <c r="AZ104" s="45">
        <v>0</v>
      </c>
    </row>
    <row r="105" spans="1:52">
      <c r="B105" s="76">
        <f t="shared" si="27"/>
        <v>0</v>
      </c>
      <c r="C105" s="77">
        <f t="shared" si="27"/>
        <v>0</v>
      </c>
      <c r="D105" s="77">
        <f t="shared" si="27"/>
        <v>0</v>
      </c>
      <c r="E105" s="77">
        <f t="shared" si="27"/>
        <v>0</v>
      </c>
      <c r="F105" s="77">
        <f t="shared" si="27"/>
        <v>0</v>
      </c>
      <c r="G105" s="77">
        <f t="shared" si="27"/>
        <v>0</v>
      </c>
      <c r="H105" s="77">
        <f t="shared" si="27"/>
        <v>-1460.9662872528663</v>
      </c>
      <c r="I105" s="77">
        <f t="shared" si="27"/>
        <v>-155.37437944005237</v>
      </c>
      <c r="J105" s="77">
        <f t="shared" si="27"/>
        <v>542.13362610377976</v>
      </c>
      <c r="K105" s="77">
        <f t="shared" si="27"/>
        <v>1161.7149130795281</v>
      </c>
      <c r="L105" s="77">
        <f t="shared" si="27"/>
        <v>918.83266114908668</v>
      </c>
      <c r="M105" s="77">
        <f t="shared" si="27"/>
        <v>-1006.3405336394758</v>
      </c>
      <c r="N105" s="77">
        <f t="shared" si="27"/>
        <v>0</v>
      </c>
      <c r="O105" s="77">
        <f t="shared" si="27"/>
        <v>0</v>
      </c>
      <c r="P105" s="77">
        <f t="shared" si="27"/>
        <v>0</v>
      </c>
      <c r="Q105" s="96">
        <f t="shared" si="27"/>
        <v>0</v>
      </c>
      <c r="S105" s="84">
        <f t="shared" si="28"/>
        <v>-1.958238517687505</v>
      </c>
      <c r="U105" s="11">
        <v>0</v>
      </c>
      <c r="V105" s="1">
        <v>0</v>
      </c>
      <c r="W105" s="1">
        <v>0</v>
      </c>
      <c r="X105" s="1">
        <v>-852.96311005994744</v>
      </c>
      <c r="Y105" s="1">
        <v>0</v>
      </c>
      <c r="Z105" s="1">
        <v>695.65181096427273</v>
      </c>
      <c r="AA105" s="1">
        <v>-165.1997258413335</v>
      </c>
      <c r="AB105" s="1">
        <v>-852.96140126771127</v>
      </c>
      <c r="AC105" s="1">
        <v>-757.45776148811296</v>
      </c>
      <c r="AD105" s="1">
        <v>0</v>
      </c>
      <c r="AE105" s="1">
        <v>0</v>
      </c>
      <c r="AF105" s="1">
        <v>0</v>
      </c>
      <c r="AG105" s="1">
        <v>299.00076411534923</v>
      </c>
      <c r="AH105" s="1">
        <v>0</v>
      </c>
      <c r="AI105" s="1">
        <v>0</v>
      </c>
      <c r="AJ105" s="1">
        <v>0</v>
      </c>
      <c r="AK105" s="1">
        <v>0</v>
      </c>
      <c r="AL105" s="1">
        <v>0</v>
      </c>
      <c r="AM105" s="1">
        <v>0</v>
      </c>
      <c r="AN105" s="1">
        <v>0</v>
      </c>
      <c r="AO105" s="25">
        <v>0</v>
      </c>
      <c r="AP105" s="25">
        <v>0</v>
      </c>
      <c r="AQ105" s="25">
        <v>0</v>
      </c>
      <c r="AR105" s="25">
        <v>0</v>
      </c>
      <c r="AS105" s="25">
        <v>-1253.5670024512951</v>
      </c>
      <c r="AT105" s="25">
        <v>1253.5670024512954</v>
      </c>
      <c r="AU105" s="25">
        <v>-10.359120858637725</v>
      </c>
      <c r="AV105" s="25">
        <v>0</v>
      </c>
      <c r="AW105" s="25">
        <v>0</v>
      </c>
      <c r="AX105" s="25">
        <v>0</v>
      </c>
      <c r="AY105" s="25">
        <v>0</v>
      </c>
      <c r="AZ105" s="45">
        <v>0</v>
      </c>
    </row>
    <row r="106" spans="1:52">
      <c r="B106" s="76">
        <f t="shared" si="27"/>
        <v>0</v>
      </c>
      <c r="C106" s="77">
        <f t="shared" si="27"/>
        <v>0</v>
      </c>
      <c r="D106" s="77">
        <f t="shared" si="27"/>
        <v>0</v>
      </c>
      <c r="E106" s="77">
        <f t="shared" si="27"/>
        <v>0</v>
      </c>
      <c r="F106" s="77">
        <f t="shared" si="27"/>
        <v>0</v>
      </c>
      <c r="G106" s="77">
        <f t="shared" si="27"/>
        <v>0</v>
      </c>
      <c r="H106" s="77">
        <f t="shared" si="27"/>
        <v>-48.000577273506529</v>
      </c>
      <c r="I106" s="77">
        <f t="shared" si="27"/>
        <v>-1086.170801032167</v>
      </c>
      <c r="J106" s="77">
        <f t="shared" si="27"/>
        <v>0</v>
      </c>
      <c r="K106" s="77">
        <f t="shared" si="27"/>
        <v>0</v>
      </c>
      <c r="L106" s="77">
        <f t="shared" si="27"/>
        <v>-918.83266114908668</v>
      </c>
      <c r="M106" s="77">
        <f t="shared" si="27"/>
        <v>1006.3405336394758</v>
      </c>
      <c r="N106" s="77">
        <f t="shared" si="27"/>
        <v>0</v>
      </c>
      <c r="O106" s="77">
        <f t="shared" si="27"/>
        <v>0</v>
      </c>
      <c r="P106" s="77">
        <f t="shared" si="27"/>
        <v>966.83323842259324</v>
      </c>
      <c r="Q106" s="96">
        <f t="shared" si="27"/>
        <v>79.830267392691198</v>
      </c>
      <c r="S106" s="84">
        <f t="shared" si="28"/>
        <v>1.4412353457515792</v>
      </c>
      <c r="U106" s="11">
        <v>0</v>
      </c>
      <c r="V106" s="1">
        <v>0</v>
      </c>
      <c r="W106" s="1">
        <v>0</v>
      </c>
      <c r="X106" s="1">
        <v>0</v>
      </c>
      <c r="Y106" s="1">
        <v>648.84325426498947</v>
      </c>
      <c r="Z106" s="1">
        <v>0</v>
      </c>
      <c r="AA106" s="1">
        <v>841.4861035042926</v>
      </c>
      <c r="AB106" s="1">
        <v>0</v>
      </c>
      <c r="AC106" s="1">
        <v>0</v>
      </c>
      <c r="AD106" s="1">
        <v>0</v>
      </c>
      <c r="AE106" s="1">
        <v>370.46025554557082</v>
      </c>
      <c r="AF106" s="1">
        <v>0</v>
      </c>
      <c r="AG106" s="1">
        <v>0</v>
      </c>
      <c r="AH106" s="1">
        <v>-430.35881439142804</v>
      </c>
      <c r="AI106" s="1">
        <v>0</v>
      </c>
      <c r="AJ106" s="1">
        <v>0</v>
      </c>
      <c r="AK106" s="1">
        <v>0</v>
      </c>
      <c r="AL106" s="1">
        <v>-497.85054034703103</v>
      </c>
      <c r="AM106" s="1">
        <v>377.87944384412987</v>
      </c>
      <c r="AN106" s="1">
        <v>0</v>
      </c>
      <c r="AO106" s="25">
        <v>-130.06218252893419</v>
      </c>
      <c r="AP106" s="25">
        <v>2098.9287311371199</v>
      </c>
      <c r="AQ106" s="25">
        <v>132.40209233814599</v>
      </c>
      <c r="AR106" s="25">
        <v>-179.54107350109825</v>
      </c>
      <c r="AS106" s="25">
        <v>-1033.3912083475161</v>
      </c>
      <c r="AT106" s="25">
        <v>-888.33635909771738</v>
      </c>
      <c r="AU106" s="25">
        <v>0</v>
      </c>
      <c r="AV106" s="25">
        <v>549.75800722589065</v>
      </c>
      <c r="AW106" s="25">
        <v>-549.75800722589065</v>
      </c>
      <c r="AX106" s="25">
        <v>0</v>
      </c>
      <c r="AY106" s="25">
        <v>966.83323842259324</v>
      </c>
      <c r="AZ106" s="45">
        <v>-966.83323842259324</v>
      </c>
    </row>
    <row r="107" spans="1:52">
      <c r="B107" s="79">
        <f t="shared" si="27"/>
        <v>0</v>
      </c>
      <c r="C107" s="80">
        <f t="shared" si="27"/>
        <v>0</v>
      </c>
      <c r="D107" s="80">
        <f t="shared" si="27"/>
        <v>0</v>
      </c>
      <c r="E107" s="80">
        <f t="shared" si="27"/>
        <v>0</v>
      </c>
      <c r="F107" s="80">
        <f t="shared" si="27"/>
        <v>515.86132567538823</v>
      </c>
      <c r="G107" s="80">
        <f t="shared" si="27"/>
        <v>1313.1015562646246</v>
      </c>
      <c r="H107" s="80">
        <f t="shared" si="27"/>
        <v>450.97191274720495</v>
      </c>
      <c r="I107" s="80">
        <f t="shared" si="27"/>
        <v>-1233.2712888719334</v>
      </c>
      <c r="J107" s="80">
        <f t="shared" si="27"/>
        <v>0</v>
      </c>
      <c r="K107" s="80">
        <f t="shared" si="27"/>
        <v>0</v>
      </c>
      <c r="L107" s="80">
        <f t="shared" si="27"/>
        <v>0</v>
      </c>
      <c r="M107" s="80">
        <f t="shared" si="27"/>
        <v>0</v>
      </c>
      <c r="N107" s="80">
        <f t="shared" si="27"/>
        <v>0</v>
      </c>
      <c r="O107" s="80">
        <f t="shared" si="27"/>
        <v>0</v>
      </c>
      <c r="P107" s="80">
        <f t="shared" si="27"/>
        <v>-966.83323842259324</v>
      </c>
      <c r="Q107" s="97">
        <f t="shared" si="27"/>
        <v>-79.830267392691198</v>
      </c>
      <c r="S107" s="85">
        <f t="shared" si="28"/>
        <v>-4.9104255216055513E-2</v>
      </c>
      <c r="U107" s="13">
        <v>0</v>
      </c>
      <c r="V107" s="14">
        <v>0</v>
      </c>
      <c r="W107" s="14">
        <v>0</v>
      </c>
      <c r="X107" s="14">
        <v>0</v>
      </c>
      <c r="Y107" s="14">
        <v>-551.27284008980359</v>
      </c>
      <c r="Z107" s="14">
        <v>0</v>
      </c>
      <c r="AA107" s="14">
        <v>165.1997258413335</v>
      </c>
      <c r="AB107" s="14">
        <v>0</v>
      </c>
      <c r="AC107" s="14">
        <v>0</v>
      </c>
      <c r="AD107" s="14">
        <v>0</v>
      </c>
      <c r="AE107" s="14">
        <v>771.36929921817512</v>
      </c>
      <c r="AF107" s="14">
        <v>0</v>
      </c>
      <c r="AG107" s="14">
        <v>0</v>
      </c>
      <c r="AH107" s="14">
        <v>759.10513094043529</v>
      </c>
      <c r="AI107" s="14">
        <v>0</v>
      </c>
      <c r="AJ107" s="14">
        <v>0</v>
      </c>
      <c r="AK107" s="14">
        <v>0</v>
      </c>
      <c r="AL107" s="14">
        <v>-665.16096784070419</v>
      </c>
      <c r="AM107" s="14">
        <v>-647.79333230422344</v>
      </c>
      <c r="AN107" s="14">
        <v>0</v>
      </c>
      <c r="AO107" s="32">
        <v>-1261.7080495034206</v>
      </c>
      <c r="AP107" s="32">
        <v>92.336963467742791</v>
      </c>
      <c r="AQ107" s="32">
        <v>704.37382458473132</v>
      </c>
      <c r="AR107" s="32">
        <v>846.80564353260843</v>
      </c>
      <c r="AS107" s="32">
        <v>326.93109152599556</v>
      </c>
      <c r="AT107" s="32">
        <v>-708.73947360765771</v>
      </c>
      <c r="AU107" s="32">
        <v>0</v>
      </c>
      <c r="AV107" s="32">
        <v>320.69217088176958</v>
      </c>
      <c r="AW107" s="32">
        <v>-320.69217088176958</v>
      </c>
      <c r="AX107" s="32">
        <v>0</v>
      </c>
      <c r="AY107" s="32">
        <v>79.830267392691198</v>
      </c>
      <c r="AZ107" s="49">
        <v>-79.830267392691198</v>
      </c>
    </row>
    <row r="109" spans="1:52">
      <c r="A109" s="23"/>
      <c r="B109" s="266" t="s">
        <v>48</v>
      </c>
      <c r="C109" s="267"/>
      <c r="D109" s="267"/>
      <c r="E109" s="267"/>
      <c r="F109" s="267"/>
      <c r="G109" s="267"/>
      <c r="H109" s="267"/>
      <c r="I109" s="267"/>
      <c r="J109" s="267"/>
      <c r="K109" s="267"/>
      <c r="L109" s="267"/>
      <c r="M109" s="267"/>
      <c r="N109" s="267"/>
      <c r="O109" s="267"/>
      <c r="P109" s="267"/>
      <c r="Q109" s="268"/>
      <c r="R109" s="257" t="s">
        <v>49</v>
      </c>
      <c r="S109" s="258"/>
      <c r="T109" s="259"/>
      <c r="V109" s="69" t="s">
        <v>50</v>
      </c>
    </row>
    <row r="110" spans="1:52">
      <c r="A110" s="23"/>
      <c r="B110" s="73" cm="1">
        <f t="array" ref="B110:Q125">MMULT(_xlfn.ANCHORARRAY(U92),B76:Q107)</f>
        <v>3781646.9419155456</v>
      </c>
      <c r="C110" s="9">
        <v>-1452438.9423782346</v>
      </c>
      <c r="D110" s="9">
        <v>-2172492.4140480189</v>
      </c>
      <c r="E110" s="9">
        <v>-940496.29497446935</v>
      </c>
      <c r="F110" s="9">
        <v>0</v>
      </c>
      <c r="G110" s="9">
        <v>0</v>
      </c>
      <c r="H110" s="9">
        <v>0</v>
      </c>
      <c r="I110" s="9">
        <v>0</v>
      </c>
      <c r="J110" s="9">
        <v>0</v>
      </c>
      <c r="K110" s="9">
        <v>0</v>
      </c>
      <c r="L110" s="9">
        <v>-60305.752639714628</v>
      </c>
      <c r="M110" s="9">
        <v>266350.40749207337</v>
      </c>
      <c r="N110" s="9">
        <v>-551394.90356975817</v>
      </c>
      <c r="O110" s="9">
        <v>1785039.3685897156</v>
      </c>
      <c r="P110" s="9">
        <v>-997453.8716580536</v>
      </c>
      <c r="Q110" s="10">
        <v>341545.461270915</v>
      </c>
      <c r="R110" s="8" cm="1">
        <f t="array" ref="R110:T125">TRANSPOSE(B126:Q128)</f>
        <v>0</v>
      </c>
      <c r="S110" s="9">
        <v>0</v>
      </c>
      <c r="T110" s="10">
        <v>0</v>
      </c>
      <c r="V110" s="2" cm="1">
        <f t="array" ref="V110:V125">MMULT(_xlfn.ANCHORARRAY(U92),S76:S107)</f>
        <v>-29740.429519208028</v>
      </c>
    </row>
    <row r="111" spans="1:52">
      <c r="A111" s="23"/>
      <c r="B111" s="11">
        <v>-1452438.9423782346</v>
      </c>
      <c r="C111" s="1">
        <v>2870935.2926965696</v>
      </c>
      <c r="D111" s="1">
        <v>561691.44153463398</v>
      </c>
      <c r="E111" s="1">
        <v>368638.02651990624</v>
      </c>
      <c r="F111" s="1">
        <v>0</v>
      </c>
      <c r="G111" s="1">
        <v>0</v>
      </c>
      <c r="H111" s="1">
        <v>0</v>
      </c>
      <c r="I111" s="1">
        <v>0</v>
      </c>
      <c r="J111" s="1">
        <v>0</v>
      </c>
      <c r="K111" s="1">
        <v>0</v>
      </c>
      <c r="L111" s="1">
        <v>266350.40749207337</v>
      </c>
      <c r="M111" s="1">
        <v>-1176380.9664233257</v>
      </c>
      <c r="N111" s="1">
        <v>497030.11525398609</v>
      </c>
      <c r="O111" s="1">
        <v>-1166909.2542833376</v>
      </c>
      <c r="P111" s="1">
        <v>127366.9780975412</v>
      </c>
      <c r="Q111" s="12">
        <v>-896283.09850981273</v>
      </c>
      <c r="R111" s="11">
        <v>0</v>
      </c>
      <c r="S111" s="1">
        <v>0</v>
      </c>
      <c r="T111" s="12">
        <v>0</v>
      </c>
      <c r="V111" s="3">
        <v>-7768.9244862170926</v>
      </c>
      <c r="Y111" s="23"/>
      <c r="Z111" s="192" t="s">
        <v>51</v>
      </c>
      <c r="AA111" s="193" t="s">
        <v>52</v>
      </c>
      <c r="AB111" s="193" t="s">
        <v>53</v>
      </c>
    </row>
    <row r="112" spans="1:52">
      <c r="A112" s="23"/>
      <c r="B112" s="11">
        <v>-2172492.4140480189</v>
      </c>
      <c r="C112" s="1">
        <v>561691.44153463398</v>
      </c>
      <c r="D112" s="1">
        <v>4685409.6382794194</v>
      </c>
      <c r="E112" s="1">
        <v>1492344.1218479071</v>
      </c>
      <c r="F112" s="1">
        <v>1037902.7809815664</v>
      </c>
      <c r="G112" s="1">
        <v>-889687.47101225727</v>
      </c>
      <c r="H112" s="1">
        <v>0</v>
      </c>
      <c r="I112" s="1">
        <v>0</v>
      </c>
      <c r="J112" s="1">
        <v>0</v>
      </c>
      <c r="K112" s="1">
        <v>0</v>
      </c>
      <c r="L112" s="1">
        <v>0</v>
      </c>
      <c r="M112" s="1">
        <v>0</v>
      </c>
      <c r="N112" s="1">
        <v>-547057.66865349526</v>
      </c>
      <c r="O112" s="1">
        <v>221150.97243439182</v>
      </c>
      <c r="P112" s="1">
        <v>-3003762.3365594717</v>
      </c>
      <c r="Q112" s="12">
        <v>-1385499.0648046758</v>
      </c>
      <c r="R112" s="11">
        <v>0</v>
      </c>
      <c r="S112" s="1">
        <v>0</v>
      </c>
      <c r="T112" s="12">
        <v>0</v>
      </c>
      <c r="V112" s="3">
        <v>18617.226735321579</v>
      </c>
      <c r="Y112" s="289" t="s">
        <v>102</v>
      </c>
      <c r="Z112" s="8">
        <v>5</v>
      </c>
      <c r="AA112" s="9">
        <v>295</v>
      </c>
      <c r="AB112" s="10">
        <v>490</v>
      </c>
    </row>
    <row r="113" spans="1:28">
      <c r="A113" s="23"/>
      <c r="B113" s="11">
        <v>-940496.29497446935</v>
      </c>
      <c r="C113" s="1">
        <v>368638.02651990624</v>
      </c>
      <c r="D113" s="1">
        <v>1492344.1218479071</v>
      </c>
      <c r="E113" s="1">
        <v>2295146.8114516018</v>
      </c>
      <c r="F113" s="1">
        <v>498233.78327704128</v>
      </c>
      <c r="G113" s="1">
        <v>-1027454.2873142996</v>
      </c>
      <c r="H113" s="1">
        <v>0</v>
      </c>
      <c r="I113" s="1">
        <v>0</v>
      </c>
      <c r="J113" s="1">
        <v>0</v>
      </c>
      <c r="K113" s="1">
        <v>0</v>
      </c>
      <c r="L113" s="1">
        <v>0</v>
      </c>
      <c r="M113" s="1">
        <v>0</v>
      </c>
      <c r="N113" s="1">
        <v>221150.97243439182</v>
      </c>
      <c r="O113" s="1">
        <v>-89401.456941562705</v>
      </c>
      <c r="P113" s="1">
        <v>-1271232.582584871</v>
      </c>
      <c r="Q113" s="12">
        <v>-1546929.0937156454</v>
      </c>
      <c r="R113" s="11">
        <v>0</v>
      </c>
      <c r="S113" s="1">
        <v>0</v>
      </c>
      <c r="T113" s="12">
        <v>0</v>
      </c>
      <c r="V113" s="3">
        <v>-2146.0975918559425</v>
      </c>
      <c r="Y113" s="290"/>
      <c r="Z113" s="194">
        <v>6</v>
      </c>
      <c r="AA113" s="1">
        <v>145</v>
      </c>
      <c r="AB113" s="12">
        <v>560</v>
      </c>
    </row>
    <row r="114" spans="1:28">
      <c r="A114" s="23"/>
      <c r="B114" s="11">
        <v>0</v>
      </c>
      <c r="C114" s="1">
        <v>0</v>
      </c>
      <c r="D114" s="1">
        <v>1037902.7809815664</v>
      </c>
      <c r="E114" s="1">
        <v>498233.78327704128</v>
      </c>
      <c r="F114" s="1">
        <v>3185003.418114882</v>
      </c>
      <c r="G114" s="1">
        <v>-71985.691457216162</v>
      </c>
      <c r="H114" s="1">
        <v>-1228679.7045486527</v>
      </c>
      <c r="I114" s="1">
        <v>-445660.11040028895</v>
      </c>
      <c r="J114" s="1">
        <v>0</v>
      </c>
      <c r="K114" s="1">
        <v>0</v>
      </c>
      <c r="L114" s="1">
        <v>-606688.38092563325</v>
      </c>
      <c r="M114" s="1">
        <v>-118958.50606384952</v>
      </c>
      <c r="N114" s="1">
        <v>0</v>
      </c>
      <c r="O114" s="1">
        <v>0</v>
      </c>
      <c r="P114" s="1">
        <v>-2387538.113622162</v>
      </c>
      <c r="Q114" s="12">
        <v>138370.52464431326</v>
      </c>
      <c r="R114" s="11">
        <v>0</v>
      </c>
      <c r="S114" s="1">
        <v>0</v>
      </c>
      <c r="T114" s="12">
        <v>0</v>
      </c>
      <c r="V114" s="3">
        <v>-26162.319515421543</v>
      </c>
      <c r="Y114" s="291"/>
      <c r="Z114" s="195">
        <v>9</v>
      </c>
      <c r="AA114" s="14">
        <v>313</v>
      </c>
      <c r="AB114" s="15">
        <v>272</v>
      </c>
    </row>
    <row r="115" spans="1:28">
      <c r="A115" s="23"/>
      <c r="B115" s="11">
        <v>0</v>
      </c>
      <c r="C115" s="1">
        <v>0</v>
      </c>
      <c r="D115" s="1">
        <v>-889687.47101225727</v>
      </c>
      <c r="E115" s="1">
        <v>-1027454.2873142996</v>
      </c>
      <c r="F115" s="1">
        <v>-71985.691457216162</v>
      </c>
      <c r="G115" s="1">
        <v>3650863.5955685787</v>
      </c>
      <c r="H115" s="1">
        <v>1453151.1035032282</v>
      </c>
      <c r="I115" s="1">
        <v>-1670576.071123057</v>
      </c>
      <c r="J115" s="1">
        <v>0</v>
      </c>
      <c r="K115" s="1">
        <v>0</v>
      </c>
      <c r="L115" s="1">
        <v>-118958.50606384952</v>
      </c>
      <c r="M115" s="1">
        <v>-23325.197267421452</v>
      </c>
      <c r="N115" s="1">
        <v>0</v>
      </c>
      <c r="O115" s="1">
        <v>0</v>
      </c>
      <c r="P115" s="1">
        <v>-372519.4349699053</v>
      </c>
      <c r="Q115" s="12">
        <v>-929508.03986380098</v>
      </c>
      <c r="R115" s="11">
        <v>0</v>
      </c>
      <c r="S115" s="1">
        <v>0</v>
      </c>
      <c r="T115" s="12">
        <v>0</v>
      </c>
      <c r="V115" s="3">
        <v>12896.477578883467</v>
      </c>
    </row>
    <row r="116" spans="1:28">
      <c r="A116" s="23"/>
      <c r="B116" s="11">
        <v>0</v>
      </c>
      <c r="C116" s="1">
        <v>0</v>
      </c>
      <c r="D116" s="1">
        <v>0</v>
      </c>
      <c r="E116" s="1">
        <v>0</v>
      </c>
      <c r="F116" s="1">
        <v>-1228679.7045486527</v>
      </c>
      <c r="G116" s="1">
        <v>1453151.1035032282</v>
      </c>
      <c r="H116" s="1">
        <v>6170884.7826881204</v>
      </c>
      <c r="I116" s="1">
        <v>340680.37661482044</v>
      </c>
      <c r="J116" s="1">
        <v>-1392389.5296808735</v>
      </c>
      <c r="K116" s="1">
        <v>-1871080.4932720729</v>
      </c>
      <c r="L116" s="1">
        <v>-2467753.0368789718</v>
      </c>
      <c r="M116" s="1">
        <v>153232.31314940497</v>
      </c>
      <c r="N116" s="1">
        <v>0</v>
      </c>
      <c r="O116" s="1">
        <v>0</v>
      </c>
      <c r="P116" s="1">
        <v>-1082062.5115796223</v>
      </c>
      <c r="Q116" s="12">
        <v>-75983.299995380643</v>
      </c>
      <c r="R116" s="11">
        <v>1</v>
      </c>
      <c r="S116" s="1">
        <v>0</v>
      </c>
      <c r="T116" s="12">
        <v>-490</v>
      </c>
      <c r="V116" s="3">
        <v>6901.8198818779974</v>
      </c>
    </row>
    <row r="117" spans="1:28">
      <c r="A117" s="23"/>
      <c r="B117" s="11">
        <v>0</v>
      </c>
      <c r="C117" s="1">
        <v>0</v>
      </c>
      <c r="D117" s="1">
        <v>0</v>
      </c>
      <c r="E117" s="1">
        <v>0</v>
      </c>
      <c r="F117" s="1">
        <v>-445660.11040028895</v>
      </c>
      <c r="G117" s="1">
        <v>-1670576.071123057</v>
      </c>
      <c r="H117" s="1">
        <v>340680.37661482044</v>
      </c>
      <c r="I117" s="1">
        <v>4660233.2846908486</v>
      </c>
      <c r="J117" s="1">
        <v>206716.22052252485</v>
      </c>
      <c r="K117" s="1">
        <v>-1289172.5804225607</v>
      </c>
      <c r="L117" s="1">
        <v>419606.45415074856</v>
      </c>
      <c r="M117" s="1">
        <v>-1351045.1971937111</v>
      </c>
      <c r="N117" s="1">
        <v>0</v>
      </c>
      <c r="O117" s="1">
        <v>0</v>
      </c>
      <c r="P117" s="1">
        <v>-521342.94088780507</v>
      </c>
      <c r="Q117" s="12">
        <v>-349439.43595151976</v>
      </c>
      <c r="R117" s="11">
        <v>0</v>
      </c>
      <c r="S117" s="1">
        <v>1</v>
      </c>
      <c r="T117" s="12">
        <v>295</v>
      </c>
      <c r="V117" s="3">
        <v>-6937.9498180817955</v>
      </c>
    </row>
    <row r="118" spans="1:28">
      <c r="A118" s="23"/>
      <c r="B118" s="11">
        <v>0</v>
      </c>
      <c r="C118" s="1">
        <v>0</v>
      </c>
      <c r="D118" s="1">
        <v>0</v>
      </c>
      <c r="E118" s="1">
        <v>0</v>
      </c>
      <c r="F118" s="1">
        <v>0</v>
      </c>
      <c r="G118" s="1">
        <v>0</v>
      </c>
      <c r="H118" s="1">
        <v>-1392389.5296808735</v>
      </c>
      <c r="I118" s="1">
        <v>206716.22052252485</v>
      </c>
      <c r="J118" s="1">
        <v>1701791.306568916</v>
      </c>
      <c r="K118" s="1">
        <v>7241.3595319320448</v>
      </c>
      <c r="L118" s="1">
        <v>-834516.79267869215</v>
      </c>
      <c r="M118" s="1">
        <v>-668089.95725682611</v>
      </c>
      <c r="N118" s="1">
        <v>333331.82385013549</v>
      </c>
      <c r="O118" s="1">
        <v>14175.221220043233</v>
      </c>
      <c r="P118" s="1">
        <v>191783.19194051466</v>
      </c>
      <c r="Q118" s="12">
        <v>439957.15598232596</v>
      </c>
      <c r="R118" s="11">
        <v>0</v>
      </c>
      <c r="S118" s="1">
        <v>0</v>
      </c>
      <c r="T118" s="96">
        <v>0</v>
      </c>
      <c r="V118" s="3">
        <v>-4281.8802347936562</v>
      </c>
      <c r="Y118" s="21" t="s">
        <v>60</v>
      </c>
    </row>
    <row r="119" spans="1:28">
      <c r="A119" s="23"/>
      <c r="B119" s="11">
        <v>0</v>
      </c>
      <c r="C119" s="1">
        <v>0</v>
      </c>
      <c r="D119" s="1">
        <v>0</v>
      </c>
      <c r="E119" s="1">
        <v>0</v>
      </c>
      <c r="F119" s="1">
        <v>0</v>
      </c>
      <c r="G119" s="1">
        <v>0</v>
      </c>
      <c r="H119" s="1">
        <v>-1871080.4932720729</v>
      </c>
      <c r="I119" s="1">
        <v>-1289172.5804225607</v>
      </c>
      <c r="J119" s="1">
        <v>7241.3595319320448</v>
      </c>
      <c r="K119" s="1">
        <v>3931591.7496781815</v>
      </c>
      <c r="L119" s="1">
        <v>1048094.4919245047</v>
      </c>
      <c r="M119" s="1">
        <v>-1892998.5299485871</v>
      </c>
      <c r="N119" s="1">
        <v>156700.66027289984</v>
      </c>
      <c r="O119" s="1">
        <v>-571433.88641587133</v>
      </c>
      <c r="P119" s="1">
        <v>659043.98154273641</v>
      </c>
      <c r="Q119" s="12">
        <v>-177986.75289116288</v>
      </c>
      <c r="R119" s="11">
        <v>0</v>
      </c>
      <c r="S119" s="1">
        <v>0</v>
      </c>
      <c r="T119" s="96">
        <v>0</v>
      </c>
      <c r="V119" s="3">
        <v>-5599.0906543018846</v>
      </c>
      <c r="Y119" s="75" cm="1">
        <f t="array" ref="Y119:Y150">MMULT(B76:Q107,_xlfn.ANCHORARRAY(V131))+S76:S107</f>
        <v>-0.87699725353683711</v>
      </c>
    </row>
    <row r="120" spans="1:28">
      <c r="A120" s="23"/>
      <c r="B120" s="11">
        <v>-60305.752639714628</v>
      </c>
      <c r="C120" s="1">
        <v>266350.40749207337</v>
      </c>
      <c r="D120" s="1">
        <v>0</v>
      </c>
      <c r="E120" s="1">
        <v>0</v>
      </c>
      <c r="F120" s="1">
        <v>-606688.38092563325</v>
      </c>
      <c r="G120" s="1">
        <v>-118958.50606384952</v>
      </c>
      <c r="H120" s="1">
        <v>-2467753.0368789718</v>
      </c>
      <c r="I120" s="1">
        <v>419606.45415074856</v>
      </c>
      <c r="J120" s="1">
        <v>-834516.79267869215</v>
      </c>
      <c r="K120" s="1">
        <v>1048094.4919245047</v>
      </c>
      <c r="L120" s="1">
        <v>7233404.8046960104</v>
      </c>
      <c r="M120" s="1">
        <v>183833.69565698656</v>
      </c>
      <c r="N120" s="1">
        <v>-641554.2973373814</v>
      </c>
      <c r="O120" s="1">
        <v>-1300054.8481708304</v>
      </c>
      <c r="P120" s="1">
        <v>-2622586.5442356179</v>
      </c>
      <c r="Q120" s="12">
        <v>-498871.69498963346</v>
      </c>
      <c r="R120" s="11">
        <v>1</v>
      </c>
      <c r="S120" s="1">
        <v>0</v>
      </c>
      <c r="T120" s="12">
        <v>-560</v>
      </c>
      <c r="V120" s="3">
        <v>18582.321365888369</v>
      </c>
      <c r="Y120" s="3">
        <v>1.1151990808928778</v>
      </c>
    </row>
    <row r="121" spans="1:28">
      <c r="A121" s="23"/>
      <c r="B121" s="11">
        <v>266350.40749207337</v>
      </c>
      <c r="C121" s="1">
        <v>-1176380.9664233257</v>
      </c>
      <c r="D121" s="1">
        <v>0</v>
      </c>
      <c r="E121" s="1">
        <v>0</v>
      </c>
      <c r="F121" s="1">
        <v>-118958.50606384952</v>
      </c>
      <c r="G121" s="1">
        <v>-23325.197267421452</v>
      </c>
      <c r="H121" s="1">
        <v>153232.31314940497</v>
      </c>
      <c r="I121" s="1">
        <v>-1351045.1971937111</v>
      </c>
      <c r="J121" s="1">
        <v>-668089.95725682611</v>
      </c>
      <c r="K121" s="1">
        <v>-1892998.5299485871</v>
      </c>
      <c r="L121" s="1">
        <v>183833.69565698656</v>
      </c>
      <c r="M121" s="1">
        <v>7842938.2440316249</v>
      </c>
      <c r="N121" s="1">
        <v>-227612.59670674187</v>
      </c>
      <c r="O121" s="1">
        <v>-2619105.105805744</v>
      </c>
      <c r="P121" s="1">
        <v>411244.64372895239</v>
      </c>
      <c r="Q121" s="12">
        <v>-780083.24739283626</v>
      </c>
      <c r="R121" s="11">
        <v>0</v>
      </c>
      <c r="S121" s="1">
        <v>1</v>
      </c>
      <c r="T121" s="12">
        <v>145</v>
      </c>
      <c r="V121" s="3">
        <v>26537.398313834154</v>
      </c>
      <c r="Y121" s="3">
        <v>0.41326808589254282</v>
      </c>
    </row>
    <row r="122" spans="1:28">
      <c r="A122" s="23"/>
      <c r="B122" s="11">
        <v>-551394.90356975817</v>
      </c>
      <c r="C122" s="1">
        <v>497030.11525398609</v>
      </c>
      <c r="D122" s="1">
        <v>-547057.66865349526</v>
      </c>
      <c r="E122" s="1">
        <v>221150.97243439182</v>
      </c>
      <c r="F122" s="1">
        <v>0</v>
      </c>
      <c r="G122" s="1">
        <v>0</v>
      </c>
      <c r="H122" s="1">
        <v>0</v>
      </c>
      <c r="I122" s="1">
        <v>0</v>
      </c>
      <c r="J122" s="1">
        <v>333331.82385013549</v>
      </c>
      <c r="K122" s="1">
        <v>156700.66027289984</v>
      </c>
      <c r="L122" s="1">
        <v>-641554.2973373814</v>
      </c>
      <c r="M122" s="1">
        <v>-227612.59670674187</v>
      </c>
      <c r="N122" s="1">
        <v>2150471.7677460173</v>
      </c>
      <c r="O122" s="1">
        <v>-763133.41304021364</v>
      </c>
      <c r="P122" s="1">
        <v>-743796.72203551815</v>
      </c>
      <c r="Q122" s="12">
        <v>115864.26178567765</v>
      </c>
      <c r="R122" s="11">
        <v>1</v>
      </c>
      <c r="S122" s="1">
        <v>0</v>
      </c>
      <c r="T122" s="196">
        <v>-272</v>
      </c>
      <c r="V122" s="3">
        <v>286.615620603975</v>
      </c>
      <c r="Y122" s="3">
        <v>1.6768800075377748</v>
      </c>
    </row>
    <row r="123" spans="1:28">
      <c r="A123" s="23"/>
      <c r="B123" s="11">
        <v>1785039.3685897156</v>
      </c>
      <c r="C123" s="1">
        <v>-1166909.2542833376</v>
      </c>
      <c r="D123" s="1">
        <v>221150.97243439182</v>
      </c>
      <c r="E123" s="1">
        <v>-89401.456941562705</v>
      </c>
      <c r="F123" s="1">
        <v>0</v>
      </c>
      <c r="G123" s="1">
        <v>0</v>
      </c>
      <c r="H123" s="1">
        <v>0</v>
      </c>
      <c r="I123" s="1">
        <v>0</v>
      </c>
      <c r="J123" s="1">
        <v>14175.221220043233</v>
      </c>
      <c r="K123" s="1">
        <v>-571433.88641587133</v>
      </c>
      <c r="L123" s="1">
        <v>-1300054.8481708304</v>
      </c>
      <c r="M123" s="1">
        <v>-2619105.105805744</v>
      </c>
      <c r="N123" s="1">
        <v>-763133.41304021364</v>
      </c>
      <c r="O123" s="1">
        <v>5772423.0987262009</v>
      </c>
      <c r="P123" s="1">
        <v>42822.698966893367</v>
      </c>
      <c r="Q123" s="12">
        <v>-1325573.3952796846</v>
      </c>
      <c r="R123" s="11">
        <v>0</v>
      </c>
      <c r="S123" s="1">
        <v>1</v>
      </c>
      <c r="T123" s="12">
        <v>313</v>
      </c>
      <c r="V123" s="3">
        <v>-4488.9949400166188</v>
      </c>
      <c r="Y123" s="3">
        <v>-0.39211797106325208</v>
      </c>
    </row>
    <row r="124" spans="1:28">
      <c r="A124" s="23"/>
      <c r="B124" s="11">
        <v>-997453.8716580536</v>
      </c>
      <c r="C124" s="1">
        <v>127366.9780975412</v>
      </c>
      <c r="D124" s="1">
        <v>-3003762.3365594717</v>
      </c>
      <c r="E124" s="1">
        <v>-1271232.582584871</v>
      </c>
      <c r="F124" s="1">
        <v>-2387538.113622162</v>
      </c>
      <c r="G124" s="1">
        <v>-372519.4349699053</v>
      </c>
      <c r="H124" s="1">
        <v>-1082062.5115796223</v>
      </c>
      <c r="I124" s="1">
        <v>-521342.94088780507</v>
      </c>
      <c r="J124" s="1">
        <v>191783.19194051466</v>
      </c>
      <c r="K124" s="1">
        <v>659043.98154273641</v>
      </c>
      <c r="L124" s="1">
        <v>-2622586.5442356179</v>
      </c>
      <c r="M124" s="1">
        <v>411244.64372895239</v>
      </c>
      <c r="N124" s="1">
        <v>-743796.72203551815</v>
      </c>
      <c r="O124" s="1">
        <v>42822.698966893367</v>
      </c>
      <c r="P124" s="1">
        <v>10645416.907749932</v>
      </c>
      <c r="Q124" s="12">
        <v>924616.65610645735</v>
      </c>
      <c r="R124" s="11">
        <v>0</v>
      </c>
      <c r="S124" s="1">
        <v>0</v>
      </c>
      <c r="T124" s="96">
        <v>0</v>
      </c>
      <c r="V124" s="3">
        <v>15796.645665731303</v>
      </c>
      <c r="Y124" s="3">
        <v>-0.3453733868024893</v>
      </c>
    </row>
    <row r="125" spans="1:28">
      <c r="A125" s="23"/>
      <c r="B125" s="13">
        <v>341545.461270915</v>
      </c>
      <c r="C125" s="14">
        <v>-896283.09850981273</v>
      </c>
      <c r="D125" s="14">
        <v>-1385499.0648046758</v>
      </c>
      <c r="E125" s="14">
        <v>-1546929.0937156454</v>
      </c>
      <c r="F125" s="14">
        <v>138370.52464431326</v>
      </c>
      <c r="G125" s="14">
        <v>-929508.03986380098</v>
      </c>
      <c r="H125" s="14">
        <v>-75983.299995380643</v>
      </c>
      <c r="I125" s="14">
        <v>-349439.43595151976</v>
      </c>
      <c r="J125" s="14">
        <v>439957.15598232596</v>
      </c>
      <c r="K125" s="14">
        <v>-177986.75289116288</v>
      </c>
      <c r="L125" s="14">
        <v>-498871.69498963346</v>
      </c>
      <c r="M125" s="14">
        <v>-780083.24739283626</v>
      </c>
      <c r="N125" s="14">
        <v>115864.26178567765</v>
      </c>
      <c r="O125" s="14">
        <v>-1325573.3952796846</v>
      </c>
      <c r="P125" s="14">
        <v>924616.65610645735</v>
      </c>
      <c r="Q125" s="15">
        <v>6005803.0636044648</v>
      </c>
      <c r="R125" s="13">
        <v>0</v>
      </c>
      <c r="S125" s="14">
        <v>0</v>
      </c>
      <c r="T125" s="97">
        <v>0</v>
      </c>
      <c r="V125" s="4">
        <v>-12492.818402244282</v>
      </c>
      <c r="Y125" s="3">
        <v>0.2429392152529517</v>
      </c>
    </row>
    <row r="126" spans="1:28">
      <c r="A126" s="260" t="s">
        <v>61</v>
      </c>
      <c r="B126" s="8">
        <v>0</v>
      </c>
      <c r="C126" s="9">
        <v>0</v>
      </c>
      <c r="D126" s="9">
        <v>0</v>
      </c>
      <c r="E126" s="9">
        <v>0</v>
      </c>
      <c r="F126" s="9">
        <v>0</v>
      </c>
      <c r="G126" s="9">
        <v>0</v>
      </c>
      <c r="H126" s="9">
        <v>1</v>
      </c>
      <c r="I126" s="9">
        <v>0</v>
      </c>
      <c r="J126" s="9">
        <v>0</v>
      </c>
      <c r="K126" s="9">
        <v>0</v>
      </c>
      <c r="L126" s="9">
        <v>1</v>
      </c>
      <c r="M126" s="9">
        <v>0</v>
      </c>
      <c r="N126" s="9">
        <v>1</v>
      </c>
      <c r="O126" s="9">
        <v>0</v>
      </c>
      <c r="P126" s="9">
        <v>0</v>
      </c>
      <c r="Q126" s="10">
        <v>0</v>
      </c>
      <c r="R126" s="23">
        <v>0</v>
      </c>
      <c r="S126" s="23">
        <v>0</v>
      </c>
      <c r="T126" s="23">
        <v>0</v>
      </c>
      <c r="Y126" s="3">
        <v>-0.32648342219994869</v>
      </c>
    </row>
    <row r="127" spans="1:28">
      <c r="A127" s="261"/>
      <c r="B127" s="11">
        <v>0</v>
      </c>
      <c r="C127" s="1">
        <v>0</v>
      </c>
      <c r="D127" s="1">
        <v>0</v>
      </c>
      <c r="E127" s="1">
        <v>0</v>
      </c>
      <c r="F127" s="1">
        <v>0</v>
      </c>
      <c r="G127" s="1">
        <v>0</v>
      </c>
      <c r="H127" s="1">
        <v>0</v>
      </c>
      <c r="I127" s="1">
        <v>1</v>
      </c>
      <c r="J127" s="1">
        <v>0</v>
      </c>
      <c r="K127" s="1">
        <v>0</v>
      </c>
      <c r="L127" s="1">
        <v>0</v>
      </c>
      <c r="M127" s="1">
        <v>1</v>
      </c>
      <c r="N127" s="1">
        <v>0</v>
      </c>
      <c r="O127" s="1">
        <v>1</v>
      </c>
      <c r="P127" s="1">
        <v>0</v>
      </c>
      <c r="Q127" s="12">
        <v>0</v>
      </c>
      <c r="R127" s="23">
        <v>0</v>
      </c>
      <c r="S127" s="23">
        <v>0</v>
      </c>
      <c r="T127" s="23">
        <v>0</v>
      </c>
      <c r="Y127" s="3">
        <v>-1.1986399788450965</v>
      </c>
    </row>
    <row r="128" spans="1:28">
      <c r="A128" s="262"/>
      <c r="B128" s="13">
        <v>0</v>
      </c>
      <c r="C128" s="14">
        <v>0</v>
      </c>
      <c r="D128" s="14">
        <v>0</v>
      </c>
      <c r="E128" s="14">
        <v>0</v>
      </c>
      <c r="F128" s="14">
        <v>0</v>
      </c>
      <c r="G128" s="14">
        <v>0</v>
      </c>
      <c r="H128" s="14">
        <f>-AB112</f>
        <v>-490</v>
      </c>
      <c r="I128" s="14">
        <f>AA112</f>
        <v>295</v>
      </c>
      <c r="J128" s="80">
        <v>0</v>
      </c>
      <c r="K128" s="80">
        <v>0</v>
      </c>
      <c r="L128" s="31">
        <f>-AB113</f>
        <v>-560</v>
      </c>
      <c r="M128" s="31">
        <f>AA113</f>
        <v>145</v>
      </c>
      <c r="N128" s="31">
        <f>-AB114</f>
        <v>-272</v>
      </c>
      <c r="O128" s="31">
        <f>AA114</f>
        <v>313</v>
      </c>
      <c r="P128" s="80">
        <v>0</v>
      </c>
      <c r="Q128" s="97">
        <v>0</v>
      </c>
      <c r="R128" s="23">
        <v>0</v>
      </c>
      <c r="S128" s="23">
        <v>0</v>
      </c>
      <c r="T128" s="23">
        <v>0</v>
      </c>
      <c r="Y128" s="3">
        <v>0.86593438951951285</v>
      </c>
    </row>
    <row r="129" spans="2:31">
      <c r="V129" s="23"/>
      <c r="W129" s="23"/>
      <c r="X129" s="23"/>
      <c r="Y129" s="3">
        <v>0.23398421788925816</v>
      </c>
      <c r="Z129" s="23"/>
      <c r="AA129" s="21" t="s">
        <v>62</v>
      </c>
      <c r="AB129" s="87" cm="1">
        <f t="array" ref="AB129">MMULT(TRANSPOSE(_xlfn.ANCHORARRAY(Y119)),S76:S107)</f>
        <v>19.042041973245716</v>
      </c>
      <c r="AC129" s="23"/>
      <c r="AD129" s="23"/>
      <c r="AE129" s="23"/>
    </row>
    <row r="130" spans="2:31">
      <c r="B130" s="269" t="s">
        <v>63</v>
      </c>
      <c r="C130" s="270"/>
      <c r="D130" s="270"/>
      <c r="E130" s="270"/>
      <c r="F130" s="270"/>
      <c r="G130" s="270"/>
      <c r="H130" s="270"/>
      <c r="I130" s="270"/>
      <c r="J130" s="270"/>
      <c r="K130" s="270"/>
      <c r="L130" s="270"/>
      <c r="M130" s="270"/>
      <c r="N130" s="270"/>
      <c r="O130" s="270"/>
      <c r="P130" s="270"/>
      <c r="Q130" s="271"/>
      <c r="R130" s="257" t="s">
        <v>64</v>
      </c>
      <c r="S130" s="258"/>
      <c r="T130" s="259"/>
      <c r="V130" s="69" t="s">
        <v>52</v>
      </c>
      <c r="W130" s="69" t="s">
        <v>65</v>
      </c>
      <c r="X130" s="23"/>
      <c r="Y130" s="3">
        <v>6.6620103302361677E-2</v>
      </c>
      <c r="Z130" s="23"/>
      <c r="AA130" s="21" t="s">
        <v>66</v>
      </c>
      <c r="AB130" s="88" cm="1">
        <f t="array" ref="AB130">MMULT(TRANSPOSE(_xlfn.ANCHORARRAY(Y119)),_xlfn.ANCHORARRAY(Y119))</f>
        <v>19.042041973245823</v>
      </c>
      <c r="AC130" s="23"/>
      <c r="AD130" s="23"/>
      <c r="AE130" s="23"/>
    </row>
    <row r="131" spans="2:31">
      <c r="B131" s="64" cm="1">
        <f t="array" ref="B131:T149">MINVERSE(B110:T128)</f>
        <v>1.9606285605871168E-6</v>
      </c>
      <c r="C131" s="65">
        <v>4.9921648600941478E-7</v>
      </c>
      <c r="D131" s="65">
        <v>1.4413211757309334E-6</v>
      </c>
      <c r="E131" s="65">
        <v>1.2136647158263661E-6</v>
      </c>
      <c r="F131" s="65">
        <v>-8.9222978673991148E-8</v>
      </c>
      <c r="G131" s="65">
        <v>1.2695974010302487E-6</v>
      </c>
      <c r="H131" s="65">
        <v>-2.8286956544983501E-7</v>
      </c>
      <c r="I131" s="65">
        <v>4.7007206786813996E-7</v>
      </c>
      <c r="J131" s="65">
        <v>-4.6776627935447764E-7</v>
      </c>
      <c r="K131" s="65">
        <v>-2.0895471075691615E-7</v>
      </c>
      <c r="L131" s="65">
        <v>1.9520508234950275E-7</v>
      </c>
      <c r="M131" s="65">
        <v>-1.7945212322731445E-8</v>
      </c>
      <c r="N131" s="65">
        <v>8.7664483100330856E-8</v>
      </c>
      <c r="O131" s="65">
        <v>-4.5212685554540879E-7</v>
      </c>
      <c r="P131" s="65">
        <v>7.6946237117409956E-7</v>
      </c>
      <c r="Q131" s="66">
        <v>6.5244569202647744E-7</v>
      </c>
      <c r="R131" s="64">
        <v>3.7106892701248539</v>
      </c>
      <c r="S131" s="65">
        <v>-1.9237133285960799</v>
      </c>
      <c r="T131" s="66">
        <v>7.6641965282712278E-3</v>
      </c>
      <c r="V131" s="92" cm="1">
        <f t="array" ref="V131:V146">-MMULT(B131:Q146,_xlfn.ANCHORARRAY(V110))</f>
        <v>1.2082807275054883E-2</v>
      </c>
      <c r="W131" s="89">
        <f>$AB$131*SQRT(INDEX($B$131:$Q$146,1,1))</f>
        <v>1.4017727750516567E-3</v>
      </c>
      <c r="X131" s="23"/>
      <c r="Y131" s="3">
        <v>9.7226098395477578E-2</v>
      </c>
      <c r="Z131" s="23"/>
      <c r="AA131" s="21" t="s">
        <v>67</v>
      </c>
      <c r="AB131" s="88">
        <f>SQRT(AB130/(32-16+3))</f>
        <v>1.0011057563684223</v>
      </c>
      <c r="AC131" s="23"/>
      <c r="AD131" s="23"/>
      <c r="AE131" s="23"/>
    </row>
    <row r="132" spans="2:31">
      <c r="B132" s="67">
        <v>4.9921648600941456E-7</v>
      </c>
      <c r="C132" s="25">
        <v>5.4199219944621117E-7</v>
      </c>
      <c r="D132" s="25">
        <v>3.0401389982803526E-7</v>
      </c>
      <c r="E132" s="25">
        <v>2.6198040939914572E-7</v>
      </c>
      <c r="F132" s="25">
        <v>-4.2364806283922969E-8</v>
      </c>
      <c r="G132" s="25">
        <v>2.5815573052406352E-7</v>
      </c>
      <c r="H132" s="25">
        <v>-5.880287113442345E-8</v>
      </c>
      <c r="I132" s="25">
        <v>4.0570801715110834E-8</v>
      </c>
      <c r="J132" s="25">
        <v>-1.0570150771956266E-7</v>
      </c>
      <c r="K132" s="25">
        <v>-3.9255970349678515E-8</v>
      </c>
      <c r="L132" s="25">
        <v>3.145237270364213E-8</v>
      </c>
      <c r="M132" s="25">
        <v>1.8038500820139512E-8</v>
      </c>
      <c r="N132" s="25">
        <v>2.7350498430781115E-8</v>
      </c>
      <c r="O132" s="25">
        <v>-5.8609302535250386E-8</v>
      </c>
      <c r="P132" s="25">
        <v>1.4837677060512221E-7</v>
      </c>
      <c r="Q132" s="45">
        <v>2.0788328923174125E-7</v>
      </c>
      <c r="R132" s="67">
        <v>0.42496531654992503</v>
      </c>
      <c r="S132" s="25">
        <v>9.1276689337800879E-2</v>
      </c>
      <c r="T132" s="45">
        <v>9.6436909958379495E-4</v>
      </c>
      <c r="V132" s="93">
        <v>8.4563178876647365E-3</v>
      </c>
      <c r="W132" s="90">
        <f>$AB$131*SQRT(INDEX($B$131:$Q$146,2,2))</f>
        <v>7.3701525411003015E-4</v>
      </c>
      <c r="X132" s="23"/>
      <c r="Y132" s="3">
        <v>-1.1277619813966213</v>
      </c>
      <c r="Z132" s="23"/>
      <c r="AA132" s="23"/>
      <c r="AB132" s="23"/>
      <c r="AC132" s="23"/>
      <c r="AD132" s="23"/>
      <c r="AE132" s="23"/>
    </row>
    <row r="133" spans="2:31">
      <c r="B133" s="67">
        <v>1.441321175730933E-6</v>
      </c>
      <c r="C133" s="25">
        <v>3.0401389982803515E-7</v>
      </c>
      <c r="D133" s="25">
        <v>1.4116255552709739E-6</v>
      </c>
      <c r="E133" s="25">
        <v>8.246122432091092E-7</v>
      </c>
      <c r="F133" s="25">
        <v>-1.0515818158186242E-7</v>
      </c>
      <c r="G133" s="25">
        <v>1.0536970007368514E-6</v>
      </c>
      <c r="H133" s="25">
        <v>-2.4289535876263287E-7</v>
      </c>
      <c r="I133" s="25">
        <v>3.787458925144632E-7</v>
      </c>
      <c r="J133" s="25">
        <v>-3.9181249263319911E-7</v>
      </c>
      <c r="K133" s="25">
        <v>-1.8658382308923182E-7</v>
      </c>
      <c r="L133" s="25">
        <v>1.7163593885309479E-7</v>
      </c>
      <c r="M133" s="25">
        <v>-1.9627310980341008E-8</v>
      </c>
      <c r="N133" s="25">
        <v>7.1259419909536727E-8</v>
      </c>
      <c r="O133" s="25">
        <v>-3.5911858153412245E-7</v>
      </c>
      <c r="P133" s="25">
        <v>6.5659503190581562E-7</v>
      </c>
      <c r="Q133" s="45">
        <v>5.3907582374441122E-7</v>
      </c>
      <c r="R133" s="67">
        <v>3.3751903360064923</v>
      </c>
      <c r="S133" s="25">
        <v>-1.7326159780732904</v>
      </c>
      <c r="T133" s="45">
        <v>6.9028525022840218E-3</v>
      </c>
      <c r="V133" s="93">
        <v>-1.9803630498408456E-3</v>
      </c>
      <c r="W133" s="90">
        <f>$AB$131*SQRT(INDEX($B$131:$Q$146,3,3))</f>
        <v>1.1894322633746947E-3</v>
      </c>
      <c r="X133" s="23"/>
      <c r="Y133" s="3">
        <v>1.1178339261651127</v>
      </c>
      <c r="Z133" s="23"/>
      <c r="AA133" s="69" t="s">
        <v>68</v>
      </c>
      <c r="AB133" s="23"/>
      <c r="AC133" s="23"/>
      <c r="AD133" s="23"/>
      <c r="AE133" s="23"/>
    </row>
    <row r="134" spans="2:31">
      <c r="B134" s="67">
        <v>1.2136647158263665E-6</v>
      </c>
      <c r="C134" s="25">
        <v>2.619804093991454E-7</v>
      </c>
      <c r="D134" s="25">
        <v>8.2461224320910984E-7</v>
      </c>
      <c r="E134" s="25">
        <v>1.6158409188349069E-6</v>
      </c>
      <c r="F134" s="25">
        <v>-1.1714652777817869E-7</v>
      </c>
      <c r="G134" s="25">
        <v>1.1270128035704514E-6</v>
      </c>
      <c r="H134" s="25">
        <v>-2.2868542389812601E-7</v>
      </c>
      <c r="I134" s="25">
        <v>3.3718453646903348E-7</v>
      </c>
      <c r="J134" s="25">
        <v>-3.9623884280867023E-7</v>
      </c>
      <c r="K134" s="25">
        <v>-1.7580277876451181E-7</v>
      </c>
      <c r="L134" s="25">
        <v>1.7972173593291371E-7</v>
      </c>
      <c r="M134" s="25">
        <v>-4.7474757115059909E-8</v>
      </c>
      <c r="N134" s="25">
        <v>4.8963687965211477E-8</v>
      </c>
      <c r="O134" s="25">
        <v>-2.8970977935397381E-7</v>
      </c>
      <c r="P134" s="25">
        <v>5.5468203859610719E-7</v>
      </c>
      <c r="Q134" s="45">
        <v>6.5265086278481379E-7</v>
      </c>
      <c r="R134" s="67">
        <v>2.370859134436432</v>
      </c>
      <c r="S134" s="25">
        <v>-1.0170879436943778</v>
      </c>
      <c r="T134" s="45">
        <v>5.3801644503096019E-3</v>
      </c>
      <c r="V134" s="93">
        <v>5.8803900368544233E-3</v>
      </c>
      <c r="W134" s="90">
        <f>$AB$131*SQRT(INDEX($B$131:$Q$146,4,4))</f>
        <v>1.2725629050430887E-3</v>
      </c>
      <c r="X134" s="23"/>
      <c r="Y134" s="3">
        <v>0.24178000297646207</v>
      </c>
      <c r="Z134" s="23"/>
      <c r="AA134" s="2" cm="1">
        <f t="array" ref="AA134:AA149">MMULT(_xlfn.ANCHORARRAY(U92),_xlfn.ANCHORARRAY(Y119))</f>
        <v>1.2363443602225743E-11</v>
      </c>
      <c r="AB134" s="23"/>
      <c r="AC134" s="23"/>
      <c r="AD134" s="23"/>
      <c r="AE134" s="23"/>
    </row>
    <row r="135" spans="2:31">
      <c r="B135" s="67">
        <v>-8.9222978673991386E-8</v>
      </c>
      <c r="C135" s="25">
        <v>-4.2364806283923154E-8</v>
      </c>
      <c r="D135" s="25">
        <v>-1.0515818158186259E-7</v>
      </c>
      <c r="E135" s="25">
        <v>-1.1714652777817878E-7</v>
      </c>
      <c r="F135" s="25">
        <v>4.1809033973760796E-7</v>
      </c>
      <c r="G135" s="25">
        <v>-7.5220564041263993E-8</v>
      </c>
      <c r="H135" s="25">
        <v>4.1373588829751832E-8</v>
      </c>
      <c r="I135" s="25">
        <v>2.1961864717768528E-8</v>
      </c>
      <c r="J135" s="25">
        <v>3.4543227492046524E-8</v>
      </c>
      <c r="K135" s="25">
        <v>9.0168730483397019E-9</v>
      </c>
      <c r="L135" s="25">
        <v>-1.7834522999402611E-8</v>
      </c>
      <c r="M135" s="25">
        <v>-2.5466745868915683E-8</v>
      </c>
      <c r="N135" s="25">
        <v>-2.3539065830349053E-8</v>
      </c>
      <c r="O135" s="25">
        <v>3.5048811511472577E-9</v>
      </c>
      <c r="P135" s="25">
        <v>4.6306742516257538E-8</v>
      </c>
      <c r="Q135" s="45">
        <v>-8.8108316043533303E-8</v>
      </c>
      <c r="R135" s="67">
        <v>-0.51659729976652102</v>
      </c>
      <c r="S135" s="25">
        <v>0.48411328799106662</v>
      </c>
      <c r="T135" s="45">
        <v>-1.9287381991675951E-3</v>
      </c>
      <c r="V135" s="93">
        <v>9.8946896998073613E-3</v>
      </c>
      <c r="W135" s="90">
        <f>$AB$131*SQRT(INDEX($B$131:$Q$146,5,5))</f>
        <v>6.4731403742461393E-4</v>
      </c>
      <c r="X135" s="23"/>
      <c r="Y135" s="3">
        <v>-1.1756864680412598</v>
      </c>
      <c r="Z135" s="23"/>
      <c r="AA135" s="3">
        <v>-1.5347723092418164E-12</v>
      </c>
      <c r="AB135" s="23"/>
      <c r="AC135" s="23"/>
      <c r="AD135" s="23"/>
      <c r="AE135" s="23"/>
    </row>
    <row r="136" spans="2:31">
      <c r="B136" s="67">
        <v>1.26959740103025E-6</v>
      </c>
      <c r="C136" s="25">
        <v>2.5815573052406373E-7</v>
      </c>
      <c r="D136" s="25">
        <v>1.0536970007368527E-6</v>
      </c>
      <c r="E136" s="25">
        <v>1.1270128035704521E-6</v>
      </c>
      <c r="F136" s="25">
        <v>-7.5220564041263781E-8</v>
      </c>
      <c r="G136" s="25">
        <v>1.3520623538605932E-6</v>
      </c>
      <c r="H136" s="25">
        <v>-2.5890499482321378E-7</v>
      </c>
      <c r="I136" s="25">
        <v>4.0250724130756208E-7</v>
      </c>
      <c r="J136" s="25">
        <v>-4.1099877052651351E-7</v>
      </c>
      <c r="K136" s="25">
        <v>-1.9490843539408399E-7</v>
      </c>
      <c r="L136" s="25">
        <v>2.0052107324841533E-7</v>
      </c>
      <c r="M136" s="25">
        <v>-5.0916134331064489E-8</v>
      </c>
      <c r="N136" s="25">
        <v>5.8383921574797359E-8</v>
      </c>
      <c r="O136" s="25">
        <v>-3.5159110697649783E-7</v>
      </c>
      <c r="P136" s="25">
        <v>5.9628874506396745E-7</v>
      </c>
      <c r="Q136" s="45">
        <v>5.9467223632150954E-7</v>
      </c>
      <c r="R136" s="67">
        <v>3.0418570026731597</v>
      </c>
      <c r="S136" s="25">
        <v>-1.3992826447399573</v>
      </c>
      <c r="T136" s="45">
        <v>6.9028525022840218E-3</v>
      </c>
      <c r="V136" s="93">
        <v>-1.0709446946740699E-3</v>
      </c>
      <c r="W136" s="90">
        <f>$AB$131*SQRT(INDEX($B$131:$Q$146,6,6))</f>
        <v>1.1640679147455037E-3</v>
      </c>
      <c r="X136" s="23"/>
      <c r="Y136" s="3">
        <v>0.19743338155693757</v>
      </c>
      <c r="Z136" s="23"/>
      <c r="AA136" s="3">
        <v>-2.3646862246096134E-11</v>
      </c>
      <c r="AB136" s="23"/>
      <c r="AC136" s="23"/>
      <c r="AD136" s="23"/>
      <c r="AE136" s="23"/>
    </row>
    <row r="137" spans="2:31">
      <c r="B137" s="67">
        <v>-2.8286956544983548E-7</v>
      </c>
      <c r="C137" s="25">
        <v>-5.8802871134423734E-8</v>
      </c>
      <c r="D137" s="25">
        <v>-2.4289535876263319E-7</v>
      </c>
      <c r="E137" s="25">
        <v>-2.2868542389812607E-7</v>
      </c>
      <c r="F137" s="25">
        <v>4.1373588829751819E-8</v>
      </c>
      <c r="G137" s="25">
        <v>-2.5890499482321394E-7</v>
      </c>
      <c r="H137" s="25">
        <v>1.4587227330718815E-7</v>
      </c>
      <c r="I137" s="25">
        <v>-6.111130170914005E-8</v>
      </c>
      <c r="J137" s="25">
        <v>1.2996790709235682E-7</v>
      </c>
      <c r="K137" s="25">
        <v>1.0121716166597897E-7</v>
      </c>
      <c r="L137" s="25">
        <v>-1.0213652592641897E-7</v>
      </c>
      <c r="M137" s="25">
        <v>-7.6478135916306562E-9</v>
      </c>
      <c r="N137" s="25">
        <v>-4.3735747380768902E-8</v>
      </c>
      <c r="O137" s="25">
        <v>6.8759115300770806E-8</v>
      </c>
      <c r="P137" s="25">
        <v>-1.3514846689730338E-7</v>
      </c>
      <c r="Q137" s="45">
        <v>-1.2953195216857481E-7</v>
      </c>
      <c r="R137" s="67">
        <v>-1.2546949548269213</v>
      </c>
      <c r="S137" s="25">
        <v>0.90452745914120414</v>
      </c>
      <c r="T137" s="45">
        <v>-3.6036950563394562E-3</v>
      </c>
      <c r="V137" s="93">
        <v>2.2143653573781568E-3</v>
      </c>
      <c r="W137" s="90">
        <f>$AB$131*SQRT(INDEX($B$131:$Q$146,7,7))</f>
        <v>3.8235461296442049E-4</v>
      </c>
      <c r="X137" s="23"/>
      <c r="Y137" s="3">
        <v>0.64004277079065131</v>
      </c>
      <c r="Z137" s="23"/>
      <c r="AA137" s="3">
        <v>-1.5916157281026244E-12</v>
      </c>
      <c r="AB137" s="23"/>
      <c r="AC137" s="23"/>
      <c r="AD137" s="23"/>
      <c r="AE137" s="23"/>
    </row>
    <row r="138" spans="2:31">
      <c r="B138" s="67">
        <v>4.7007206786814043E-7</v>
      </c>
      <c r="C138" s="25">
        <v>4.0570801715110794E-8</v>
      </c>
      <c r="D138" s="25">
        <v>3.7874589251446373E-7</v>
      </c>
      <c r="E138" s="25">
        <v>3.3718453646903374E-7</v>
      </c>
      <c r="F138" s="25">
        <v>2.1961864717768445E-8</v>
      </c>
      <c r="G138" s="25">
        <v>4.0250724130756181E-7</v>
      </c>
      <c r="H138" s="25">
        <v>-6.1111301709140103E-8</v>
      </c>
      <c r="I138" s="25">
        <v>2.7614987031893993E-7</v>
      </c>
      <c r="J138" s="25">
        <v>-1.3868165084175813E-7</v>
      </c>
      <c r="K138" s="25">
        <v>-4.6676896023237967E-8</v>
      </c>
      <c r="L138" s="25">
        <v>6.3937770367517391E-8</v>
      </c>
      <c r="M138" s="25">
        <v>-5.9895903327340873E-8</v>
      </c>
      <c r="N138" s="25">
        <v>-2.8264686583776787E-9</v>
      </c>
      <c r="O138" s="25">
        <v>-2.1625396699159901E-7</v>
      </c>
      <c r="P138" s="25">
        <v>2.2774941937884747E-7</v>
      </c>
      <c r="Q138" s="45">
        <v>1.5419732953429421E-7</v>
      </c>
      <c r="R138" s="67">
        <v>1.1630629716103265</v>
      </c>
      <c r="S138" s="25">
        <v>-0.32913748181233676</v>
      </c>
      <c r="T138" s="45">
        <v>2.6393259567556574E-3</v>
      </c>
      <c r="V138" s="93">
        <v>2.5940426722678841E-3</v>
      </c>
      <c r="W138" s="90">
        <f>$AB$131*SQRT(INDEX($B$131:$Q$146,8,8))</f>
        <v>5.2608071331506398E-4</v>
      </c>
      <c r="X138" s="23"/>
      <c r="Y138" s="3">
        <v>-0.78936848880628896</v>
      </c>
      <c r="Z138" s="23"/>
      <c r="AA138" s="3">
        <v>9.3791641120333225E-13</v>
      </c>
      <c r="AB138" s="23"/>
      <c r="AC138" s="23"/>
      <c r="AD138" s="23"/>
      <c r="AE138" s="23"/>
    </row>
    <row r="139" spans="2:31">
      <c r="B139" s="67">
        <v>-4.677662793544787E-7</v>
      </c>
      <c r="C139" s="25">
        <v>-1.0570150771956292E-7</v>
      </c>
      <c r="D139" s="25">
        <v>-3.9181249263320022E-7</v>
      </c>
      <c r="E139" s="25">
        <v>-3.962388428086705E-7</v>
      </c>
      <c r="F139" s="25">
        <v>3.4543227492046875E-8</v>
      </c>
      <c r="G139" s="25">
        <v>-4.1099877052651457E-7</v>
      </c>
      <c r="H139" s="25">
        <v>1.2996790709235729E-7</v>
      </c>
      <c r="I139" s="25">
        <v>-1.3868165084175784E-7</v>
      </c>
      <c r="J139" s="25">
        <v>7.6293887693002336E-7</v>
      </c>
      <c r="K139" s="25">
        <v>9.3451577526200289E-8</v>
      </c>
      <c r="L139" s="25">
        <v>-9.7440370877696913E-8</v>
      </c>
      <c r="M139" s="25">
        <v>1.3250552272585061E-8</v>
      </c>
      <c r="N139" s="25">
        <v>-3.252753621466034E-8</v>
      </c>
      <c r="O139" s="25">
        <v>1.2543109856917318E-7</v>
      </c>
      <c r="P139" s="25">
        <v>-2.2586269005053131E-7</v>
      </c>
      <c r="Q139" s="45">
        <v>-2.488599430174804E-7</v>
      </c>
      <c r="R139" s="67">
        <v>-2.1940919703583392</v>
      </c>
      <c r="S139" s="25">
        <v>1.4396000406050149</v>
      </c>
      <c r="T139" s="45">
        <v>-5.7354583291036416E-3</v>
      </c>
      <c r="V139" s="93">
        <v>2.3367067858228547E-3</v>
      </c>
      <c r="W139" s="90">
        <f>$AB$131*SQRT(INDEX($B$131:$Q$146,9,9))</f>
        <v>8.744295619528056E-4</v>
      </c>
      <c r="X139" s="23"/>
      <c r="Y139" s="3">
        <v>-1.1539133717322656</v>
      </c>
      <c r="Z139" s="23"/>
      <c r="AA139" s="3">
        <v>1.9838353182421997E-11</v>
      </c>
      <c r="AB139" s="23"/>
      <c r="AC139" s="23"/>
      <c r="AD139" s="23"/>
      <c r="AE139" s="23"/>
    </row>
    <row r="140" spans="2:31">
      <c r="B140" s="67">
        <v>-2.0895471075691609E-7</v>
      </c>
      <c r="C140" s="25">
        <v>-3.9255970349678694E-8</v>
      </c>
      <c r="D140" s="25">
        <v>-1.8658382308923171E-7</v>
      </c>
      <c r="E140" s="25">
        <v>-1.7580277876451136E-7</v>
      </c>
      <c r="F140" s="25">
        <v>9.0168730483396258E-9</v>
      </c>
      <c r="G140" s="25">
        <v>-1.9490843539408401E-7</v>
      </c>
      <c r="H140" s="25">
        <v>1.0121716166597891E-7</v>
      </c>
      <c r="I140" s="25">
        <v>-4.6676896023237901E-8</v>
      </c>
      <c r="J140" s="25">
        <v>9.3451577526200143E-8</v>
      </c>
      <c r="K140" s="25">
        <v>3.4158532518098718E-7</v>
      </c>
      <c r="L140" s="25">
        <v>-8.5733062237033254E-8</v>
      </c>
      <c r="M140" s="25">
        <v>2.0630742913692695E-8</v>
      </c>
      <c r="N140" s="25">
        <v>-1.5484099428945416E-8</v>
      </c>
      <c r="O140" s="25">
        <v>2.6046153109545315E-8</v>
      </c>
      <c r="P140" s="25">
        <v>-1.2770187125298227E-7</v>
      </c>
      <c r="Q140" s="45">
        <v>-8.9566264671374925E-8</v>
      </c>
      <c r="R140" s="67">
        <v>-0.84993063309985351</v>
      </c>
      <c r="S140" s="25">
        <v>0.81744662132440005</v>
      </c>
      <c r="T140" s="45">
        <v>-1.9287381991675932E-3</v>
      </c>
      <c r="V140" s="93">
        <v>2.6821478042208949E-3</v>
      </c>
      <c r="W140" s="90">
        <f>$AB$131*SQRT(INDEX($B$131:$Q$146,10,10))</f>
        <v>5.8509927630594997E-4</v>
      </c>
      <c r="X140" s="23"/>
      <c r="Y140" s="3">
        <v>-1.0086200777845811</v>
      </c>
      <c r="Z140" s="23"/>
      <c r="AA140" s="3">
        <v>-1.9255708139098715E-11</v>
      </c>
      <c r="AB140" s="23"/>
      <c r="AC140" s="23"/>
      <c r="AD140" s="23"/>
      <c r="AE140" s="23"/>
    </row>
    <row r="141" spans="2:31">
      <c r="B141" s="67">
        <v>1.9520508234950269E-7</v>
      </c>
      <c r="C141" s="25">
        <v>3.1452372703642037E-8</v>
      </c>
      <c r="D141" s="25">
        <v>1.7163593885309485E-7</v>
      </c>
      <c r="E141" s="25">
        <v>1.7972173593291369E-7</v>
      </c>
      <c r="F141" s="25">
        <v>-1.7834522999402512E-8</v>
      </c>
      <c r="G141" s="25">
        <v>2.0052107324841502E-7</v>
      </c>
      <c r="H141" s="25">
        <v>-1.0213652592641879E-7</v>
      </c>
      <c r="I141" s="25">
        <v>6.3937770367517418E-8</v>
      </c>
      <c r="J141" s="25">
        <v>-9.7440370877696886E-8</v>
      </c>
      <c r="K141" s="25">
        <v>-8.5733062237033161E-8</v>
      </c>
      <c r="L141" s="25">
        <v>9.1745022704555169E-8</v>
      </c>
      <c r="M141" s="25">
        <v>-3.1593355675999341E-8</v>
      </c>
      <c r="N141" s="25">
        <v>1.0391503221863585E-8</v>
      </c>
      <c r="O141" s="25">
        <v>-3.2344414691518063E-8</v>
      </c>
      <c r="P141" s="25">
        <v>1.0682951734163578E-7</v>
      </c>
      <c r="Q141" s="45">
        <v>9.7680692326216112E-8</v>
      </c>
      <c r="R141" s="67">
        <v>0.15440056847020411</v>
      </c>
      <c r="S141" s="25">
        <v>0.10191858694548848</v>
      </c>
      <c r="T141" s="45">
        <v>-4.0605014719318129E-4</v>
      </c>
      <c r="V141" s="93">
        <v>-1.043032149900424E-3</v>
      </c>
      <c r="W141" s="90">
        <f>$AB$131*SQRT(INDEX($B$131:$Q$146,11,11))</f>
        <v>3.0322933592775259E-4</v>
      </c>
      <c r="X141" s="23"/>
      <c r="Y141" s="3">
        <v>-0.30447700319067472</v>
      </c>
      <c r="Z141" s="23"/>
      <c r="AA141" s="3">
        <v>5.6843418860808015E-12</v>
      </c>
      <c r="AB141" s="23"/>
      <c r="AC141" s="23"/>
      <c r="AD141" s="23"/>
      <c r="AE141" s="23"/>
    </row>
    <row r="142" spans="2:31">
      <c r="B142" s="67">
        <v>-1.7945212322731455E-8</v>
      </c>
      <c r="C142" s="25">
        <v>1.8038500820139446E-8</v>
      </c>
      <c r="D142" s="25">
        <v>-1.9627310980340982E-8</v>
      </c>
      <c r="E142" s="25">
        <v>-4.7474757115059558E-8</v>
      </c>
      <c r="F142" s="25">
        <v>-2.546674586891561E-8</v>
      </c>
      <c r="G142" s="25">
        <v>-5.0916134331064628E-8</v>
      </c>
      <c r="H142" s="25">
        <v>-7.6478135916305074E-9</v>
      </c>
      <c r="I142" s="25">
        <v>-5.9895903327340834E-8</v>
      </c>
      <c r="J142" s="25">
        <v>1.3250552272585154E-8</v>
      </c>
      <c r="K142" s="25">
        <v>2.063074291369287E-8</v>
      </c>
      <c r="L142" s="25">
        <v>-3.1593355675999334E-8</v>
      </c>
      <c r="M142" s="25">
        <v>7.0501405104496182E-8</v>
      </c>
      <c r="N142" s="25">
        <v>3.9241169267629977E-8</v>
      </c>
      <c r="O142" s="25">
        <v>-1.060550177715532E-8</v>
      </c>
      <c r="P142" s="25">
        <v>-3.2166814045227053E-8</v>
      </c>
      <c r="Q142" s="45">
        <v>-1.5890629457250898E-8</v>
      </c>
      <c r="R142" s="67">
        <v>-0.38023212533414547</v>
      </c>
      <c r="S142" s="25">
        <v>0.54991033059249483</v>
      </c>
      <c r="T142" s="45">
        <v>-8.6285656278550229E-4</v>
      </c>
      <c r="V142" s="93">
        <v>-1.363280695463906E-3</v>
      </c>
      <c r="W142" s="90">
        <f>$AB$131*SQRT(INDEX($B$131:$Q$146,12,12))</f>
        <v>2.6581460844302189E-4</v>
      </c>
      <c r="X142" s="23"/>
      <c r="Y142" s="3">
        <v>-0.53237683918962553</v>
      </c>
      <c r="Z142" s="23"/>
      <c r="AA142" s="3">
        <v>2.0293100533308461E-11</v>
      </c>
      <c r="AB142" s="23"/>
      <c r="AC142" s="23"/>
      <c r="AD142" s="23"/>
      <c r="AE142" s="23"/>
    </row>
    <row r="143" spans="2:31">
      <c r="B143" s="67">
        <v>8.7664483100332868E-8</v>
      </c>
      <c r="C143" s="25">
        <v>2.7350498430781452E-8</v>
      </c>
      <c r="D143" s="25">
        <v>7.12594199095385E-8</v>
      </c>
      <c r="E143" s="25">
        <v>4.8963687965212391E-8</v>
      </c>
      <c r="F143" s="25">
        <v>-2.3539065830349148E-8</v>
      </c>
      <c r="G143" s="25">
        <v>5.8383921574798576E-8</v>
      </c>
      <c r="H143" s="25">
        <v>-4.3735747380769074E-8</v>
      </c>
      <c r="I143" s="25">
        <v>-2.8264686583772853E-9</v>
      </c>
      <c r="J143" s="25">
        <v>-3.2527536214660122E-8</v>
      </c>
      <c r="K143" s="25">
        <v>-1.5484099428945647E-8</v>
      </c>
      <c r="L143" s="25">
        <v>1.0391503221863739E-8</v>
      </c>
      <c r="M143" s="25">
        <v>3.9241169267629944E-8</v>
      </c>
      <c r="N143" s="25">
        <v>3.3344244158905163E-8</v>
      </c>
      <c r="O143" s="25">
        <v>-3.6414700609252663E-8</v>
      </c>
      <c r="P143" s="25">
        <v>2.8318949555667342E-8</v>
      </c>
      <c r="Q143" s="45">
        <v>3.1851259842358336E-8</v>
      </c>
      <c r="R143" s="67">
        <v>2.1002943863567158</v>
      </c>
      <c r="S143" s="25">
        <v>-1.0064460460866924</v>
      </c>
      <c r="T143" s="45">
        <v>4.0097452035326372E-3</v>
      </c>
      <c r="V143" s="93">
        <v>-1.1713332074777259E-3</v>
      </c>
      <c r="W143" s="90">
        <f>$AB$131*SQRT(INDEX($B$131:$Q$146,13,13))</f>
        <v>1.8280597952330556E-4</v>
      </c>
      <c r="X143" s="23"/>
      <c r="Y143" s="3">
        <v>-0.52840266872971764</v>
      </c>
      <c r="Z143" s="23"/>
      <c r="AA143" s="3">
        <v>6.1390892369672656E-12</v>
      </c>
      <c r="AB143" s="23"/>
      <c r="AC143" s="23"/>
      <c r="AD143" s="23"/>
      <c r="AE143" s="23"/>
    </row>
    <row r="144" spans="2:31">
      <c r="B144" s="67">
        <v>-4.5212685554540815E-7</v>
      </c>
      <c r="C144" s="25">
        <v>-5.8609302535250386E-8</v>
      </c>
      <c r="D144" s="25">
        <v>-3.5911858153412187E-7</v>
      </c>
      <c r="E144" s="25">
        <v>-2.8970977935397291E-7</v>
      </c>
      <c r="F144" s="25">
        <v>3.5048811511471212E-9</v>
      </c>
      <c r="G144" s="25">
        <v>-3.5159110697649709E-7</v>
      </c>
      <c r="H144" s="25">
        <v>6.8759115300770581E-8</v>
      </c>
      <c r="I144" s="25">
        <v>-2.1625396699159864E-7</v>
      </c>
      <c r="J144" s="25">
        <v>1.2543109856917259E-7</v>
      </c>
      <c r="K144" s="25">
        <v>2.6046153109545308E-8</v>
      </c>
      <c r="L144" s="25">
        <v>-3.2344414691518037E-8</v>
      </c>
      <c r="M144" s="25">
        <v>-1.0605501777155426E-8</v>
      </c>
      <c r="N144" s="25">
        <v>-3.6414700609252147E-8</v>
      </c>
      <c r="O144" s="25">
        <v>2.268594687687542E-7</v>
      </c>
      <c r="P144" s="25">
        <v>-1.9558260533362027E-7</v>
      </c>
      <c r="Q144" s="45">
        <v>-1.3830670007704288E-7</v>
      </c>
      <c r="R144" s="67">
        <v>-0.78283084627618083</v>
      </c>
      <c r="S144" s="25">
        <v>0.77922715121984187</v>
      </c>
      <c r="T144" s="45">
        <v>-1.7764693939701513E-3</v>
      </c>
      <c r="V144" s="93">
        <v>-1.2307619768039634E-3</v>
      </c>
      <c r="W144" s="90">
        <f>$AB$131*SQRT(INDEX($B$131:$Q$146,14,14))</f>
        <v>4.7682433741770683E-4</v>
      </c>
      <c r="X144" s="23"/>
      <c r="Y144" s="3">
        <v>-0.13887670606678437</v>
      </c>
      <c r="Z144" s="23"/>
      <c r="AA144" s="3">
        <v>-5.0306425691815093E-12</v>
      </c>
      <c r="AB144" s="23"/>
      <c r="AC144" s="23"/>
      <c r="AD144" s="23"/>
      <c r="AE144" s="23"/>
    </row>
    <row r="145" spans="1:72">
      <c r="B145" s="67">
        <v>7.6946237117409945E-7</v>
      </c>
      <c r="C145" s="25">
        <v>1.4837677060512218E-7</v>
      </c>
      <c r="D145" s="25">
        <v>6.5659503190581594E-7</v>
      </c>
      <c r="E145" s="25">
        <v>5.5468203859610676E-7</v>
      </c>
      <c r="F145" s="25">
        <v>4.6306742516257737E-8</v>
      </c>
      <c r="G145" s="25">
        <v>5.9628874506396682E-7</v>
      </c>
      <c r="H145" s="25">
        <v>-1.3514846689730301E-7</v>
      </c>
      <c r="I145" s="25">
        <v>2.2774941937884731E-7</v>
      </c>
      <c r="J145" s="25">
        <v>-2.2586269005053073E-7</v>
      </c>
      <c r="K145" s="25">
        <v>-1.2770187125298221E-7</v>
      </c>
      <c r="L145" s="25">
        <v>1.068295173416358E-7</v>
      </c>
      <c r="M145" s="25">
        <v>-3.2166814045226993E-8</v>
      </c>
      <c r="N145" s="25">
        <v>2.8318949555666597E-8</v>
      </c>
      <c r="O145" s="25">
        <v>-1.9558260533362045E-7</v>
      </c>
      <c r="P145" s="25">
        <v>4.6258719829869464E-7</v>
      </c>
      <c r="Q145" s="45">
        <v>2.7801379600729019E-7</v>
      </c>
      <c r="R145" s="67">
        <v>1.6708557506852069</v>
      </c>
      <c r="S145" s="25">
        <v>-0.76184143741752008</v>
      </c>
      <c r="T145" s="45">
        <v>3.0352248502690028E-3</v>
      </c>
      <c r="V145" s="93">
        <v>1.5037599485182721E-3</v>
      </c>
      <c r="W145" s="90">
        <f>$AB$131*SQRT(INDEX($B$131:$Q$146,15,15))</f>
        <v>6.8088969839738404E-4</v>
      </c>
      <c r="X145" s="23"/>
      <c r="Y145" s="3">
        <v>-0.67046389982533294</v>
      </c>
      <c r="Z145" s="23"/>
      <c r="AA145" s="3">
        <v>-1.1596057447604835E-11</v>
      </c>
      <c r="AB145" s="23"/>
      <c r="AC145" s="23"/>
      <c r="AD145" s="23"/>
      <c r="AE145" s="23"/>
    </row>
    <row r="146" spans="1:72">
      <c r="B146" s="68">
        <v>6.5244569202647829E-7</v>
      </c>
      <c r="C146" s="32">
        <v>2.0788328923174123E-7</v>
      </c>
      <c r="D146" s="32">
        <v>5.3907582374441207E-7</v>
      </c>
      <c r="E146" s="32">
        <v>6.5265086278481432E-7</v>
      </c>
      <c r="F146" s="32">
        <v>-8.8108316043533184E-8</v>
      </c>
      <c r="G146" s="32">
        <v>5.9467223632150954E-7</v>
      </c>
      <c r="H146" s="32">
        <v>-1.2953195216857465E-7</v>
      </c>
      <c r="I146" s="32">
        <v>1.5419732953429419E-7</v>
      </c>
      <c r="J146" s="32">
        <v>-2.4885994301748003E-7</v>
      </c>
      <c r="K146" s="32">
        <v>-8.9566264671375004E-8</v>
      </c>
      <c r="L146" s="32">
        <v>9.7680692326216245E-8</v>
      </c>
      <c r="M146" s="32">
        <v>-1.5890629457250951E-8</v>
      </c>
      <c r="N146" s="32">
        <v>3.1851259842357939E-8</v>
      </c>
      <c r="O146" s="32">
        <v>-1.3830670007704333E-7</v>
      </c>
      <c r="P146" s="32">
        <v>2.7801379600729056E-7</v>
      </c>
      <c r="Q146" s="49">
        <v>5.0197426592990956E-7</v>
      </c>
      <c r="R146" s="68">
        <v>1.4046222041755456</v>
      </c>
      <c r="S146" s="32">
        <v>-0.46672757418874422</v>
      </c>
      <c r="T146" s="49">
        <v>3.1874936554664429E-3</v>
      </c>
      <c r="V146" s="94">
        <v>2.6620093763255661E-3</v>
      </c>
      <c r="W146" s="91">
        <f>$AB$131*SQRT(INDEX($B$131:$Q$146,16,16))</f>
        <v>7.0928485263332963E-4</v>
      </c>
      <c r="X146" s="23"/>
      <c r="Y146" s="3">
        <v>-0.34074162600982838</v>
      </c>
      <c r="Z146" s="23"/>
      <c r="AA146" s="3">
        <v>2.2566837287740782E-11</v>
      </c>
      <c r="AB146" s="23"/>
      <c r="AC146" s="23"/>
      <c r="AD146" s="23"/>
      <c r="AE146" s="23"/>
    </row>
    <row r="147" spans="1:72" ht="25.75" customHeight="1">
      <c r="A147" s="260" t="s">
        <v>69</v>
      </c>
      <c r="B147" s="98">
        <v>3.7106892701248468</v>
      </c>
      <c r="C147" s="52">
        <v>0.42496531654992392</v>
      </c>
      <c r="D147" s="52">
        <v>3.3751903360064861</v>
      </c>
      <c r="E147" s="52">
        <v>2.3708591344364249</v>
      </c>
      <c r="F147" s="52">
        <v>-0.51659729976651836</v>
      </c>
      <c r="G147" s="52">
        <v>3.0418570026731513</v>
      </c>
      <c r="H147" s="52">
        <v>-1.2546949548269168</v>
      </c>
      <c r="I147" s="52">
        <v>1.1630629716103233</v>
      </c>
      <c r="J147" s="52">
        <v>-2.194091970358333</v>
      </c>
      <c r="K147" s="52">
        <v>-0.84993063309985151</v>
      </c>
      <c r="L147" s="52">
        <v>0.15440056847020411</v>
      </c>
      <c r="M147" s="52">
        <v>-0.38023212533414452</v>
      </c>
      <c r="N147" s="52">
        <v>2.1002943863567114</v>
      </c>
      <c r="O147" s="52">
        <v>-0.78283084627617949</v>
      </c>
      <c r="P147" s="37">
        <v>1.670855750685204</v>
      </c>
      <c r="Q147" s="53">
        <v>1.4046222041755418</v>
      </c>
      <c r="R147">
        <v>-1.4336282279538633E-8</v>
      </c>
      <c r="S147">
        <v>6.336713938672806E-9</v>
      </c>
      <c r="T147">
        <v>-3.2330427615857816E-11</v>
      </c>
      <c r="V147" s="23"/>
      <c r="W147" s="23"/>
      <c r="X147" s="23"/>
      <c r="Y147" s="3">
        <v>-1.4103811266597659</v>
      </c>
      <c r="Z147" s="23"/>
      <c r="AA147" s="3">
        <v>5.7900351180251164E-12</v>
      </c>
      <c r="AB147" s="23"/>
      <c r="AC147" s="23"/>
      <c r="AD147" s="23"/>
      <c r="AE147" s="23"/>
    </row>
    <row r="148" spans="1:72">
      <c r="A148" s="261"/>
      <c r="B148" s="99">
        <v>-1.923713328596075</v>
      </c>
      <c r="C148" s="43">
        <v>9.1276689337801586E-2</v>
      </c>
      <c r="D148" s="43">
        <v>-1.732615978073287</v>
      </c>
      <c r="E148" s="43">
        <v>-1.0170879436943741</v>
      </c>
      <c r="F148" s="43">
        <v>0.48411328799106529</v>
      </c>
      <c r="G148" s="43">
        <v>-1.3992826447399531</v>
      </c>
      <c r="H148" s="43">
        <v>0.9045274591412017</v>
      </c>
      <c r="I148" s="43">
        <v>-0.32913748181233538</v>
      </c>
      <c r="J148" s="43">
        <v>1.4396000406050118</v>
      </c>
      <c r="K148" s="43">
        <v>0.81744662132439871</v>
      </c>
      <c r="L148" s="43">
        <v>0.10191858694548875</v>
      </c>
      <c r="M148" s="43">
        <v>0.54991033059249439</v>
      </c>
      <c r="N148" s="43">
        <v>-1.0064460460866897</v>
      </c>
      <c r="O148" s="43">
        <v>0.77922715121984143</v>
      </c>
      <c r="P148" s="25">
        <v>-0.76184143741751842</v>
      </c>
      <c r="Q148" s="45">
        <v>-0.46672757418874222</v>
      </c>
      <c r="R148">
        <v>6.3490485739541803E-9</v>
      </c>
      <c r="S148">
        <v>-2.4680478805809708E-9</v>
      </c>
      <c r="T148">
        <v>1.436849484647903E-11</v>
      </c>
      <c r="V148" s="23"/>
      <c r="W148" s="23"/>
      <c r="X148" s="23"/>
      <c r="Y148" s="3">
        <v>-0.80014838011941536</v>
      </c>
      <c r="Z148" s="23"/>
      <c r="AA148" s="3">
        <v>-8.7538865045644343E-12</v>
      </c>
      <c r="AB148" s="23"/>
      <c r="AE148" s="23"/>
    </row>
    <row r="149" spans="1:72">
      <c r="A149" s="262"/>
      <c r="B149" s="100">
        <v>7.664196528271214E-3</v>
      </c>
      <c r="C149" s="48">
        <v>9.6436909958379138E-4</v>
      </c>
      <c r="D149" s="48">
        <v>6.9028525022840105E-3</v>
      </c>
      <c r="E149" s="48">
        <v>5.3801644503095889E-3</v>
      </c>
      <c r="F149" s="48">
        <v>-1.928738199167591E-3</v>
      </c>
      <c r="G149" s="48">
        <v>6.9028525022840079E-3</v>
      </c>
      <c r="H149" s="48">
        <v>-3.6036950563394488E-3</v>
      </c>
      <c r="I149" s="48">
        <v>2.6393259567556514E-3</v>
      </c>
      <c r="J149" s="48">
        <v>-5.7354583291036321E-3</v>
      </c>
      <c r="K149" s="48">
        <v>-1.9287381991675908E-3</v>
      </c>
      <c r="L149" s="48">
        <v>-4.0605014719318264E-4</v>
      </c>
      <c r="M149" s="48">
        <v>-8.6285656278550218E-4</v>
      </c>
      <c r="N149" s="48">
        <v>4.0097452035326294E-3</v>
      </c>
      <c r="O149" s="48">
        <v>-1.7764693939701507E-3</v>
      </c>
      <c r="P149" s="32">
        <v>3.0352248502689967E-3</v>
      </c>
      <c r="Q149" s="49">
        <v>3.187493655466435E-3</v>
      </c>
      <c r="R149">
        <v>-3.1316673239917598E-11</v>
      </c>
      <c r="S149">
        <v>1.4041934761903775E-11</v>
      </c>
      <c r="T149">
        <v>-7.2371703069073924E-14</v>
      </c>
      <c r="V149" s="23"/>
      <c r="W149" s="23"/>
      <c r="X149" s="23"/>
      <c r="Y149" s="3">
        <v>-0.22978747241230657</v>
      </c>
      <c r="Z149" s="23"/>
      <c r="AA149" s="4">
        <v>-2.2566837287740782E-11</v>
      </c>
      <c r="AB149" s="23"/>
      <c r="AE149" s="23"/>
    </row>
    <row r="150" spans="1:72">
      <c r="V150" s="23"/>
      <c r="W150" s="23"/>
      <c r="X150" s="23"/>
      <c r="Y150" s="4">
        <v>-0.21801144500535224</v>
      </c>
      <c r="Z150" s="23"/>
      <c r="AB150" s="23"/>
      <c r="AE150" s="23"/>
    </row>
    <row r="151" spans="1:72">
      <c r="V151" s="23"/>
      <c r="W151" s="23"/>
      <c r="X151" s="23"/>
      <c r="Z151" s="23"/>
      <c r="AA151" s="23"/>
      <c r="AB151" s="23"/>
      <c r="AE151" s="23"/>
    </row>
    <row r="152" spans="1:72">
      <c r="V152" s="23"/>
      <c r="W152" s="23"/>
      <c r="X152" s="23"/>
      <c r="Z152" s="23"/>
      <c r="AA152" s="23"/>
      <c r="AB152" s="23"/>
      <c r="AC152" s="23"/>
      <c r="AD152" s="23"/>
      <c r="AE152" s="23"/>
    </row>
    <row r="154" spans="1:72">
      <c r="B154" s="272" t="s">
        <v>70</v>
      </c>
      <c r="C154" s="273"/>
      <c r="D154" s="273"/>
      <c r="E154" s="273"/>
      <c r="F154" s="273"/>
      <c r="G154" s="273"/>
      <c r="H154" s="273"/>
      <c r="I154" s="273"/>
      <c r="J154" s="273"/>
      <c r="K154" s="273"/>
      <c r="L154" s="273"/>
      <c r="M154" s="273"/>
      <c r="N154" s="273"/>
      <c r="O154" s="273"/>
      <c r="P154" s="273"/>
      <c r="Q154" s="273"/>
      <c r="R154" s="273"/>
      <c r="S154" s="273"/>
      <c r="T154" s="273"/>
      <c r="U154" s="273"/>
      <c r="V154" s="273"/>
      <c r="W154" s="273"/>
      <c r="X154" s="273"/>
      <c r="Y154" s="273"/>
      <c r="Z154" s="273"/>
      <c r="AA154" s="273"/>
      <c r="AB154" s="273"/>
      <c r="AC154" s="273"/>
      <c r="AD154" s="273"/>
      <c r="AE154" s="273"/>
      <c r="AF154" s="273"/>
      <c r="AG154" s="274"/>
      <c r="AJ154" s="269" t="s">
        <v>71</v>
      </c>
      <c r="AK154" s="270"/>
      <c r="AL154" s="270"/>
      <c r="AM154" s="270"/>
      <c r="AN154" s="270"/>
      <c r="AO154" s="270"/>
      <c r="AP154" s="270"/>
      <c r="AQ154" s="270"/>
      <c r="AR154" s="270"/>
      <c r="AS154" s="270"/>
      <c r="AT154" s="270"/>
      <c r="AU154" s="270"/>
      <c r="AV154" s="270"/>
      <c r="AW154" s="270"/>
      <c r="AX154" s="270"/>
      <c r="AY154" s="270"/>
      <c r="AZ154" s="270"/>
      <c r="BA154" s="270"/>
      <c r="BB154" s="270"/>
      <c r="BC154" s="270"/>
      <c r="BD154" s="270"/>
      <c r="BE154" s="270"/>
      <c r="BF154" s="270"/>
      <c r="BG154" s="270"/>
      <c r="BH154" s="270"/>
      <c r="BI154" s="270"/>
      <c r="BJ154" s="270"/>
      <c r="BK154" s="270"/>
      <c r="BL154" s="270"/>
      <c r="BM154" s="270"/>
      <c r="BN154" s="270"/>
      <c r="BO154" s="271"/>
    </row>
    <row r="155" spans="1:72">
      <c r="A155">
        <v>1</v>
      </c>
      <c r="B155" s="8" cm="1">
        <f t="array" ref="B155:AG186">_xlfn.MUNIT(32)</f>
        <v>1</v>
      </c>
      <c r="C155" s="9">
        <v>0</v>
      </c>
      <c r="D155" s="9">
        <v>0</v>
      </c>
      <c r="E155" s="9">
        <v>0</v>
      </c>
      <c r="F155" s="9">
        <v>0</v>
      </c>
      <c r="G155" s="9">
        <v>0</v>
      </c>
      <c r="H155" s="9">
        <v>0</v>
      </c>
      <c r="I155" s="9">
        <v>0</v>
      </c>
      <c r="J155" s="9">
        <v>0</v>
      </c>
      <c r="K155" s="9">
        <v>0</v>
      </c>
      <c r="L155" s="9">
        <v>0</v>
      </c>
      <c r="M155" s="9">
        <v>0</v>
      </c>
      <c r="N155" s="9">
        <v>0</v>
      </c>
      <c r="O155" s="9">
        <v>0</v>
      </c>
      <c r="P155" s="9">
        <v>0</v>
      </c>
      <c r="Q155" s="9">
        <v>0</v>
      </c>
      <c r="R155" s="9">
        <v>0</v>
      </c>
      <c r="S155" s="9">
        <v>0</v>
      </c>
      <c r="T155" s="9">
        <v>0</v>
      </c>
      <c r="U155" s="9">
        <v>0</v>
      </c>
      <c r="V155" s="9">
        <v>0</v>
      </c>
      <c r="W155" s="9">
        <v>0</v>
      </c>
      <c r="X155" s="9">
        <v>0</v>
      </c>
      <c r="Y155" s="9">
        <v>0</v>
      </c>
      <c r="Z155" s="9">
        <v>0</v>
      </c>
      <c r="AA155" s="9">
        <v>0</v>
      </c>
      <c r="AB155" s="9">
        <v>0</v>
      </c>
      <c r="AC155" s="9">
        <v>0</v>
      </c>
      <c r="AD155" s="9">
        <v>0</v>
      </c>
      <c r="AE155" s="9">
        <v>0</v>
      </c>
      <c r="AF155" s="9">
        <v>0</v>
      </c>
      <c r="AG155" s="10">
        <v>0</v>
      </c>
      <c r="AH155" s="23"/>
      <c r="AI155" s="23">
        <v>1</v>
      </c>
      <c r="AJ155" s="8" cm="1">
        <f t="array" ref="AJ155:BO186">MMULT(MMULT(B76:Q107,B131:Q146),_xlfn.ANCHORARRAY(U92))</f>
        <v>0.26820151088061212</v>
      </c>
      <c r="AK155" s="9">
        <v>-4.2334841892682114E-3</v>
      </c>
      <c r="AL155" s="9">
        <v>-2.457566580324555E-2</v>
      </c>
      <c r="AM155" s="9">
        <v>5.7774100521840906E-2</v>
      </c>
      <c r="AN155" s="9">
        <v>6.9523280632850099E-2</v>
      </c>
      <c r="AO155" s="9">
        <v>0.13918542102890868</v>
      </c>
      <c r="AP155" s="9">
        <v>-4.5134827226539623E-2</v>
      </c>
      <c r="AQ155" s="9">
        <v>5.7773984779514793E-2</v>
      </c>
      <c r="AR155" s="9">
        <v>4.5857572238886687E-2</v>
      </c>
      <c r="AS155" s="9">
        <v>9.2477920432634697E-2</v>
      </c>
      <c r="AT155" s="9">
        <v>0.21393519860375831</v>
      </c>
      <c r="AU155" s="9">
        <v>0.26820176396043482</v>
      </c>
      <c r="AV155" s="9">
        <v>-3.0691591053061199E-2</v>
      </c>
      <c r="AW155" s="9">
        <v>-1.5146144945430866E-2</v>
      </c>
      <c r="AX155" s="9">
        <v>8.5840424816345795E-3</v>
      </c>
      <c r="AY155" s="9">
        <v>8.3669325128304869E-3</v>
      </c>
      <c r="AZ155" s="9">
        <v>9.7503123931469322E-3</v>
      </c>
      <c r="BA155" s="9">
        <v>2.782181125326675E-2</v>
      </c>
      <c r="BB155" s="9">
        <v>4.5645903433442353E-2</v>
      </c>
      <c r="BC155" s="9">
        <v>-3.5601983342864411E-3</v>
      </c>
      <c r="BD155" s="9">
        <v>-5.0967149585240748E-2</v>
      </c>
      <c r="BE155" s="9">
        <v>-1.2138019875997989E-2</v>
      </c>
      <c r="BF155" s="9">
        <v>-3.0626513583326485E-2</v>
      </c>
      <c r="BG155" s="9">
        <v>-6.8041433421336811E-2</v>
      </c>
      <c r="BH155" s="9">
        <v>6.5898384439816465E-2</v>
      </c>
      <c r="BI155" s="9">
        <v>9.5874732026085568E-2</v>
      </c>
      <c r="BJ155" s="9">
        <v>-5.9071344604948575E-2</v>
      </c>
      <c r="BK155" s="9">
        <v>2.9287633983692517E-3</v>
      </c>
      <c r="BL155" s="9">
        <v>1.3254144970266973E-2</v>
      </c>
      <c r="BM155" s="9">
        <v>-3.8153490587601036E-2</v>
      </c>
      <c r="BN155" s="9">
        <v>4.8873734902921295E-2</v>
      </c>
      <c r="BO155" s="10">
        <v>-2.6973174665433919E-2</v>
      </c>
      <c r="BP155" s="23"/>
      <c r="BQ155" s="23"/>
      <c r="BR155" s="23"/>
      <c r="BS155" s="23"/>
      <c r="BT155" s="23"/>
    </row>
    <row r="156" spans="1:72">
      <c r="A156">
        <v>2</v>
      </c>
      <c r="B156" s="11">
        <v>0</v>
      </c>
      <c r="C156" s="1">
        <v>1</v>
      </c>
      <c r="D156" s="1">
        <v>0</v>
      </c>
      <c r="E156" s="1">
        <v>0</v>
      </c>
      <c r="F156" s="1">
        <v>0</v>
      </c>
      <c r="G156" s="1">
        <v>0</v>
      </c>
      <c r="H156" s="1">
        <v>0</v>
      </c>
      <c r="I156" s="1">
        <v>0</v>
      </c>
      <c r="J156" s="1">
        <v>0</v>
      </c>
      <c r="K156" s="1">
        <v>0</v>
      </c>
      <c r="L156" s="1">
        <v>0</v>
      </c>
      <c r="M156" s="1">
        <v>0</v>
      </c>
      <c r="N156" s="1">
        <v>0</v>
      </c>
      <c r="O156" s="1">
        <v>0</v>
      </c>
      <c r="P156" s="1">
        <v>0</v>
      </c>
      <c r="Q156" s="1">
        <v>0</v>
      </c>
      <c r="R156" s="1">
        <v>0</v>
      </c>
      <c r="S156" s="1">
        <v>0</v>
      </c>
      <c r="T156" s="1">
        <v>0</v>
      </c>
      <c r="U156" s="1">
        <v>0</v>
      </c>
      <c r="V156" s="1">
        <v>0</v>
      </c>
      <c r="W156" s="1">
        <v>0</v>
      </c>
      <c r="X156" s="1">
        <v>0</v>
      </c>
      <c r="Y156" s="1">
        <v>0</v>
      </c>
      <c r="Z156" s="1">
        <v>0</v>
      </c>
      <c r="AA156" s="1">
        <v>0</v>
      </c>
      <c r="AB156" s="1">
        <v>0</v>
      </c>
      <c r="AC156" s="1">
        <v>0</v>
      </c>
      <c r="AD156" s="1">
        <v>0</v>
      </c>
      <c r="AE156" s="1">
        <v>0</v>
      </c>
      <c r="AF156" s="1">
        <v>0</v>
      </c>
      <c r="AG156" s="12">
        <v>0</v>
      </c>
      <c r="AH156" s="23"/>
      <c r="AI156" s="23">
        <v>2</v>
      </c>
      <c r="AJ156" s="11">
        <v>-4.2334841892681802E-3</v>
      </c>
      <c r="AK156" s="1">
        <v>0.22809851572514953</v>
      </c>
      <c r="AL156" s="1">
        <v>9.6521117252524491E-2</v>
      </c>
      <c r="AM156" s="1">
        <v>-6.1979848758646969E-3</v>
      </c>
      <c r="AN156" s="1">
        <v>3.4115030990536706E-2</v>
      </c>
      <c r="AO156" s="1">
        <v>1.2469389665547753E-2</v>
      </c>
      <c r="AP156" s="1">
        <v>4.8805676638165325E-2</v>
      </c>
      <c r="AQ156" s="1">
        <v>-6.1979724590692925E-3</v>
      </c>
      <c r="AR156" s="1">
        <v>0.10131377284724788</v>
      </c>
      <c r="AS156" s="1">
        <v>-8.8667551359341915E-3</v>
      </c>
      <c r="AT156" s="1">
        <v>5.4874709940366875E-3</v>
      </c>
      <c r="AU156" s="1">
        <v>-4.2334881840608365E-3</v>
      </c>
      <c r="AV156" s="1">
        <v>1.4095981405088567E-2</v>
      </c>
      <c r="AW156" s="1">
        <v>-1.9826175507856612E-2</v>
      </c>
      <c r="AX156" s="1">
        <v>1.8584411486547325E-2</v>
      </c>
      <c r="AY156" s="1">
        <v>-3.8370562418993323E-3</v>
      </c>
      <c r="AZ156" s="1">
        <v>0.10895267335203399</v>
      </c>
      <c r="BA156" s="1">
        <v>4.5350661828258532E-2</v>
      </c>
      <c r="BB156" s="1">
        <v>5.9173129536279671E-2</v>
      </c>
      <c r="BC156" s="1">
        <v>4.1851544042913122E-2</v>
      </c>
      <c r="BD156" s="1">
        <v>-9.5842225100824588E-3</v>
      </c>
      <c r="BE156" s="1">
        <v>-1.6040037097372069E-2</v>
      </c>
      <c r="BF156" s="1">
        <v>-9.230566523806133E-2</v>
      </c>
      <c r="BG156" s="1">
        <v>0.20392602163359716</v>
      </c>
      <c r="BH156" s="1">
        <v>-6.7050578166302235E-2</v>
      </c>
      <c r="BI156" s="1">
        <v>-1.8945518621779053E-2</v>
      </c>
      <c r="BJ156" s="1">
        <v>-0.10023304719135782</v>
      </c>
      <c r="BK156" s="1">
        <v>0.10516489516851497</v>
      </c>
      <c r="BL156" s="1">
        <v>0.15330306211539244</v>
      </c>
      <c r="BM156" s="1">
        <v>-8.1580593368905621E-2</v>
      </c>
      <c r="BN156" s="1">
        <v>-0.1373584044984987</v>
      </c>
      <c r="BO156" s="12">
        <v>-8.3623654979387868E-2</v>
      </c>
      <c r="BP156" s="23"/>
      <c r="BQ156" s="23"/>
      <c r="BR156" s="23"/>
      <c r="BS156" s="23"/>
      <c r="BT156" s="23"/>
    </row>
    <row r="157" spans="1:72">
      <c r="A157">
        <v>3</v>
      </c>
      <c r="B157" s="11">
        <v>0</v>
      </c>
      <c r="C157" s="1">
        <v>0</v>
      </c>
      <c r="D157" s="1">
        <v>1</v>
      </c>
      <c r="E157" s="1">
        <v>0</v>
      </c>
      <c r="F157" s="1">
        <v>0</v>
      </c>
      <c r="G157" s="1">
        <v>0</v>
      </c>
      <c r="H157" s="1">
        <v>0</v>
      </c>
      <c r="I157" s="1">
        <v>0</v>
      </c>
      <c r="J157" s="1">
        <v>0</v>
      </c>
      <c r="K157" s="1">
        <v>0</v>
      </c>
      <c r="L157" s="1">
        <v>0</v>
      </c>
      <c r="M157" s="1">
        <v>0</v>
      </c>
      <c r="N157" s="1">
        <v>0</v>
      </c>
      <c r="O157" s="1">
        <v>0</v>
      </c>
      <c r="P157" s="1">
        <v>0</v>
      </c>
      <c r="Q157" s="1">
        <v>0</v>
      </c>
      <c r="R157" s="1">
        <v>0</v>
      </c>
      <c r="S157" s="1">
        <v>0</v>
      </c>
      <c r="T157" s="1">
        <v>0</v>
      </c>
      <c r="U157" s="1">
        <v>0</v>
      </c>
      <c r="V157" s="1">
        <v>0</v>
      </c>
      <c r="W157" s="1">
        <v>0</v>
      </c>
      <c r="X157" s="1">
        <v>0</v>
      </c>
      <c r="Y157" s="1">
        <v>0</v>
      </c>
      <c r="Z157" s="1">
        <v>0</v>
      </c>
      <c r="AA157" s="1">
        <v>0</v>
      </c>
      <c r="AB157" s="1">
        <v>0</v>
      </c>
      <c r="AC157" s="1">
        <v>0</v>
      </c>
      <c r="AD157" s="1">
        <v>0</v>
      </c>
      <c r="AE157" s="1">
        <v>0</v>
      </c>
      <c r="AF157" s="1">
        <v>0</v>
      </c>
      <c r="AG157" s="12">
        <v>0</v>
      </c>
      <c r="AH157" s="23"/>
      <c r="AI157" s="23">
        <v>3</v>
      </c>
      <c r="AJ157" s="11">
        <v>-2.457566580324555E-2</v>
      </c>
      <c r="AK157" s="1">
        <v>9.6521117252524449E-2</v>
      </c>
      <c r="AL157" s="1">
        <v>0.24860604518237811</v>
      </c>
      <c r="AM157" s="1">
        <v>-4.0995969730959092E-2</v>
      </c>
      <c r="AN157" s="1">
        <v>-3.1839816391949466E-2</v>
      </c>
      <c r="AO157" s="1">
        <v>1.4907936482872718E-2</v>
      </c>
      <c r="AP157" s="1">
        <v>1.070362471181394E-2</v>
      </c>
      <c r="AQ157" s="1">
        <v>-4.0995887601270264E-2</v>
      </c>
      <c r="AR157" s="1">
        <v>0.17693811395443376</v>
      </c>
      <c r="AS157" s="1">
        <v>5.02694178414167E-3</v>
      </c>
      <c r="AT157" s="1">
        <v>2.5432875224263109E-2</v>
      </c>
      <c r="AU157" s="1">
        <v>-2.4575688993290705E-2</v>
      </c>
      <c r="AV157" s="1">
        <v>-4.6452807698790831E-4</v>
      </c>
      <c r="AW157" s="1">
        <v>-3.5106491408028991E-3</v>
      </c>
      <c r="AX157" s="1">
        <v>3.1317769474443428E-3</v>
      </c>
      <c r="AY157" s="1">
        <v>-5.9256832653469052E-3</v>
      </c>
      <c r="AZ157" s="1">
        <v>3.0846905657119939E-2</v>
      </c>
      <c r="BA157" s="1">
        <v>1.2370769563098148E-2</v>
      </c>
      <c r="BB157" s="1">
        <v>0.17580774616358749</v>
      </c>
      <c r="BC157" s="1">
        <v>0.16968591319289161</v>
      </c>
      <c r="BD157" s="1">
        <v>-1.56077707236728E-2</v>
      </c>
      <c r="BE157" s="1">
        <v>-1.3984241046350791E-2</v>
      </c>
      <c r="BF157" s="1">
        <v>-3.1619485802772657E-2</v>
      </c>
      <c r="BG157" s="1">
        <v>0.11110659242453164</v>
      </c>
      <c r="BH157" s="1">
        <v>-4.7066582932393249E-2</v>
      </c>
      <c r="BI157" s="1">
        <v>-2.8285119193421355E-3</v>
      </c>
      <c r="BJ157" s="1">
        <v>-1.6236819289725372E-2</v>
      </c>
      <c r="BK157" s="1">
        <v>-5.5062104955636626E-2</v>
      </c>
      <c r="BL157" s="1">
        <v>-0.10555957629791128</v>
      </c>
      <c r="BM157" s="1">
        <v>0.18810940119072783</v>
      </c>
      <c r="BN157" s="1">
        <v>-0.11148879849068245</v>
      </c>
      <c r="BO157" s="12">
        <v>-2.1492333890227647E-2</v>
      </c>
      <c r="BP157" s="23"/>
      <c r="BQ157" s="23"/>
      <c r="BR157" s="23"/>
      <c r="BS157" s="23"/>
      <c r="BT157" s="23"/>
    </row>
    <row r="158" spans="1:72">
      <c r="A158">
        <v>4</v>
      </c>
      <c r="B158" s="11">
        <v>0</v>
      </c>
      <c r="C158" s="1">
        <v>0</v>
      </c>
      <c r="D158" s="1">
        <v>0</v>
      </c>
      <c r="E158" s="1">
        <v>1</v>
      </c>
      <c r="F158" s="1">
        <v>0</v>
      </c>
      <c r="G158" s="1">
        <v>0</v>
      </c>
      <c r="H158" s="1">
        <v>0</v>
      </c>
      <c r="I158" s="1">
        <v>0</v>
      </c>
      <c r="J158" s="1">
        <v>0</v>
      </c>
      <c r="K158" s="1">
        <v>0</v>
      </c>
      <c r="L158" s="1">
        <v>0</v>
      </c>
      <c r="M158" s="1">
        <v>0</v>
      </c>
      <c r="N158" s="1">
        <v>0</v>
      </c>
      <c r="O158" s="1">
        <v>0</v>
      </c>
      <c r="P158" s="1">
        <v>0</v>
      </c>
      <c r="Q158" s="1">
        <v>0</v>
      </c>
      <c r="R158" s="1">
        <v>0</v>
      </c>
      <c r="S158" s="1">
        <v>0</v>
      </c>
      <c r="T158" s="1">
        <v>0</v>
      </c>
      <c r="U158" s="1">
        <v>0</v>
      </c>
      <c r="V158" s="1">
        <v>0</v>
      </c>
      <c r="W158" s="1">
        <v>0</v>
      </c>
      <c r="X158" s="1">
        <v>0</v>
      </c>
      <c r="Y158" s="1">
        <v>0</v>
      </c>
      <c r="Z158" s="1">
        <v>0</v>
      </c>
      <c r="AA158" s="1">
        <v>0</v>
      </c>
      <c r="AB158" s="1">
        <v>0</v>
      </c>
      <c r="AC158" s="1">
        <v>0</v>
      </c>
      <c r="AD158" s="1">
        <v>0</v>
      </c>
      <c r="AE158" s="1">
        <v>0</v>
      </c>
      <c r="AF158" s="1">
        <v>0</v>
      </c>
      <c r="AG158" s="12">
        <v>0</v>
      </c>
      <c r="AH158" s="23"/>
      <c r="AI158" s="23">
        <v>4</v>
      </c>
      <c r="AJ158" s="11">
        <v>5.7774100521840926E-2</v>
      </c>
      <c r="AK158" s="1">
        <v>-6.1979848758646899E-3</v>
      </c>
      <c r="AL158" s="1">
        <v>-4.0995969730959078E-2</v>
      </c>
      <c r="AM158" s="1">
        <v>0.21247381658021047</v>
      </c>
      <c r="AN158" s="1">
        <v>5.6979847115523882E-2</v>
      </c>
      <c r="AO158" s="1">
        <v>-1.4819900151707893E-2</v>
      </c>
      <c r="AP158" s="1">
        <v>0.1305687827018136</v>
      </c>
      <c r="AQ158" s="1">
        <v>0.21247339091865028</v>
      </c>
      <c r="AR158" s="1">
        <v>0.14197282042943696</v>
      </c>
      <c r="AS158" s="1">
        <v>-4.624052989013297E-2</v>
      </c>
      <c r="AT158" s="1">
        <v>-4.8940880273846035E-2</v>
      </c>
      <c r="AU158" s="1">
        <v>5.7774155038532851E-2</v>
      </c>
      <c r="AV158" s="1">
        <v>5.3520384622604902E-2</v>
      </c>
      <c r="AW158" s="1">
        <v>-1.9984969473870448E-2</v>
      </c>
      <c r="AX158" s="1">
        <v>-3.9687431730586198E-3</v>
      </c>
      <c r="AY158" s="1">
        <v>-1.4656321117192464E-3</v>
      </c>
      <c r="AZ158" s="1">
        <v>4.19764432516306E-3</v>
      </c>
      <c r="BA158" s="1">
        <v>2.2000336622967562E-2</v>
      </c>
      <c r="BB158" s="1">
        <v>1.2204930193448135E-2</v>
      </c>
      <c r="BC158" s="1">
        <v>-3.4220862723559814E-2</v>
      </c>
      <c r="BD158" s="1">
        <v>-1.8748358334355314E-2</v>
      </c>
      <c r="BE158" s="1">
        <v>-2.5247461278996394E-2</v>
      </c>
      <c r="BF158" s="1">
        <v>-3.2210827159626795E-2</v>
      </c>
      <c r="BG158" s="1">
        <v>-5.4973025375399304E-2</v>
      </c>
      <c r="BH158" s="1">
        <v>0.21179745661314336</v>
      </c>
      <c r="BI158" s="1">
        <v>-8.0617784464765738E-2</v>
      </c>
      <c r="BJ158" s="1">
        <v>5.037954957513515E-2</v>
      </c>
      <c r="BK158" s="1">
        <v>2.6220381151437953E-2</v>
      </c>
      <c r="BL158" s="1">
        <v>1.9740015424940367E-2</v>
      </c>
      <c r="BM158" s="1">
        <v>-3.3393854502878531E-2</v>
      </c>
      <c r="BN158" s="1">
        <v>4.6648541301866117E-2</v>
      </c>
      <c r="BO158" s="12">
        <v>-1.2998091117707417E-2</v>
      </c>
      <c r="BP158" s="23"/>
      <c r="BQ158" s="23"/>
      <c r="BR158" s="23"/>
      <c r="BS158" s="23"/>
      <c r="BT158" s="23"/>
    </row>
    <row r="159" spans="1:72">
      <c r="A159">
        <v>5</v>
      </c>
      <c r="B159" s="11">
        <v>0</v>
      </c>
      <c r="C159" s="1">
        <v>0</v>
      </c>
      <c r="D159" s="1">
        <v>0</v>
      </c>
      <c r="E159" s="1">
        <v>0</v>
      </c>
      <c r="F159" s="1">
        <v>1</v>
      </c>
      <c r="G159" s="1">
        <v>0</v>
      </c>
      <c r="H159" s="1">
        <v>0</v>
      </c>
      <c r="I159" s="1">
        <v>0</v>
      </c>
      <c r="J159" s="1">
        <v>0</v>
      </c>
      <c r="K159" s="1">
        <v>0</v>
      </c>
      <c r="L159" s="1">
        <v>0</v>
      </c>
      <c r="M159" s="1">
        <v>0</v>
      </c>
      <c r="N159" s="1">
        <v>0</v>
      </c>
      <c r="O159" s="1">
        <v>0</v>
      </c>
      <c r="P159" s="1">
        <v>0</v>
      </c>
      <c r="Q159" s="1">
        <v>0</v>
      </c>
      <c r="R159" s="1">
        <v>0</v>
      </c>
      <c r="S159" s="1">
        <v>0</v>
      </c>
      <c r="T159" s="1">
        <v>0</v>
      </c>
      <c r="U159" s="1">
        <v>0</v>
      </c>
      <c r="V159" s="1">
        <v>0</v>
      </c>
      <c r="W159" s="1">
        <v>0</v>
      </c>
      <c r="X159" s="1">
        <v>0</v>
      </c>
      <c r="Y159" s="1">
        <v>0</v>
      </c>
      <c r="Z159" s="1">
        <v>0</v>
      </c>
      <c r="AA159" s="1">
        <v>0</v>
      </c>
      <c r="AB159" s="1">
        <v>0</v>
      </c>
      <c r="AC159" s="1">
        <v>0</v>
      </c>
      <c r="AD159" s="1">
        <v>0</v>
      </c>
      <c r="AE159" s="1">
        <v>0</v>
      </c>
      <c r="AF159" s="1">
        <v>0</v>
      </c>
      <c r="AG159" s="12">
        <v>0</v>
      </c>
      <c r="AH159" s="23"/>
      <c r="AI159" s="23">
        <v>5</v>
      </c>
      <c r="AJ159" s="11">
        <v>6.9523280632850043E-2</v>
      </c>
      <c r="AK159" s="1">
        <v>3.4115030990536699E-2</v>
      </c>
      <c r="AL159" s="1">
        <v>-3.1839816391949466E-2</v>
      </c>
      <c r="AM159" s="1">
        <v>5.6979847115523799E-2</v>
      </c>
      <c r="AN159" s="1">
        <v>0.19764050347043582</v>
      </c>
      <c r="AO159" s="1">
        <v>-1.129084229096595E-2</v>
      </c>
      <c r="AP159" s="1">
        <v>1.5170697974849857E-2</v>
      </c>
      <c r="AQ159" s="1">
        <v>5.6979732964373239E-2</v>
      </c>
      <c r="AR159" s="1">
        <v>5.175321368569883E-2</v>
      </c>
      <c r="AS159" s="1">
        <v>-1.374892591834676E-2</v>
      </c>
      <c r="AT159" s="1">
        <v>-8.6706755338438898E-2</v>
      </c>
      <c r="AU159" s="1">
        <v>6.9523346236281897E-2</v>
      </c>
      <c r="AV159" s="1">
        <v>2.5351211485572012E-2</v>
      </c>
      <c r="AW159" s="1">
        <v>-4.2473493888274177E-2</v>
      </c>
      <c r="AX159" s="1">
        <v>4.229270036195841E-2</v>
      </c>
      <c r="AY159" s="1">
        <v>5.2346953050059639E-2</v>
      </c>
      <c r="AZ159" s="1">
        <v>8.4846145089814695E-2</v>
      </c>
      <c r="BA159" s="1">
        <v>5.426570177481102E-2</v>
      </c>
      <c r="BB159" s="1">
        <v>0.13034741735596495</v>
      </c>
      <c r="BC159" s="1">
        <v>4.448407965700998E-3</v>
      </c>
      <c r="BD159" s="1">
        <v>9.1807761404120738E-2</v>
      </c>
      <c r="BE159" s="1">
        <v>7.8449454461985854E-2</v>
      </c>
      <c r="BF159" s="1">
        <v>-2.8628116319718774E-2</v>
      </c>
      <c r="BG159" s="1">
        <v>-0.10547931247736683</v>
      </c>
      <c r="BH159" s="1">
        <v>-7.3140239745297819E-2</v>
      </c>
      <c r="BI159" s="1">
        <v>3.6990452676276861E-2</v>
      </c>
      <c r="BJ159" s="1">
        <v>-0.10894267324315572</v>
      </c>
      <c r="BK159" s="1">
        <v>7.4288623730298903E-2</v>
      </c>
      <c r="BL159" s="1">
        <v>4.5918175697366032E-3</v>
      </c>
      <c r="BM159" s="1">
        <v>-9.6989430126486142E-2</v>
      </c>
      <c r="BN159" s="1">
        <v>0.1589934940157896</v>
      </c>
      <c r="BO159" s="12">
        <v>-0.10013841462161176</v>
      </c>
      <c r="BP159" s="23"/>
      <c r="BQ159" s="23"/>
      <c r="BR159" s="23"/>
      <c r="BS159" s="23"/>
      <c r="BT159" s="23"/>
    </row>
    <row r="160" spans="1:72">
      <c r="A160">
        <v>6</v>
      </c>
      <c r="B160" s="11">
        <v>0</v>
      </c>
      <c r="C160" s="1">
        <v>0</v>
      </c>
      <c r="D160" s="1">
        <v>0</v>
      </c>
      <c r="E160" s="1">
        <v>0</v>
      </c>
      <c r="F160" s="1">
        <v>0</v>
      </c>
      <c r="G160" s="1">
        <v>1</v>
      </c>
      <c r="H160" s="1">
        <v>0</v>
      </c>
      <c r="I160" s="1">
        <v>0</v>
      </c>
      <c r="J160" s="1">
        <v>0</v>
      </c>
      <c r="K160" s="1">
        <v>0</v>
      </c>
      <c r="L160" s="1">
        <v>0</v>
      </c>
      <c r="M160" s="1">
        <v>0</v>
      </c>
      <c r="N160" s="1">
        <v>0</v>
      </c>
      <c r="O160" s="1">
        <v>0</v>
      </c>
      <c r="P160" s="1">
        <v>0</v>
      </c>
      <c r="Q160" s="1">
        <v>0</v>
      </c>
      <c r="R160" s="1">
        <v>0</v>
      </c>
      <c r="S160" s="1">
        <v>0</v>
      </c>
      <c r="T160" s="1">
        <v>0</v>
      </c>
      <c r="U160" s="1">
        <v>0</v>
      </c>
      <c r="V160" s="1">
        <v>0</v>
      </c>
      <c r="W160" s="1">
        <v>0</v>
      </c>
      <c r="X160" s="1">
        <v>0</v>
      </c>
      <c r="Y160" s="1">
        <v>0</v>
      </c>
      <c r="Z160" s="1">
        <v>0</v>
      </c>
      <c r="AA160" s="1">
        <v>0</v>
      </c>
      <c r="AB160" s="1">
        <v>0</v>
      </c>
      <c r="AC160" s="1">
        <v>0</v>
      </c>
      <c r="AD160" s="1">
        <v>0</v>
      </c>
      <c r="AE160" s="1">
        <v>0</v>
      </c>
      <c r="AF160" s="1">
        <v>0</v>
      </c>
      <c r="AG160" s="12">
        <v>0</v>
      </c>
      <c r="AH160" s="23"/>
      <c r="AI160" s="23">
        <v>6</v>
      </c>
      <c r="AJ160" s="11">
        <v>0.13918542102890852</v>
      </c>
      <c r="AK160" s="1">
        <v>1.2469389665547732E-2</v>
      </c>
      <c r="AL160" s="1">
        <v>1.4907936482872773E-2</v>
      </c>
      <c r="AM160" s="1">
        <v>-1.4819900151707826E-2</v>
      </c>
      <c r="AN160" s="1">
        <v>-1.1290842290965886E-2</v>
      </c>
      <c r="AO160" s="1">
        <v>0.27956246061892853</v>
      </c>
      <c r="AP160" s="1">
        <v>0.15424891825534684</v>
      </c>
      <c r="AQ160" s="1">
        <v>-1.4819870462111582E-2</v>
      </c>
      <c r="AR160" s="1">
        <v>-2.7587914084131613E-2</v>
      </c>
      <c r="AS160" s="1">
        <v>5.4130907294335853E-3</v>
      </c>
      <c r="AT160" s="1">
        <v>0.13414207914192236</v>
      </c>
      <c r="AU160" s="1">
        <v>0.13918555236680286</v>
      </c>
      <c r="AV160" s="1">
        <v>0.1269323521644195</v>
      </c>
      <c r="AW160" s="1">
        <v>-6.1316749471913068E-2</v>
      </c>
      <c r="AX160" s="1">
        <v>-4.5862694625681683E-2</v>
      </c>
      <c r="AY160" s="1">
        <v>-1.7163761453066303E-2</v>
      </c>
      <c r="AZ160" s="1">
        <v>-3.0446168270585744E-3</v>
      </c>
      <c r="BA160" s="1">
        <v>8.4534676791876914E-3</v>
      </c>
      <c r="BB160" s="1">
        <v>-8.9495906475199893E-3</v>
      </c>
      <c r="BC160" s="1">
        <v>-2.1307285879106755E-2</v>
      </c>
      <c r="BD160" s="1">
        <v>-9.408548944118092E-2</v>
      </c>
      <c r="BE160" s="1">
        <v>-3.2269548267763647E-2</v>
      </c>
      <c r="BF160" s="1">
        <v>-2.4378282523163097E-2</v>
      </c>
      <c r="BG160" s="1">
        <v>1.9525874915869407E-2</v>
      </c>
      <c r="BH160" s="1">
        <v>-0.111338689920065</v>
      </c>
      <c r="BI160" s="1">
        <v>0.24254613523630317</v>
      </c>
      <c r="BJ160" s="1">
        <v>0.10560134103705759</v>
      </c>
      <c r="BK160" s="1">
        <v>2.2572354438817832E-2</v>
      </c>
      <c r="BL160" s="1">
        <v>-1.9150053112292342E-3</v>
      </c>
      <c r="BM160" s="1">
        <v>3.9524805602776894E-2</v>
      </c>
      <c r="BN160" s="1">
        <v>-2.0962009941611549E-2</v>
      </c>
      <c r="BO160" s="12">
        <v>2.2264122628809342E-2</v>
      </c>
      <c r="BP160" s="23"/>
      <c r="BQ160" s="23"/>
      <c r="BR160" s="23"/>
      <c r="BS160" s="23"/>
      <c r="BT160" s="23"/>
    </row>
    <row r="161" spans="1:72">
      <c r="A161">
        <v>7</v>
      </c>
      <c r="B161" s="11">
        <v>0</v>
      </c>
      <c r="C161" s="1">
        <v>0</v>
      </c>
      <c r="D161" s="1">
        <v>0</v>
      </c>
      <c r="E161" s="1">
        <v>0</v>
      </c>
      <c r="F161" s="1">
        <v>0</v>
      </c>
      <c r="G161" s="1">
        <v>0</v>
      </c>
      <c r="H161" s="1">
        <v>1</v>
      </c>
      <c r="I161" s="1">
        <v>0</v>
      </c>
      <c r="J161" s="1">
        <v>0</v>
      </c>
      <c r="K161" s="1">
        <v>0</v>
      </c>
      <c r="L161" s="1">
        <v>0</v>
      </c>
      <c r="M161" s="1">
        <v>0</v>
      </c>
      <c r="N161" s="1">
        <v>0</v>
      </c>
      <c r="O161" s="1">
        <v>0</v>
      </c>
      <c r="P161" s="1">
        <v>0</v>
      </c>
      <c r="Q161" s="1">
        <v>0</v>
      </c>
      <c r="R161" s="1">
        <v>0</v>
      </c>
      <c r="S161" s="1">
        <v>0</v>
      </c>
      <c r="T161" s="1">
        <v>0</v>
      </c>
      <c r="U161" s="1">
        <v>0</v>
      </c>
      <c r="V161" s="1">
        <v>0</v>
      </c>
      <c r="W161" s="1">
        <v>0</v>
      </c>
      <c r="X161" s="1">
        <v>0</v>
      </c>
      <c r="Y161" s="1">
        <v>0</v>
      </c>
      <c r="Z161" s="1">
        <v>0</v>
      </c>
      <c r="AA161" s="1">
        <v>0</v>
      </c>
      <c r="AB161" s="1">
        <v>0</v>
      </c>
      <c r="AC161" s="1">
        <v>0</v>
      </c>
      <c r="AD161" s="1">
        <v>0</v>
      </c>
      <c r="AE161" s="1">
        <v>0</v>
      </c>
      <c r="AF161" s="1">
        <v>0</v>
      </c>
      <c r="AG161" s="12">
        <v>0</v>
      </c>
      <c r="AH161" s="23"/>
      <c r="AI161" s="23">
        <v>7</v>
      </c>
      <c r="AJ161" s="11">
        <v>-4.5134827226539623E-2</v>
      </c>
      <c r="AK161" s="1">
        <v>4.8805676638165325E-2</v>
      </c>
      <c r="AL161" s="1">
        <v>1.0703624711813992E-2</v>
      </c>
      <c r="AM161" s="1">
        <v>0.1305687827018136</v>
      </c>
      <c r="AN161" s="1">
        <v>1.5170697974849934E-2</v>
      </c>
      <c r="AO161" s="1">
        <v>0.15424891825534662</v>
      </c>
      <c r="AP161" s="1">
        <v>0.45119548815296973</v>
      </c>
      <c r="AQ161" s="1">
        <v>0.13056852112552797</v>
      </c>
      <c r="AR161" s="1">
        <v>6.3893367615528579E-2</v>
      </c>
      <c r="AS161" s="1">
        <v>-3.4536451344890515E-2</v>
      </c>
      <c r="AT161" s="1">
        <v>1.3077484368901882E-2</v>
      </c>
      <c r="AU161" s="1">
        <v>-4.5134869816583142E-2</v>
      </c>
      <c r="AV161" s="1">
        <v>0.23696837370363216</v>
      </c>
      <c r="AW161" s="1">
        <v>-0.11878557864542733</v>
      </c>
      <c r="AX161" s="1">
        <v>-5.7297263884951155E-2</v>
      </c>
      <c r="AY161" s="1">
        <v>1.1611373091786559E-2</v>
      </c>
      <c r="AZ161" s="1">
        <v>5.6366063908609584E-2</v>
      </c>
      <c r="BA161" s="1">
        <v>-2.2368305200982375E-3</v>
      </c>
      <c r="BB161" s="1">
        <v>-2.3753120733800065E-2</v>
      </c>
      <c r="BC161" s="1">
        <v>-4.4506078316949096E-2</v>
      </c>
      <c r="BD161" s="1">
        <v>-3.7673013792395293E-3</v>
      </c>
      <c r="BE161" s="1">
        <v>7.6898601505198685E-2</v>
      </c>
      <c r="BF161" s="1">
        <v>2.0911871505661872E-2</v>
      </c>
      <c r="BG161" s="1">
        <v>7.5343670172821287E-2</v>
      </c>
      <c r="BH161" s="1">
        <v>-8.6613503740639641E-2</v>
      </c>
      <c r="BI161" s="1">
        <v>-8.2773338063802854E-2</v>
      </c>
      <c r="BJ161" s="1">
        <v>0.24101785484762392</v>
      </c>
      <c r="BK161" s="1">
        <v>0.11039174032867621</v>
      </c>
      <c r="BL161" s="1">
        <v>-1.3454604370676665E-2</v>
      </c>
      <c r="BM161" s="1">
        <v>2.2624259049995668E-2</v>
      </c>
      <c r="BN161" s="1">
        <v>2.6331271465923539E-2</v>
      </c>
      <c r="BO161" s="12">
        <v>3.9828604138645585E-3</v>
      </c>
      <c r="BP161" s="23"/>
      <c r="BQ161" s="23"/>
      <c r="BR161" s="23"/>
      <c r="BS161" s="23"/>
      <c r="BT161" s="23"/>
    </row>
    <row r="162" spans="1:72">
      <c r="A162">
        <v>8</v>
      </c>
      <c r="B162" s="11">
        <v>0</v>
      </c>
      <c r="C162" s="1">
        <v>0</v>
      </c>
      <c r="D162" s="1">
        <v>0</v>
      </c>
      <c r="E162" s="1">
        <v>0</v>
      </c>
      <c r="F162" s="1">
        <v>0</v>
      </c>
      <c r="G162" s="1">
        <v>0</v>
      </c>
      <c r="H162" s="1">
        <v>0</v>
      </c>
      <c r="I162" s="1">
        <v>1</v>
      </c>
      <c r="J162" s="1">
        <v>0</v>
      </c>
      <c r="K162" s="1">
        <v>0</v>
      </c>
      <c r="L162" s="1">
        <v>0</v>
      </c>
      <c r="M162" s="1">
        <v>0</v>
      </c>
      <c r="N162" s="1">
        <v>0</v>
      </c>
      <c r="O162" s="1">
        <v>0</v>
      </c>
      <c r="P162" s="1">
        <v>0</v>
      </c>
      <c r="Q162" s="1">
        <v>0</v>
      </c>
      <c r="R162" s="1">
        <v>0</v>
      </c>
      <c r="S162" s="1">
        <v>0</v>
      </c>
      <c r="T162" s="1">
        <v>0</v>
      </c>
      <c r="U162" s="1">
        <v>0</v>
      </c>
      <c r="V162" s="1">
        <v>0</v>
      </c>
      <c r="W162" s="1">
        <v>0</v>
      </c>
      <c r="X162" s="1">
        <v>0</v>
      </c>
      <c r="Y162" s="1">
        <v>0</v>
      </c>
      <c r="Z162" s="1">
        <v>0</v>
      </c>
      <c r="AA162" s="1">
        <v>0</v>
      </c>
      <c r="AB162" s="1">
        <v>0</v>
      </c>
      <c r="AC162" s="1">
        <v>0</v>
      </c>
      <c r="AD162" s="1">
        <v>0</v>
      </c>
      <c r="AE162" s="1">
        <v>0</v>
      </c>
      <c r="AF162" s="1">
        <v>0</v>
      </c>
      <c r="AG162" s="12">
        <v>0</v>
      </c>
      <c r="AH162" s="23"/>
      <c r="AI162" s="23">
        <v>8</v>
      </c>
      <c r="AJ162" s="11">
        <v>5.7773984779514814E-2</v>
      </c>
      <c r="AK162" s="1">
        <v>-6.1979724590692786E-3</v>
      </c>
      <c r="AL162" s="1">
        <v>-4.0995887601270264E-2</v>
      </c>
      <c r="AM162" s="1">
        <v>0.21247339091865031</v>
      </c>
      <c r="AN162" s="1">
        <v>5.6979732964373336E-2</v>
      </c>
      <c r="AO162" s="1">
        <v>-1.4819870462111639E-2</v>
      </c>
      <c r="AP162" s="1">
        <v>0.13056852112552794</v>
      </c>
      <c r="AQ162" s="1">
        <v>0.21247296525794288</v>
      </c>
      <c r="AR162" s="1">
        <v>0.14197253600675738</v>
      </c>
      <c r="AS162" s="1">
        <v>-4.624043725370177E-2</v>
      </c>
      <c r="AT162" s="1">
        <v>-4.8940782227640714E-2</v>
      </c>
      <c r="AU162" s="1">
        <v>5.7774039296097535E-2</v>
      </c>
      <c r="AV162" s="1">
        <v>5.3520277402003429E-2</v>
      </c>
      <c r="AW162" s="1">
        <v>-1.9984929436780638E-2</v>
      </c>
      <c r="AX162" s="1">
        <v>-3.9687352222370353E-3</v>
      </c>
      <c r="AY162" s="1">
        <v>-1.465629175530371E-3</v>
      </c>
      <c r="AZ162" s="1">
        <v>4.1976359157700222E-3</v>
      </c>
      <c r="BA162" s="1">
        <v>2.2000292548371644E-2</v>
      </c>
      <c r="BB162" s="1">
        <v>1.2204905742578306E-2</v>
      </c>
      <c r="BC162" s="1">
        <v>-3.4220794166849887E-2</v>
      </c>
      <c r="BD162" s="1">
        <v>-1.8748320774642863E-2</v>
      </c>
      <c r="BE162" s="1">
        <v>-2.5247410699240552E-2</v>
      </c>
      <c r="BF162" s="1">
        <v>-3.2210762629741818E-2</v>
      </c>
      <c r="BG162" s="1">
        <v>-5.4972915244635309E-2</v>
      </c>
      <c r="BH162" s="1">
        <v>0.21179703230657571</v>
      </c>
      <c r="BI162" s="1">
        <v>-8.0617622958315371E-2</v>
      </c>
      <c r="BJ162" s="1">
        <v>5.0379448646757224E-2</v>
      </c>
      <c r="BK162" s="1">
        <v>2.6220328622573293E-2</v>
      </c>
      <c r="BL162" s="1">
        <v>1.973997587858168E-2</v>
      </c>
      <c r="BM162" s="1">
        <v>-3.3393787602963777E-2</v>
      </c>
      <c r="BN162" s="1">
        <v>4.6648447848041105E-2</v>
      </c>
      <c r="BO162" s="12">
        <v>-1.2998065077850739E-2</v>
      </c>
      <c r="BP162" s="23"/>
      <c r="BQ162" s="23"/>
      <c r="BR162" s="23"/>
      <c r="BS162" s="23"/>
      <c r="BT162" s="23"/>
    </row>
    <row r="163" spans="1:72">
      <c r="A163">
        <v>9</v>
      </c>
      <c r="B163" s="11">
        <v>0</v>
      </c>
      <c r="C163" s="1">
        <v>0</v>
      </c>
      <c r="D163" s="1">
        <v>0</v>
      </c>
      <c r="E163" s="1">
        <v>0</v>
      </c>
      <c r="F163" s="1">
        <v>0</v>
      </c>
      <c r="G163" s="1">
        <v>0</v>
      </c>
      <c r="H163" s="1">
        <v>0</v>
      </c>
      <c r="I163" s="1">
        <v>0</v>
      </c>
      <c r="J163" s="1">
        <v>1</v>
      </c>
      <c r="K163" s="1">
        <v>0</v>
      </c>
      <c r="L163" s="1">
        <v>0</v>
      </c>
      <c r="M163" s="1">
        <v>0</v>
      </c>
      <c r="N163" s="1">
        <v>0</v>
      </c>
      <c r="O163" s="1">
        <v>0</v>
      </c>
      <c r="P163" s="1">
        <v>0</v>
      </c>
      <c r="Q163" s="1">
        <v>0</v>
      </c>
      <c r="R163" s="1">
        <v>0</v>
      </c>
      <c r="S163" s="1">
        <v>0</v>
      </c>
      <c r="T163" s="1">
        <v>0</v>
      </c>
      <c r="U163" s="1">
        <v>0</v>
      </c>
      <c r="V163" s="1">
        <v>0</v>
      </c>
      <c r="W163" s="1">
        <v>0</v>
      </c>
      <c r="X163" s="1">
        <v>0</v>
      </c>
      <c r="Y163" s="1">
        <v>0</v>
      </c>
      <c r="Z163" s="1">
        <v>0</v>
      </c>
      <c r="AA163" s="1">
        <v>0</v>
      </c>
      <c r="AB163" s="1">
        <v>0</v>
      </c>
      <c r="AC163" s="1">
        <v>0</v>
      </c>
      <c r="AD163" s="1">
        <v>0</v>
      </c>
      <c r="AE163" s="1">
        <v>0</v>
      </c>
      <c r="AF163" s="1">
        <v>0</v>
      </c>
      <c r="AG163" s="12">
        <v>0</v>
      </c>
      <c r="AH163" s="23"/>
      <c r="AI163" s="23">
        <v>9</v>
      </c>
      <c r="AJ163" s="11">
        <v>4.585757223888668E-2</v>
      </c>
      <c r="AK163" s="1">
        <v>0.10131377284724787</v>
      </c>
      <c r="AL163" s="1">
        <v>0.17693811395443371</v>
      </c>
      <c r="AM163" s="1">
        <v>0.14197282042943693</v>
      </c>
      <c r="AN163" s="1">
        <v>5.1753213685698886E-2</v>
      </c>
      <c r="AO163" s="1">
        <v>-2.7587914084131665E-2</v>
      </c>
      <c r="AP163" s="1">
        <v>6.3893367615528565E-2</v>
      </c>
      <c r="AQ163" s="1">
        <v>0.14197253600675738</v>
      </c>
      <c r="AR163" s="1">
        <v>0.29732254356253712</v>
      </c>
      <c r="AS163" s="1">
        <v>-3.5748160530247576E-2</v>
      </c>
      <c r="AT163" s="1">
        <v>-3.1990676057646592E-2</v>
      </c>
      <c r="AU163" s="1">
        <v>4.5857615510925799E-2</v>
      </c>
      <c r="AV163" s="1">
        <v>1.4985683961654887E-2</v>
      </c>
      <c r="AW163" s="1">
        <v>-3.7690144101483573E-3</v>
      </c>
      <c r="AX163" s="1">
        <v>7.4700734913412253E-3</v>
      </c>
      <c r="AY163" s="1">
        <v>-1.3556311962581766E-2</v>
      </c>
      <c r="AZ163" s="1">
        <v>4.8534558770540186E-2</v>
      </c>
      <c r="BA163" s="1">
        <v>3.0510750864463376E-2</v>
      </c>
      <c r="BB163" s="1">
        <v>0.16120153251176181</v>
      </c>
      <c r="BC163" s="1">
        <v>8.2732396587148718E-2</v>
      </c>
      <c r="BD163" s="1">
        <v>-2.7604325292365166E-2</v>
      </c>
      <c r="BE163" s="1">
        <v>-4.518358820132181E-2</v>
      </c>
      <c r="BF163" s="1">
        <v>-7.1294522844028735E-2</v>
      </c>
      <c r="BG163" s="1">
        <v>6.5093433086074182E-2</v>
      </c>
      <c r="BH163" s="1">
        <v>0.14546176172767747</v>
      </c>
      <c r="BI163" s="1">
        <v>-6.6472758476035967E-2</v>
      </c>
      <c r="BJ163" s="1">
        <v>-8.5559187990643965E-2</v>
      </c>
      <c r="BK163" s="1">
        <v>4.1372030838680768E-2</v>
      </c>
      <c r="BL163" s="1">
        <v>-7.970723005880434E-2</v>
      </c>
      <c r="BM163" s="1">
        <v>0.14469793135288753</v>
      </c>
      <c r="BN163" s="1">
        <v>-2.640696951592127E-2</v>
      </c>
      <c r="BO163" s="12">
        <v>-4.1132337341756371E-2</v>
      </c>
      <c r="BP163" s="23"/>
      <c r="BQ163" s="23"/>
      <c r="BR163" s="23"/>
      <c r="BS163" s="23"/>
      <c r="BT163" s="23"/>
    </row>
    <row r="164" spans="1:72">
      <c r="A164">
        <v>10</v>
      </c>
      <c r="B164" s="11">
        <v>0</v>
      </c>
      <c r="C164" s="1">
        <v>0</v>
      </c>
      <c r="D164" s="1">
        <v>0</v>
      </c>
      <c r="E164" s="1">
        <v>0</v>
      </c>
      <c r="F164" s="1">
        <v>0</v>
      </c>
      <c r="G164" s="1">
        <v>0</v>
      </c>
      <c r="H164" s="1">
        <v>0</v>
      </c>
      <c r="I164" s="1">
        <v>0</v>
      </c>
      <c r="J164" s="1">
        <v>0</v>
      </c>
      <c r="K164" s="1">
        <v>1</v>
      </c>
      <c r="L164" s="1">
        <v>0</v>
      </c>
      <c r="M164" s="1">
        <v>0</v>
      </c>
      <c r="N164" s="1">
        <v>0</v>
      </c>
      <c r="O164" s="1">
        <v>0</v>
      </c>
      <c r="P164" s="1">
        <v>0</v>
      </c>
      <c r="Q164" s="1">
        <v>0</v>
      </c>
      <c r="R164" s="1">
        <v>0</v>
      </c>
      <c r="S164" s="1">
        <v>0</v>
      </c>
      <c r="T164" s="1">
        <v>0</v>
      </c>
      <c r="U164" s="1">
        <v>0</v>
      </c>
      <c r="V164" s="1">
        <v>0</v>
      </c>
      <c r="W164" s="1">
        <v>0</v>
      </c>
      <c r="X164" s="1">
        <v>0</v>
      </c>
      <c r="Y164" s="1">
        <v>0</v>
      </c>
      <c r="Z164" s="1">
        <v>0</v>
      </c>
      <c r="AA164" s="1">
        <v>0</v>
      </c>
      <c r="AB164" s="1">
        <v>0</v>
      </c>
      <c r="AC164" s="1">
        <v>0</v>
      </c>
      <c r="AD164" s="1">
        <v>0</v>
      </c>
      <c r="AE164" s="1">
        <v>0</v>
      </c>
      <c r="AF164" s="1">
        <v>0</v>
      </c>
      <c r="AG164" s="12">
        <v>0</v>
      </c>
      <c r="AH164" s="23"/>
      <c r="AI164" s="23">
        <v>10</v>
      </c>
      <c r="AJ164" s="11">
        <v>9.2477920432634864E-2</v>
      </c>
      <c r="AK164" s="1">
        <v>-8.8667551359342678E-3</v>
      </c>
      <c r="AL164" s="1">
        <v>5.0269417841416258E-3</v>
      </c>
      <c r="AM164" s="1">
        <v>-4.6240529890133067E-2</v>
      </c>
      <c r="AN164" s="1">
        <v>-1.3748925918346942E-2</v>
      </c>
      <c r="AO164" s="1">
        <v>5.4130907294335853E-3</v>
      </c>
      <c r="AP164" s="1">
        <v>-3.4536451344891084E-2</v>
      </c>
      <c r="AQ164" s="1">
        <v>-4.6240437253701847E-2</v>
      </c>
      <c r="AR164" s="1">
        <v>-3.5748160530247694E-2</v>
      </c>
      <c r="AS164" s="1">
        <v>0.34784694273118305</v>
      </c>
      <c r="AT164" s="1">
        <v>0.24947664558458499</v>
      </c>
      <c r="AU164" s="1">
        <v>9.2478007696482137E-2</v>
      </c>
      <c r="AV164" s="1">
        <v>9.9850415149275062E-2</v>
      </c>
      <c r="AW164" s="1">
        <v>0.11559994123176248</v>
      </c>
      <c r="AX164" s="1">
        <v>4.8537052019037671E-2</v>
      </c>
      <c r="AY164" s="1">
        <v>-2.0387466938082195E-2</v>
      </c>
      <c r="AZ164" s="1">
        <v>-2.7594196306323093E-2</v>
      </c>
      <c r="BA164" s="1">
        <v>-1.0824708876946441E-2</v>
      </c>
      <c r="BB164" s="1">
        <v>-2.5302793977025097E-3</v>
      </c>
      <c r="BC164" s="1">
        <v>2.0235148514821514E-3</v>
      </c>
      <c r="BD164" s="1">
        <v>0.2860384841038135</v>
      </c>
      <c r="BE164" s="1">
        <v>-6.4310019439774796E-2</v>
      </c>
      <c r="BF164" s="1">
        <v>-1.8389020352790508E-2</v>
      </c>
      <c r="BG164" s="1">
        <v>-4.9842580198394201E-3</v>
      </c>
      <c r="BH164" s="1">
        <v>-4.1208353054777505E-2</v>
      </c>
      <c r="BI164" s="1">
        <v>-0.15714683323663123</v>
      </c>
      <c r="BJ164" s="1">
        <v>-4.8042674631491086E-3</v>
      </c>
      <c r="BK164" s="1">
        <v>-1.5947269586146916E-2</v>
      </c>
      <c r="BL164" s="1">
        <v>-3.7860641879791327E-3</v>
      </c>
      <c r="BM164" s="1">
        <v>1.5623225103463896E-2</v>
      </c>
      <c r="BN164" s="1">
        <v>-1.3813726463616975E-2</v>
      </c>
      <c r="BO164" s="12">
        <v>-2.545076088209303E-3</v>
      </c>
      <c r="BP164" s="23"/>
      <c r="BQ164" s="23"/>
      <c r="BR164" s="23"/>
      <c r="BS164" s="23"/>
      <c r="BT164" s="23"/>
    </row>
    <row r="165" spans="1:72">
      <c r="A165">
        <v>11</v>
      </c>
      <c r="B165" s="11">
        <v>0</v>
      </c>
      <c r="C165" s="1">
        <v>0</v>
      </c>
      <c r="D165" s="1">
        <v>0</v>
      </c>
      <c r="E165" s="1">
        <v>0</v>
      </c>
      <c r="F165" s="1">
        <v>0</v>
      </c>
      <c r="G165" s="1">
        <v>0</v>
      </c>
      <c r="H165" s="1">
        <v>0</v>
      </c>
      <c r="I165" s="1">
        <v>0</v>
      </c>
      <c r="J165" s="1">
        <v>0</v>
      </c>
      <c r="K165" s="1">
        <v>0</v>
      </c>
      <c r="L165" s="1">
        <v>1</v>
      </c>
      <c r="M165" s="1">
        <v>0</v>
      </c>
      <c r="N165" s="1">
        <v>0</v>
      </c>
      <c r="O165" s="1">
        <v>0</v>
      </c>
      <c r="P165" s="1">
        <v>0</v>
      </c>
      <c r="Q165" s="1">
        <v>0</v>
      </c>
      <c r="R165" s="1">
        <v>0</v>
      </c>
      <c r="S165" s="1">
        <v>0</v>
      </c>
      <c r="T165" s="1">
        <v>0</v>
      </c>
      <c r="U165" s="1">
        <v>0</v>
      </c>
      <c r="V165" s="1">
        <v>0</v>
      </c>
      <c r="W165" s="1">
        <v>0</v>
      </c>
      <c r="X165" s="1">
        <v>0</v>
      </c>
      <c r="Y165" s="1">
        <v>0</v>
      </c>
      <c r="Z165" s="1">
        <v>0</v>
      </c>
      <c r="AA165" s="1">
        <v>0</v>
      </c>
      <c r="AB165" s="1">
        <v>0</v>
      </c>
      <c r="AC165" s="1">
        <v>0</v>
      </c>
      <c r="AD165" s="1">
        <v>0</v>
      </c>
      <c r="AE165" s="1">
        <v>0</v>
      </c>
      <c r="AF165" s="1">
        <v>0</v>
      </c>
      <c r="AG165" s="12">
        <v>0</v>
      </c>
      <c r="AH165" s="23"/>
      <c r="AI165" s="23">
        <v>11</v>
      </c>
      <c r="AJ165" s="11">
        <v>0.21393519860375834</v>
      </c>
      <c r="AK165" s="1">
        <v>5.4874709940366979E-3</v>
      </c>
      <c r="AL165" s="1">
        <v>2.5432875224263067E-2</v>
      </c>
      <c r="AM165" s="1">
        <v>-4.8940880273846049E-2</v>
      </c>
      <c r="AN165" s="1">
        <v>-8.6706755338438884E-2</v>
      </c>
      <c r="AO165" s="1">
        <v>0.13414207914192239</v>
      </c>
      <c r="AP165" s="1">
        <v>1.3077484368901795E-2</v>
      </c>
      <c r="AQ165" s="1">
        <v>-4.8940782227640686E-2</v>
      </c>
      <c r="AR165" s="1">
        <v>-3.1990676057646585E-2</v>
      </c>
      <c r="AS165" s="1">
        <v>0.24947664558458479</v>
      </c>
      <c r="AT165" s="1">
        <v>0.48166291459642507</v>
      </c>
      <c r="AU165" s="1">
        <v>0.2139354004769019</v>
      </c>
      <c r="AV165" s="1">
        <v>-7.4290236018804801E-2</v>
      </c>
      <c r="AW165" s="1">
        <v>-1.7718011707476916E-2</v>
      </c>
      <c r="AX165" s="1">
        <v>-1.9527288970073393E-2</v>
      </c>
      <c r="AY165" s="1">
        <v>8.0398479351528485E-3</v>
      </c>
      <c r="AZ165" s="1">
        <v>3.684414313008073E-3</v>
      </c>
      <c r="BA165" s="1">
        <v>-3.763639649263964E-2</v>
      </c>
      <c r="BB165" s="1">
        <v>-6.0044641020561465E-2</v>
      </c>
      <c r="BC165" s="1">
        <v>1.3921961848076788E-2</v>
      </c>
      <c r="BD165" s="1">
        <v>-5.1437165027523095E-2</v>
      </c>
      <c r="BE165" s="1">
        <v>7.05945157142428E-2</v>
      </c>
      <c r="BF165" s="1">
        <v>6.6396981629770535E-2</v>
      </c>
      <c r="BG165" s="1">
        <v>9.1776405242161754E-2</v>
      </c>
      <c r="BH165" s="1">
        <v>-1.8359531218653254E-2</v>
      </c>
      <c r="BI165" s="1">
        <v>-0.15897120633999881</v>
      </c>
      <c r="BJ165" s="1">
        <v>3.8395104924702474E-2</v>
      </c>
      <c r="BK165" s="1">
        <v>-5.3817164297008703E-3</v>
      </c>
      <c r="BL165" s="1">
        <v>-1.5953359766997049E-2</v>
      </c>
      <c r="BM165" s="1">
        <v>2.7186005007658189E-2</v>
      </c>
      <c r="BN165" s="1">
        <v>-5.2396427278753238E-2</v>
      </c>
      <c r="BO165" s="12">
        <v>2.9908960716224946E-2</v>
      </c>
      <c r="BP165" s="23"/>
      <c r="BQ165" s="23"/>
      <c r="BR165" s="23"/>
      <c r="BS165" s="23"/>
      <c r="BT165" s="23"/>
    </row>
    <row r="166" spans="1:72">
      <c r="A166">
        <v>12</v>
      </c>
      <c r="B166" s="11">
        <v>0</v>
      </c>
      <c r="C166" s="1">
        <v>0</v>
      </c>
      <c r="D166" s="1">
        <v>0</v>
      </c>
      <c r="E166" s="1">
        <v>0</v>
      </c>
      <c r="F166" s="1">
        <v>0</v>
      </c>
      <c r="G166" s="1">
        <v>0</v>
      </c>
      <c r="H166" s="1">
        <v>0</v>
      </c>
      <c r="I166" s="1">
        <v>0</v>
      </c>
      <c r="J166" s="1">
        <v>0</v>
      </c>
      <c r="K166" s="1">
        <v>0</v>
      </c>
      <c r="L166" s="1">
        <v>0</v>
      </c>
      <c r="M166" s="1">
        <v>1</v>
      </c>
      <c r="N166" s="1">
        <v>0</v>
      </c>
      <c r="O166" s="1">
        <v>0</v>
      </c>
      <c r="P166" s="1">
        <v>0</v>
      </c>
      <c r="Q166" s="1">
        <v>0</v>
      </c>
      <c r="R166" s="1">
        <v>0</v>
      </c>
      <c r="S166" s="1">
        <v>0</v>
      </c>
      <c r="T166" s="1">
        <v>0</v>
      </c>
      <c r="U166" s="1">
        <v>0</v>
      </c>
      <c r="V166" s="1">
        <v>0</v>
      </c>
      <c r="W166" s="1">
        <v>0</v>
      </c>
      <c r="X166" s="1">
        <v>0</v>
      </c>
      <c r="Y166" s="1">
        <v>0</v>
      </c>
      <c r="Z166" s="1">
        <v>0</v>
      </c>
      <c r="AA166" s="1">
        <v>0</v>
      </c>
      <c r="AB166" s="1">
        <v>0</v>
      </c>
      <c r="AC166" s="1">
        <v>0</v>
      </c>
      <c r="AD166" s="1">
        <v>0</v>
      </c>
      <c r="AE166" s="1">
        <v>0</v>
      </c>
      <c r="AF166" s="1">
        <v>0</v>
      </c>
      <c r="AG166" s="12">
        <v>0</v>
      </c>
      <c r="AH166" s="23"/>
      <c r="AI166" s="23">
        <v>12</v>
      </c>
      <c r="AJ166" s="11">
        <v>0.26820176396043482</v>
      </c>
      <c r="AK166" s="1">
        <v>-4.2334881840608643E-3</v>
      </c>
      <c r="AL166" s="1">
        <v>-2.4575688993290708E-2</v>
      </c>
      <c r="AM166" s="1">
        <v>5.7774155038532837E-2</v>
      </c>
      <c r="AN166" s="1">
        <v>6.9523346236281952E-2</v>
      </c>
      <c r="AO166" s="1">
        <v>0.13918555236680302</v>
      </c>
      <c r="AP166" s="1">
        <v>-4.5134869816583149E-2</v>
      </c>
      <c r="AQ166" s="1">
        <v>5.77740392960975E-2</v>
      </c>
      <c r="AR166" s="1">
        <v>4.5857615510925792E-2</v>
      </c>
      <c r="AS166" s="1">
        <v>9.247800769648197E-2</v>
      </c>
      <c r="AT166" s="1">
        <v>0.2139354004769019</v>
      </c>
      <c r="AU166" s="1">
        <v>0.26820201704049634</v>
      </c>
      <c r="AV166" s="1">
        <v>-3.0691620014204515E-2</v>
      </c>
      <c r="AW166" s="1">
        <v>-1.5146159237608696E-2</v>
      </c>
      <c r="AX166" s="1">
        <v>8.584050581693127E-3</v>
      </c>
      <c r="AY166" s="1">
        <v>8.3669404080201158E-3</v>
      </c>
      <c r="AZ166" s="1">
        <v>9.750321593719016E-3</v>
      </c>
      <c r="BA166" s="1">
        <v>2.7821837506433751E-2</v>
      </c>
      <c r="BB166" s="1">
        <v>4.5645946505746854E-2</v>
      </c>
      <c r="BC166" s="1">
        <v>-3.5602016937543342E-3</v>
      </c>
      <c r="BD166" s="1">
        <v>-5.096719767876999E-2</v>
      </c>
      <c r="BE166" s="1">
        <v>-1.213803132965427E-2</v>
      </c>
      <c r="BF166" s="1">
        <v>-3.0626542483061646E-2</v>
      </c>
      <c r="BG166" s="1">
        <v>-6.8041497626470646E-2</v>
      </c>
      <c r="BH166" s="1">
        <v>6.5898446622730339E-2</v>
      </c>
      <c r="BI166" s="1">
        <v>9.5874822495226192E-2</v>
      </c>
      <c r="BJ166" s="1">
        <v>-5.9071400345743416E-2</v>
      </c>
      <c r="BK166" s="1">
        <v>2.9287661620037084E-3</v>
      </c>
      <c r="BL166" s="1">
        <v>1.3254157477119157E-2</v>
      </c>
      <c r="BM166" s="1">
        <v>-3.8153526589928571E-2</v>
      </c>
      <c r="BN166" s="1">
        <v>4.8873781021066334E-2</v>
      </c>
      <c r="BO166" s="12">
        <v>-2.6973200117811996E-2</v>
      </c>
      <c r="BP166" s="23"/>
      <c r="BQ166" s="23"/>
      <c r="BR166" s="23"/>
      <c r="BS166" s="23"/>
      <c r="BT166" s="23"/>
    </row>
    <row r="167" spans="1:72">
      <c r="A167">
        <v>13</v>
      </c>
      <c r="B167" s="11">
        <v>0</v>
      </c>
      <c r="C167" s="1">
        <v>0</v>
      </c>
      <c r="D167" s="1">
        <v>0</v>
      </c>
      <c r="E167" s="1">
        <v>0</v>
      </c>
      <c r="F167" s="1">
        <v>0</v>
      </c>
      <c r="G167" s="1">
        <v>0</v>
      </c>
      <c r="H167" s="1">
        <v>0</v>
      </c>
      <c r="I167" s="1">
        <v>0</v>
      </c>
      <c r="J167" s="1">
        <v>0</v>
      </c>
      <c r="K167" s="1">
        <v>0</v>
      </c>
      <c r="L167" s="1">
        <v>0</v>
      </c>
      <c r="M167" s="1">
        <v>0</v>
      </c>
      <c r="N167" s="1">
        <v>1</v>
      </c>
      <c r="O167" s="1">
        <v>0</v>
      </c>
      <c r="P167" s="1">
        <v>0</v>
      </c>
      <c r="Q167" s="1">
        <v>0</v>
      </c>
      <c r="R167" s="1">
        <v>0</v>
      </c>
      <c r="S167" s="1">
        <v>0</v>
      </c>
      <c r="T167" s="1">
        <v>0</v>
      </c>
      <c r="U167" s="1">
        <v>0</v>
      </c>
      <c r="V167" s="1">
        <v>0</v>
      </c>
      <c r="W167" s="1">
        <v>0</v>
      </c>
      <c r="X167" s="1">
        <v>0</v>
      </c>
      <c r="Y167" s="1">
        <v>0</v>
      </c>
      <c r="Z167" s="1">
        <v>0</v>
      </c>
      <c r="AA167" s="1">
        <v>0</v>
      </c>
      <c r="AB167" s="1">
        <v>0</v>
      </c>
      <c r="AC167" s="1">
        <v>0</v>
      </c>
      <c r="AD167" s="1">
        <v>0</v>
      </c>
      <c r="AE167" s="1">
        <v>0</v>
      </c>
      <c r="AF167" s="1">
        <v>0</v>
      </c>
      <c r="AG167" s="12">
        <v>0</v>
      </c>
      <c r="AH167" s="23"/>
      <c r="AI167" s="23">
        <v>13</v>
      </c>
      <c r="AJ167" s="11">
        <v>-3.0691591053061212E-2</v>
      </c>
      <c r="AK167" s="1">
        <v>1.4095981405088533E-2</v>
      </c>
      <c r="AL167" s="1">
        <v>-4.6452807698788359E-4</v>
      </c>
      <c r="AM167" s="1">
        <v>5.3520384622604944E-2</v>
      </c>
      <c r="AN167" s="1">
        <v>2.5351211485571942E-2</v>
      </c>
      <c r="AO167" s="1">
        <v>0.1269323521644195</v>
      </c>
      <c r="AP167" s="1">
        <v>0.236968373703632</v>
      </c>
      <c r="AQ167" s="1">
        <v>5.3520277402003477E-2</v>
      </c>
      <c r="AR167" s="1">
        <v>1.498568396165488E-2</v>
      </c>
      <c r="AS167" s="1">
        <v>9.9850415149275396E-2</v>
      </c>
      <c r="AT167" s="1">
        <v>-7.4290236018804676E-2</v>
      </c>
      <c r="AU167" s="1">
        <v>-3.0691620014204536E-2</v>
      </c>
      <c r="AV167" s="1">
        <v>0.44325341891885917</v>
      </c>
      <c r="AW167" s="1">
        <v>0.27315975899233652</v>
      </c>
      <c r="AX167" s="1">
        <v>0.13403405188699188</v>
      </c>
      <c r="AY167" s="1">
        <v>-2.8790102207670677E-2</v>
      </c>
      <c r="AZ167" s="1">
        <v>-1.2549551055206675E-2</v>
      </c>
      <c r="BA167" s="1">
        <v>-2.8394076792196396E-2</v>
      </c>
      <c r="BB167" s="1">
        <v>-4.0329757620473361E-4</v>
      </c>
      <c r="BC167" s="1">
        <v>-2.6421311531816895E-2</v>
      </c>
      <c r="BD167" s="1">
        <v>9.1137284359709053E-2</v>
      </c>
      <c r="BE167" s="1">
        <v>-8.7628287948737532E-2</v>
      </c>
      <c r="BF167" s="1">
        <v>-2.7317562999828848E-2</v>
      </c>
      <c r="BG167" s="1">
        <v>1.3310655050342013E-2</v>
      </c>
      <c r="BH167" s="1">
        <v>-8.3010890449776442E-2</v>
      </c>
      <c r="BI167" s="1">
        <v>9.3508801988291701E-2</v>
      </c>
      <c r="BJ167" s="1">
        <v>0.12670493057938384</v>
      </c>
      <c r="BK167" s="1">
        <v>5.7226427028376312E-2</v>
      </c>
      <c r="BL167" s="1">
        <v>-1.7792395535038807E-2</v>
      </c>
      <c r="BM167" s="1">
        <v>1.4771947749281047E-2</v>
      </c>
      <c r="BN167" s="1">
        <v>3.5414638187854383E-2</v>
      </c>
      <c r="BO167" s="12">
        <v>-4.0160161463695151E-2</v>
      </c>
      <c r="BP167" s="23"/>
      <c r="BQ167" s="23"/>
      <c r="BR167" s="23"/>
      <c r="BS167" s="23"/>
      <c r="BT167" s="23"/>
    </row>
    <row r="168" spans="1:72">
      <c r="A168">
        <v>14</v>
      </c>
      <c r="B168" s="11">
        <v>0</v>
      </c>
      <c r="C168" s="1">
        <v>0</v>
      </c>
      <c r="D168" s="1">
        <v>0</v>
      </c>
      <c r="E168" s="1">
        <v>0</v>
      </c>
      <c r="F168" s="1">
        <v>0</v>
      </c>
      <c r="G168" s="1">
        <v>0</v>
      </c>
      <c r="H168" s="1">
        <v>0</v>
      </c>
      <c r="I168" s="1">
        <v>0</v>
      </c>
      <c r="J168" s="1">
        <v>0</v>
      </c>
      <c r="K168" s="1">
        <v>0</v>
      </c>
      <c r="L168" s="1">
        <v>0</v>
      </c>
      <c r="M168" s="1">
        <v>0</v>
      </c>
      <c r="N168" s="1">
        <v>0</v>
      </c>
      <c r="O168" s="1">
        <v>1</v>
      </c>
      <c r="P168" s="1">
        <v>0</v>
      </c>
      <c r="Q168" s="1">
        <v>0</v>
      </c>
      <c r="R168" s="1">
        <v>0</v>
      </c>
      <c r="S168" s="1">
        <v>0</v>
      </c>
      <c r="T168" s="1">
        <v>0</v>
      </c>
      <c r="U168" s="1">
        <v>0</v>
      </c>
      <c r="V168" s="1">
        <v>0</v>
      </c>
      <c r="W168" s="1">
        <v>0</v>
      </c>
      <c r="X168" s="1">
        <v>0</v>
      </c>
      <c r="Y168" s="1">
        <v>0</v>
      </c>
      <c r="Z168" s="1">
        <v>0</v>
      </c>
      <c r="AA168" s="1">
        <v>0</v>
      </c>
      <c r="AB168" s="1">
        <v>0</v>
      </c>
      <c r="AC168" s="1">
        <v>0</v>
      </c>
      <c r="AD168" s="1">
        <v>0</v>
      </c>
      <c r="AE168" s="1">
        <v>0</v>
      </c>
      <c r="AF168" s="1">
        <v>0</v>
      </c>
      <c r="AG168" s="12">
        <v>0</v>
      </c>
      <c r="AH168" s="23"/>
      <c r="AI168" s="23">
        <v>14</v>
      </c>
      <c r="AJ168" s="11">
        <v>-1.5146144945430838E-2</v>
      </c>
      <c r="AK168" s="1">
        <v>-1.9826175507856689E-2</v>
      </c>
      <c r="AL168" s="1">
        <v>-3.5106491408029364E-3</v>
      </c>
      <c r="AM168" s="1">
        <v>-1.9984969473870417E-2</v>
      </c>
      <c r="AN168" s="1">
        <v>-4.2473493888274323E-2</v>
      </c>
      <c r="AO168" s="1">
        <v>-6.1316749471912846E-2</v>
      </c>
      <c r="AP168" s="1">
        <v>-0.11878557864542748</v>
      </c>
      <c r="AQ168" s="1">
        <v>-1.9984929436780589E-2</v>
      </c>
      <c r="AR168" s="1">
        <v>-3.7690144101483886E-3</v>
      </c>
      <c r="AS168" s="1">
        <v>0.1155999412317623</v>
      </c>
      <c r="AT168" s="1">
        <v>-1.7718011707476989E-2</v>
      </c>
      <c r="AU168" s="1">
        <v>-1.5146159237608654E-2</v>
      </c>
      <c r="AV168" s="1">
        <v>0.27315975899233641</v>
      </c>
      <c r="AW168" s="1">
        <v>0.56631528468932546</v>
      </c>
      <c r="AX168" s="1">
        <v>0.29059067194423666</v>
      </c>
      <c r="AY168" s="1">
        <v>-1.5905997323799818E-2</v>
      </c>
      <c r="AZ168" s="1">
        <v>-4.2956832314152309E-2</v>
      </c>
      <c r="BA168" s="1">
        <v>-9.4993016306320108E-2</v>
      </c>
      <c r="BB168" s="1">
        <v>-3.5795061281782364E-2</v>
      </c>
      <c r="BC168" s="1">
        <v>3.2391196168688144E-2</v>
      </c>
      <c r="BD168" s="1">
        <v>-0.11566142155005064</v>
      </c>
      <c r="BE168" s="1">
        <v>-5.5116472026090164E-2</v>
      </c>
      <c r="BF168" s="1">
        <v>5.3220076390876489E-2</v>
      </c>
      <c r="BG168" s="1">
        <v>4.2892836197602945E-2</v>
      </c>
      <c r="BH168" s="1">
        <v>7.5735384748410378E-2</v>
      </c>
      <c r="BI168" s="1">
        <v>-1.0704037607489609E-3</v>
      </c>
      <c r="BJ168" s="1">
        <v>-6.6637299852520177E-2</v>
      </c>
      <c r="BK168" s="1">
        <v>-1.5544224738294147E-2</v>
      </c>
      <c r="BL168" s="1">
        <v>-3.343696626775939E-2</v>
      </c>
      <c r="BM168" s="1">
        <v>-2.3343965902590396E-2</v>
      </c>
      <c r="BN168" s="1">
        <v>1.7569033181584429E-2</v>
      </c>
      <c r="BO168" s="12">
        <v>-6.7705648589312994E-2</v>
      </c>
      <c r="BP168" s="23"/>
      <c r="BQ168" s="23"/>
      <c r="BR168" s="23"/>
      <c r="BS168" s="23"/>
      <c r="BT168" s="23"/>
    </row>
    <row r="169" spans="1:72">
      <c r="A169">
        <v>15</v>
      </c>
      <c r="B169" s="11">
        <v>0</v>
      </c>
      <c r="C169" s="1">
        <v>0</v>
      </c>
      <c r="D169" s="1">
        <v>0</v>
      </c>
      <c r="E169" s="1">
        <v>0</v>
      </c>
      <c r="F169" s="1">
        <v>0</v>
      </c>
      <c r="G169" s="1">
        <v>0</v>
      </c>
      <c r="H169" s="1">
        <v>0</v>
      </c>
      <c r="I169" s="1">
        <v>0</v>
      </c>
      <c r="J169" s="1">
        <v>0</v>
      </c>
      <c r="K169" s="1">
        <v>0</v>
      </c>
      <c r="L169" s="1">
        <v>0</v>
      </c>
      <c r="M169" s="1">
        <v>0</v>
      </c>
      <c r="N169" s="1">
        <v>0</v>
      </c>
      <c r="O169" s="1">
        <v>0</v>
      </c>
      <c r="P169" s="1">
        <v>1</v>
      </c>
      <c r="Q169" s="1">
        <v>0</v>
      </c>
      <c r="R169" s="1">
        <v>0</v>
      </c>
      <c r="S169" s="1">
        <v>0</v>
      </c>
      <c r="T169" s="1">
        <v>0</v>
      </c>
      <c r="U169" s="1">
        <v>0</v>
      </c>
      <c r="V169" s="1">
        <v>0</v>
      </c>
      <c r="W169" s="1">
        <v>0</v>
      </c>
      <c r="X169" s="1">
        <v>0</v>
      </c>
      <c r="Y169" s="1">
        <v>0</v>
      </c>
      <c r="Z169" s="1">
        <v>0</v>
      </c>
      <c r="AA169" s="1">
        <v>0</v>
      </c>
      <c r="AB169" s="1">
        <v>0</v>
      </c>
      <c r="AC169" s="1">
        <v>0</v>
      </c>
      <c r="AD169" s="1">
        <v>0</v>
      </c>
      <c r="AE169" s="1">
        <v>0</v>
      </c>
      <c r="AF169" s="1">
        <v>0</v>
      </c>
      <c r="AG169" s="12">
        <v>0</v>
      </c>
      <c r="AH169" s="23"/>
      <c r="AI169" s="23">
        <v>15</v>
      </c>
      <c r="AJ169" s="11">
        <v>8.5840424816346662E-3</v>
      </c>
      <c r="AK169" s="1">
        <v>1.8584411486547273E-2</v>
      </c>
      <c r="AL169" s="1">
        <v>3.1317769474443358E-3</v>
      </c>
      <c r="AM169" s="1">
        <v>-3.9687431730584559E-3</v>
      </c>
      <c r="AN169" s="1">
        <v>4.2292700361958264E-2</v>
      </c>
      <c r="AO169" s="1">
        <v>-4.586269462568137E-2</v>
      </c>
      <c r="AP169" s="1">
        <v>-5.7297263884950961E-2</v>
      </c>
      <c r="AQ169" s="1">
        <v>-3.9687352222368558E-3</v>
      </c>
      <c r="AR169" s="1">
        <v>7.4700734913413225E-3</v>
      </c>
      <c r="AS169" s="1">
        <v>4.8537052019037533E-2</v>
      </c>
      <c r="AT169" s="1">
        <v>-1.9527288970073442E-2</v>
      </c>
      <c r="AU169" s="1">
        <v>8.5840505816932068E-3</v>
      </c>
      <c r="AV169" s="1">
        <v>0.13403405188699208</v>
      </c>
      <c r="AW169" s="1">
        <v>0.29059067194423671</v>
      </c>
      <c r="AX169" s="1">
        <v>0.41159939731807377</v>
      </c>
      <c r="AY169" s="1">
        <v>6.3386850863128785E-2</v>
      </c>
      <c r="AZ169" s="1">
        <v>8.9458957513759707E-2</v>
      </c>
      <c r="BA169" s="1">
        <v>0.17373383582724183</v>
      </c>
      <c r="BB169" s="1">
        <v>5.3936114860412172E-2</v>
      </c>
      <c r="BC169" s="1">
        <v>-2.0667449943021617E-2</v>
      </c>
      <c r="BD169" s="1">
        <v>-6.7528227412028213E-2</v>
      </c>
      <c r="BE169" s="1">
        <v>0.20383167370049196</v>
      </c>
      <c r="BF169" s="1">
        <v>-4.0073151935292789E-2</v>
      </c>
      <c r="BG169" s="1">
        <v>-7.4088931270216929E-2</v>
      </c>
      <c r="BH169" s="1">
        <v>-3.456667753064295E-3</v>
      </c>
      <c r="BI169" s="1">
        <v>-1.86846953298897E-2</v>
      </c>
      <c r="BJ169" s="1">
        <v>-3.2815420443942561E-2</v>
      </c>
      <c r="BK169" s="1">
        <v>-2.9273048934328624E-2</v>
      </c>
      <c r="BL169" s="1">
        <v>6.9294971124147689E-2</v>
      </c>
      <c r="BM169" s="1">
        <v>1.0932095591361497E-2</v>
      </c>
      <c r="BN169" s="1">
        <v>-5.5868934609491605E-2</v>
      </c>
      <c r="BO169" s="12">
        <v>0.14210842685275374</v>
      </c>
      <c r="BP169" s="23"/>
      <c r="BQ169" s="23"/>
      <c r="BR169" s="23"/>
      <c r="BS169" s="23"/>
      <c r="BT169" s="23"/>
    </row>
    <row r="170" spans="1:72">
      <c r="A170">
        <v>16</v>
      </c>
      <c r="B170" s="11">
        <v>0</v>
      </c>
      <c r="C170" s="1">
        <v>0</v>
      </c>
      <c r="D170" s="1">
        <v>0</v>
      </c>
      <c r="E170" s="1">
        <v>0</v>
      </c>
      <c r="F170" s="1">
        <v>0</v>
      </c>
      <c r="G170" s="1">
        <v>0</v>
      </c>
      <c r="H170" s="1">
        <v>0</v>
      </c>
      <c r="I170" s="1">
        <v>0</v>
      </c>
      <c r="J170" s="1">
        <v>0</v>
      </c>
      <c r="K170" s="1">
        <v>0</v>
      </c>
      <c r="L170" s="1">
        <v>0</v>
      </c>
      <c r="M170" s="1">
        <v>0</v>
      </c>
      <c r="N170" s="1">
        <v>0</v>
      </c>
      <c r="O170" s="1">
        <v>0</v>
      </c>
      <c r="P170" s="1">
        <v>0</v>
      </c>
      <c r="Q170" s="1">
        <v>1</v>
      </c>
      <c r="R170" s="1">
        <v>0</v>
      </c>
      <c r="S170" s="1">
        <v>0</v>
      </c>
      <c r="T170" s="1">
        <v>0</v>
      </c>
      <c r="U170" s="1">
        <v>0</v>
      </c>
      <c r="V170" s="1">
        <v>0</v>
      </c>
      <c r="W170" s="1">
        <v>0</v>
      </c>
      <c r="X170" s="1">
        <v>0</v>
      </c>
      <c r="Y170" s="1">
        <v>0</v>
      </c>
      <c r="Z170" s="1">
        <v>0</v>
      </c>
      <c r="AA170" s="1">
        <v>0</v>
      </c>
      <c r="AB170" s="1">
        <v>0</v>
      </c>
      <c r="AC170" s="1">
        <v>0</v>
      </c>
      <c r="AD170" s="1">
        <v>0</v>
      </c>
      <c r="AE170" s="1">
        <v>0</v>
      </c>
      <c r="AF170" s="1">
        <v>0</v>
      </c>
      <c r="AG170" s="12">
        <v>0</v>
      </c>
      <c r="AH170" s="23"/>
      <c r="AI170" s="23">
        <v>16</v>
      </c>
      <c r="AJ170" s="11">
        <v>8.3669325128304887E-3</v>
      </c>
      <c r="AK170" s="1">
        <v>-3.8370562418993844E-3</v>
      </c>
      <c r="AL170" s="1">
        <v>-5.9256832653468844E-3</v>
      </c>
      <c r="AM170" s="1">
        <v>-1.4656321117193106E-3</v>
      </c>
      <c r="AN170" s="1">
        <v>5.2346953050059625E-2</v>
      </c>
      <c r="AO170" s="1">
        <v>-1.7163761453066383E-2</v>
      </c>
      <c r="AP170" s="1">
        <v>1.1611373091786396E-2</v>
      </c>
      <c r="AQ170" s="1">
        <v>-1.4656291755304474E-3</v>
      </c>
      <c r="AR170" s="1">
        <v>-1.3556311962581828E-2</v>
      </c>
      <c r="AS170" s="1">
        <v>-2.0387466938082313E-2</v>
      </c>
      <c r="AT170" s="1">
        <v>8.0398479351529301E-3</v>
      </c>
      <c r="AU170" s="1">
        <v>8.3669404080201279E-3</v>
      </c>
      <c r="AV170" s="1">
        <v>-2.8790102207670809E-2</v>
      </c>
      <c r="AW170" s="1">
        <v>-1.5905997323799631E-2</v>
      </c>
      <c r="AX170" s="1">
        <v>6.338685086312891E-2</v>
      </c>
      <c r="AY170" s="1">
        <v>0.34640344737799073</v>
      </c>
      <c r="AZ170" s="1">
        <v>0.22138446877440696</v>
      </c>
      <c r="BA170" s="1">
        <v>0.12127327731613033</v>
      </c>
      <c r="BB170" s="1">
        <v>5.8858225575451353E-2</v>
      </c>
      <c r="BC170" s="1">
        <v>-4.3908508875489319E-2</v>
      </c>
      <c r="BD170" s="1">
        <v>-3.5015071306382956E-2</v>
      </c>
      <c r="BE170" s="1">
        <v>-7.7699887181730196E-2</v>
      </c>
      <c r="BF170" s="1">
        <v>0.32349433894553892</v>
      </c>
      <c r="BG170" s="1">
        <v>-0.11781599007773913</v>
      </c>
      <c r="BH170" s="1">
        <v>-5.0467428619324226E-2</v>
      </c>
      <c r="BI170" s="1">
        <v>-4.2495961760362327E-2</v>
      </c>
      <c r="BJ170" s="1">
        <v>2.8467359734333605E-2</v>
      </c>
      <c r="BK170" s="1">
        <v>-3.4552653267171135E-2</v>
      </c>
      <c r="BL170" s="1">
        <v>6.069251331754108E-2</v>
      </c>
      <c r="BM170" s="1">
        <v>4.0772658149751471E-2</v>
      </c>
      <c r="BN170" s="1">
        <v>-4.8315073261567996E-2</v>
      </c>
      <c r="BO170" s="12">
        <v>-9.1323407109838522E-2</v>
      </c>
      <c r="BP170" s="23"/>
      <c r="BQ170" s="23"/>
      <c r="BR170" s="23"/>
      <c r="BS170" s="23"/>
      <c r="BT170" s="23"/>
    </row>
    <row r="171" spans="1:72">
      <c r="A171">
        <v>17</v>
      </c>
      <c r="B171" s="11">
        <v>0</v>
      </c>
      <c r="C171" s="1">
        <v>0</v>
      </c>
      <c r="D171" s="1">
        <v>0</v>
      </c>
      <c r="E171" s="1">
        <v>0</v>
      </c>
      <c r="F171" s="1">
        <v>0</v>
      </c>
      <c r="G171" s="1">
        <v>0</v>
      </c>
      <c r="H171" s="1">
        <v>0</v>
      </c>
      <c r="I171" s="1">
        <v>0</v>
      </c>
      <c r="J171" s="1">
        <v>0</v>
      </c>
      <c r="K171" s="1">
        <v>0</v>
      </c>
      <c r="L171" s="1">
        <v>0</v>
      </c>
      <c r="M171" s="1">
        <v>0</v>
      </c>
      <c r="N171" s="1">
        <v>0</v>
      </c>
      <c r="O171" s="1">
        <v>0</v>
      </c>
      <c r="P171" s="1">
        <v>0</v>
      </c>
      <c r="Q171" s="1">
        <v>0</v>
      </c>
      <c r="R171" s="1">
        <v>1</v>
      </c>
      <c r="S171" s="1">
        <v>0</v>
      </c>
      <c r="T171" s="1">
        <v>0</v>
      </c>
      <c r="U171" s="1">
        <v>0</v>
      </c>
      <c r="V171" s="1">
        <v>0</v>
      </c>
      <c r="W171" s="1">
        <v>0</v>
      </c>
      <c r="X171" s="1">
        <v>0</v>
      </c>
      <c r="Y171" s="1">
        <v>0</v>
      </c>
      <c r="Z171" s="1">
        <v>0</v>
      </c>
      <c r="AA171" s="1">
        <v>0</v>
      </c>
      <c r="AB171" s="1">
        <v>0</v>
      </c>
      <c r="AC171" s="1">
        <v>0</v>
      </c>
      <c r="AD171" s="1">
        <v>0</v>
      </c>
      <c r="AE171" s="1">
        <v>0</v>
      </c>
      <c r="AF171" s="1">
        <v>0</v>
      </c>
      <c r="AG171" s="12">
        <v>0</v>
      </c>
      <c r="AH171" s="23"/>
      <c r="AI171" s="23">
        <v>17</v>
      </c>
      <c r="AJ171" s="11">
        <v>9.7503123931469392E-3</v>
      </c>
      <c r="AK171" s="1">
        <v>0.10895267335203396</v>
      </c>
      <c r="AL171" s="1">
        <v>3.0846905657119943E-2</v>
      </c>
      <c r="AM171" s="1">
        <v>4.1976443251630323E-3</v>
      </c>
      <c r="AN171" s="1">
        <v>8.4846145089814667E-2</v>
      </c>
      <c r="AO171" s="1">
        <v>-3.0446168270585397E-3</v>
      </c>
      <c r="AP171" s="1">
        <v>5.6366063908609557E-2</v>
      </c>
      <c r="AQ171" s="1">
        <v>4.1976359157699893E-3</v>
      </c>
      <c r="AR171" s="1">
        <v>4.8534558770540158E-2</v>
      </c>
      <c r="AS171" s="1">
        <v>-2.7594196306323104E-2</v>
      </c>
      <c r="AT171" s="1">
        <v>3.6844143130080678E-3</v>
      </c>
      <c r="AU171" s="1">
        <v>9.7503215937190212E-3</v>
      </c>
      <c r="AV171" s="1">
        <v>-1.2549551055206679E-2</v>
      </c>
      <c r="AW171" s="1">
        <v>-4.2956832314152281E-2</v>
      </c>
      <c r="AX171" s="1">
        <v>8.9458957513759818E-2</v>
      </c>
      <c r="AY171" s="1">
        <v>0.22138446877440704</v>
      </c>
      <c r="AZ171" s="1">
        <v>0.29944677323999114</v>
      </c>
      <c r="BA171" s="1">
        <v>0.17483878776654208</v>
      </c>
      <c r="BB171" s="1">
        <v>6.3913665530250657E-2</v>
      </c>
      <c r="BC171" s="1">
        <v>2.8594520780334805E-2</v>
      </c>
      <c r="BD171" s="1">
        <v>-2.7031963026358921E-2</v>
      </c>
      <c r="BE171" s="1">
        <v>-7.7026589860025446E-2</v>
      </c>
      <c r="BF171" s="1">
        <v>0.17351736846819638</v>
      </c>
      <c r="BG171" s="1">
        <v>7.3700677092044184E-2</v>
      </c>
      <c r="BH171" s="1">
        <v>-9.484986918598888E-2</v>
      </c>
      <c r="BI171" s="1">
        <v>-4.8309623487867388E-2</v>
      </c>
      <c r="BJ171" s="1">
        <v>-7.3789658252326945E-2</v>
      </c>
      <c r="BK171" s="1">
        <v>9.1586214638498975E-2</v>
      </c>
      <c r="BL171" s="1">
        <v>3.941540646330359E-2</v>
      </c>
      <c r="BM171" s="1">
        <v>-7.7030712536221443E-2</v>
      </c>
      <c r="BN171" s="1">
        <v>3.0387048148791371E-2</v>
      </c>
      <c r="BO171" s="12">
        <v>0.11379416961042119</v>
      </c>
      <c r="BP171" s="23"/>
      <c r="BQ171" s="23"/>
      <c r="BR171" s="23"/>
      <c r="BS171" s="23"/>
      <c r="BT171" s="23"/>
    </row>
    <row r="172" spans="1:72">
      <c r="A172">
        <v>18</v>
      </c>
      <c r="B172" s="11">
        <v>0</v>
      </c>
      <c r="C172" s="1">
        <v>0</v>
      </c>
      <c r="D172" s="1">
        <v>0</v>
      </c>
      <c r="E172" s="1">
        <v>0</v>
      </c>
      <c r="F172" s="1">
        <v>0</v>
      </c>
      <c r="G172" s="1">
        <v>0</v>
      </c>
      <c r="H172" s="1">
        <v>0</v>
      </c>
      <c r="I172" s="1">
        <v>0</v>
      </c>
      <c r="J172" s="1">
        <v>0</v>
      </c>
      <c r="K172" s="1">
        <v>0</v>
      </c>
      <c r="L172" s="1">
        <v>0</v>
      </c>
      <c r="M172" s="1">
        <v>0</v>
      </c>
      <c r="N172" s="1">
        <v>0</v>
      </c>
      <c r="O172" s="1">
        <v>0</v>
      </c>
      <c r="P172" s="1">
        <v>0</v>
      </c>
      <c r="Q172" s="1">
        <v>0</v>
      </c>
      <c r="R172" s="1">
        <v>0</v>
      </c>
      <c r="S172" s="1">
        <v>1</v>
      </c>
      <c r="T172" s="1">
        <v>0</v>
      </c>
      <c r="U172" s="1">
        <v>0</v>
      </c>
      <c r="V172" s="1">
        <v>0</v>
      </c>
      <c r="W172" s="1">
        <v>0</v>
      </c>
      <c r="X172" s="1">
        <v>0</v>
      </c>
      <c r="Y172" s="1">
        <v>0</v>
      </c>
      <c r="Z172" s="1">
        <v>0</v>
      </c>
      <c r="AA172" s="1">
        <v>0</v>
      </c>
      <c r="AB172" s="1">
        <v>0</v>
      </c>
      <c r="AC172" s="1">
        <v>0</v>
      </c>
      <c r="AD172" s="1">
        <v>0</v>
      </c>
      <c r="AE172" s="1">
        <v>0</v>
      </c>
      <c r="AF172" s="1">
        <v>0</v>
      </c>
      <c r="AG172" s="12">
        <v>0</v>
      </c>
      <c r="AH172" s="23"/>
      <c r="AI172" s="23">
        <v>18</v>
      </c>
      <c r="AJ172" s="11">
        <v>2.7821811253266784E-2</v>
      </c>
      <c r="AK172" s="1">
        <v>4.5350661828258518E-2</v>
      </c>
      <c r="AL172" s="1">
        <v>1.2370769563098176E-2</v>
      </c>
      <c r="AM172" s="1">
        <v>2.2000336622967669E-2</v>
      </c>
      <c r="AN172" s="1">
        <v>5.4265701774810993E-2</v>
      </c>
      <c r="AO172" s="1">
        <v>8.453467679187799E-3</v>
      </c>
      <c r="AP172" s="1">
        <v>-2.2368305200980432E-3</v>
      </c>
      <c r="AQ172" s="1">
        <v>2.2000292548371752E-2</v>
      </c>
      <c r="AR172" s="1">
        <v>3.0510750864463466E-2</v>
      </c>
      <c r="AS172" s="1">
        <v>-1.0824708876946389E-2</v>
      </c>
      <c r="AT172" s="1">
        <v>-3.7636396492639522E-2</v>
      </c>
      <c r="AU172" s="1">
        <v>2.7821837506433786E-2</v>
      </c>
      <c r="AV172" s="1">
        <v>-2.8394076792196316E-2</v>
      </c>
      <c r="AW172" s="1">
        <v>-9.4993016306320219E-2</v>
      </c>
      <c r="AX172" s="1">
        <v>0.17373383582724172</v>
      </c>
      <c r="AY172" s="1">
        <v>0.12127327731613044</v>
      </c>
      <c r="AZ172" s="1">
        <v>0.17483878776654199</v>
      </c>
      <c r="BA172" s="1">
        <v>0.28715314943983267</v>
      </c>
      <c r="BB172" s="1">
        <v>7.0284440387949801E-2</v>
      </c>
      <c r="BC172" s="1">
        <v>-3.9005777462726848E-2</v>
      </c>
      <c r="BD172" s="1">
        <v>7.7076354735334973E-2</v>
      </c>
      <c r="BE172" s="1">
        <v>2.7475776821606537E-3</v>
      </c>
      <c r="BF172" s="1">
        <v>-3.5385716956192824E-2</v>
      </c>
      <c r="BG172" s="1">
        <v>-8.2659395647354292E-2</v>
      </c>
      <c r="BH172" s="1">
        <v>-5.9623680129458553E-3</v>
      </c>
      <c r="BI172" s="1">
        <v>4.4183548198997322E-2</v>
      </c>
      <c r="BJ172" s="1">
        <v>-1.9182957365621576E-3</v>
      </c>
      <c r="BK172" s="1">
        <v>-2.536236551905521E-2</v>
      </c>
      <c r="BL172" s="1">
        <v>0.11192807333520274</v>
      </c>
      <c r="BM172" s="1">
        <v>2.2988338292549339E-2</v>
      </c>
      <c r="BN172" s="1">
        <v>-9.9439672323449968E-2</v>
      </c>
      <c r="BO172" s="12">
        <v>0.2512404034222373</v>
      </c>
      <c r="BP172" s="23"/>
      <c r="BQ172" s="23"/>
      <c r="BR172" s="23"/>
      <c r="BS172" s="23"/>
      <c r="BT172" s="23"/>
    </row>
    <row r="173" spans="1:72">
      <c r="A173">
        <v>19</v>
      </c>
      <c r="B173" s="11">
        <v>0</v>
      </c>
      <c r="C173" s="1">
        <v>0</v>
      </c>
      <c r="D173" s="1">
        <v>0</v>
      </c>
      <c r="E173" s="1">
        <v>0</v>
      </c>
      <c r="F173" s="1">
        <v>0</v>
      </c>
      <c r="G173" s="1">
        <v>0</v>
      </c>
      <c r="H173" s="1">
        <v>0</v>
      </c>
      <c r="I173" s="1">
        <v>0</v>
      </c>
      <c r="J173" s="1">
        <v>0</v>
      </c>
      <c r="K173" s="1">
        <v>0</v>
      </c>
      <c r="L173" s="1">
        <v>0</v>
      </c>
      <c r="M173" s="1">
        <v>0</v>
      </c>
      <c r="N173" s="1">
        <v>0</v>
      </c>
      <c r="O173" s="1">
        <v>0</v>
      </c>
      <c r="P173" s="1">
        <v>0</v>
      </c>
      <c r="Q173" s="1">
        <v>0</v>
      </c>
      <c r="R173" s="1">
        <v>0</v>
      </c>
      <c r="S173" s="1">
        <v>0</v>
      </c>
      <c r="T173" s="1">
        <v>1</v>
      </c>
      <c r="U173" s="1">
        <v>0</v>
      </c>
      <c r="V173" s="1">
        <v>0</v>
      </c>
      <c r="W173" s="1">
        <v>0</v>
      </c>
      <c r="X173" s="1">
        <v>0</v>
      </c>
      <c r="Y173" s="1">
        <v>0</v>
      </c>
      <c r="Z173" s="1">
        <v>0</v>
      </c>
      <c r="AA173" s="1">
        <v>0</v>
      </c>
      <c r="AB173" s="1">
        <v>0</v>
      </c>
      <c r="AC173" s="1">
        <v>0</v>
      </c>
      <c r="AD173" s="1">
        <v>0</v>
      </c>
      <c r="AE173" s="1">
        <v>0</v>
      </c>
      <c r="AF173" s="1">
        <v>0</v>
      </c>
      <c r="AG173" s="12">
        <v>0</v>
      </c>
      <c r="AH173" s="23"/>
      <c r="AI173" s="23">
        <v>19</v>
      </c>
      <c r="AJ173" s="11">
        <v>4.5645903433442325E-2</v>
      </c>
      <c r="AK173" s="1">
        <v>5.917312953627956E-2</v>
      </c>
      <c r="AL173" s="1">
        <v>0.17580774616358746</v>
      </c>
      <c r="AM173" s="1">
        <v>1.2204930193448043E-2</v>
      </c>
      <c r="AN173" s="1">
        <v>0.13034741735596495</v>
      </c>
      <c r="AO173" s="1">
        <v>-8.9495906475201906E-3</v>
      </c>
      <c r="AP173" s="1">
        <v>-2.3753120733800273E-2</v>
      </c>
      <c r="AQ173" s="1">
        <v>1.2204905742578218E-2</v>
      </c>
      <c r="AR173" s="1">
        <v>0.16120153251176184</v>
      </c>
      <c r="AS173" s="1">
        <v>-2.5302793977023084E-3</v>
      </c>
      <c r="AT173" s="1">
        <v>-6.0044641020561396E-2</v>
      </c>
      <c r="AU173" s="1">
        <v>4.5645946505746833E-2</v>
      </c>
      <c r="AV173" s="1">
        <v>-4.032975762048056E-4</v>
      </c>
      <c r="AW173" s="1">
        <v>-3.5795061281782239E-2</v>
      </c>
      <c r="AX173" s="1">
        <v>5.393611486041229E-2</v>
      </c>
      <c r="AY173" s="1">
        <v>5.8858225575451291E-2</v>
      </c>
      <c r="AZ173" s="1">
        <v>6.3913665530250643E-2</v>
      </c>
      <c r="BA173" s="1">
        <v>7.0284440387949787E-2</v>
      </c>
      <c r="BB173" s="1">
        <v>0.30244235691389676</v>
      </c>
      <c r="BC173" s="1">
        <v>0.22441593991636902</v>
      </c>
      <c r="BD173" s="1">
        <v>7.9784495573630515E-2</v>
      </c>
      <c r="BE173" s="1">
        <v>6.0047631053333779E-2</v>
      </c>
      <c r="BF173" s="1">
        <v>-4.0424293299454669E-2</v>
      </c>
      <c r="BG173" s="1">
        <v>-8.0340705555086447E-2</v>
      </c>
      <c r="BH173" s="1">
        <v>-6.7469544683596033E-2</v>
      </c>
      <c r="BI173" s="1">
        <v>4.8402416911172932E-2</v>
      </c>
      <c r="BJ173" s="1">
        <v>-8.990078758796663E-3</v>
      </c>
      <c r="BK173" s="1">
        <v>-0.12421744939609793</v>
      </c>
      <c r="BL173" s="1">
        <v>-6.8846978091499852E-2</v>
      </c>
      <c r="BM173" s="1">
        <v>2.693051580850904E-2</v>
      </c>
      <c r="BN173" s="1">
        <v>1.607943593204892E-2</v>
      </c>
      <c r="BO173" s="12">
        <v>-0.10785171587961795</v>
      </c>
      <c r="BP173" s="23"/>
      <c r="BQ173" s="23"/>
      <c r="BR173" s="23"/>
      <c r="BS173" s="23"/>
      <c r="BT173" s="23"/>
    </row>
    <row r="174" spans="1:72">
      <c r="A174">
        <v>20</v>
      </c>
      <c r="B174" s="11">
        <v>0</v>
      </c>
      <c r="C174" s="1">
        <v>0</v>
      </c>
      <c r="D174" s="1">
        <v>0</v>
      </c>
      <c r="E174" s="1">
        <v>0</v>
      </c>
      <c r="F174" s="1">
        <v>0</v>
      </c>
      <c r="G174" s="1">
        <v>0</v>
      </c>
      <c r="H174" s="1">
        <v>0</v>
      </c>
      <c r="I174" s="1">
        <v>0</v>
      </c>
      <c r="J174" s="1">
        <v>0</v>
      </c>
      <c r="K174" s="1">
        <v>0</v>
      </c>
      <c r="L174" s="1">
        <v>0</v>
      </c>
      <c r="M174" s="1">
        <v>0</v>
      </c>
      <c r="N174" s="1">
        <v>0</v>
      </c>
      <c r="O174" s="1">
        <v>0</v>
      </c>
      <c r="P174" s="1">
        <v>0</v>
      </c>
      <c r="Q174" s="1">
        <v>0</v>
      </c>
      <c r="R174" s="1">
        <v>0</v>
      </c>
      <c r="S174" s="1">
        <v>0</v>
      </c>
      <c r="T174" s="1">
        <v>0</v>
      </c>
      <c r="U174" s="1">
        <v>1</v>
      </c>
      <c r="V174" s="1">
        <v>0</v>
      </c>
      <c r="W174" s="1">
        <v>0</v>
      </c>
      <c r="X174" s="1">
        <v>0</v>
      </c>
      <c r="Y174" s="1">
        <v>0</v>
      </c>
      <c r="Z174" s="1">
        <v>0</v>
      </c>
      <c r="AA174" s="1">
        <v>0</v>
      </c>
      <c r="AB174" s="1">
        <v>0</v>
      </c>
      <c r="AC174" s="1">
        <v>0</v>
      </c>
      <c r="AD174" s="1">
        <v>0</v>
      </c>
      <c r="AE174" s="1">
        <v>0</v>
      </c>
      <c r="AF174" s="1">
        <v>0</v>
      </c>
      <c r="AG174" s="12">
        <v>0</v>
      </c>
      <c r="AH174" s="23"/>
      <c r="AI174" s="23">
        <v>20</v>
      </c>
      <c r="AJ174" s="11">
        <v>-3.5601983342863856E-3</v>
      </c>
      <c r="AK174" s="1">
        <v>4.1851544042912928E-2</v>
      </c>
      <c r="AL174" s="1">
        <v>0.16968591319289164</v>
      </c>
      <c r="AM174" s="1">
        <v>-3.422086272355989E-2</v>
      </c>
      <c r="AN174" s="1">
        <v>4.4484079657009928E-3</v>
      </c>
      <c r="AO174" s="1">
        <v>-2.1307285879106967E-2</v>
      </c>
      <c r="AP174" s="1">
        <v>-4.4506078316949436E-2</v>
      </c>
      <c r="AQ174" s="1">
        <v>-3.4220794166849949E-2</v>
      </c>
      <c r="AR174" s="1">
        <v>8.2732396587148788E-2</v>
      </c>
      <c r="AS174" s="1">
        <v>2.0235148514823366E-3</v>
      </c>
      <c r="AT174" s="1">
        <v>1.3921961848076883E-2</v>
      </c>
      <c r="AU174" s="1">
        <v>-3.5602016937542856E-3</v>
      </c>
      <c r="AV174" s="1">
        <v>-2.6421311531817059E-2</v>
      </c>
      <c r="AW174" s="1">
        <v>3.2391196168688338E-2</v>
      </c>
      <c r="AX174" s="1">
        <v>-2.0667449943021284E-2</v>
      </c>
      <c r="AY174" s="1">
        <v>-4.3908508875489569E-2</v>
      </c>
      <c r="AZ174" s="1">
        <v>2.8594520780334837E-2</v>
      </c>
      <c r="BA174" s="1">
        <v>-3.900577746272664E-2</v>
      </c>
      <c r="BB174" s="1">
        <v>0.22441593991636902</v>
      </c>
      <c r="BC174" s="1">
        <v>0.44646197877861599</v>
      </c>
      <c r="BD174" s="1">
        <v>-3.0375679970881909E-2</v>
      </c>
      <c r="BE174" s="1">
        <v>-3.1285739509479299E-2</v>
      </c>
      <c r="BF174" s="1">
        <v>-7.014669068348578E-3</v>
      </c>
      <c r="BG174" s="1">
        <v>0.11213384100779193</v>
      </c>
      <c r="BH174" s="1">
        <v>-3.0050109280076918E-2</v>
      </c>
      <c r="BI174" s="1">
        <v>-1.3407643179005169E-2</v>
      </c>
      <c r="BJ174" s="1">
        <v>0.11625002470107118</v>
      </c>
      <c r="BK174" s="1">
        <v>-0.23039564362126863</v>
      </c>
      <c r="BL174" s="1">
        <v>-0.12330178542955568</v>
      </c>
      <c r="BM174" s="1">
        <v>-0.21205689709803829</v>
      </c>
      <c r="BN174" s="1">
        <v>6.844466888352857E-2</v>
      </c>
      <c r="BO174" s="12">
        <v>2.933254648612179E-2</v>
      </c>
      <c r="BP174" s="23"/>
      <c r="BQ174" s="23"/>
      <c r="BR174" s="23"/>
      <c r="BS174" s="23"/>
      <c r="BT174" s="23"/>
    </row>
    <row r="175" spans="1:72">
      <c r="A175">
        <v>21</v>
      </c>
      <c r="B175" s="11">
        <v>0</v>
      </c>
      <c r="C175" s="1">
        <v>0</v>
      </c>
      <c r="D175" s="1">
        <v>0</v>
      </c>
      <c r="E175" s="1">
        <v>0</v>
      </c>
      <c r="F175" s="1">
        <v>0</v>
      </c>
      <c r="G175" s="1">
        <v>0</v>
      </c>
      <c r="H175" s="1">
        <v>0</v>
      </c>
      <c r="I175" s="1">
        <v>0</v>
      </c>
      <c r="J175" s="1">
        <v>0</v>
      </c>
      <c r="K175" s="1">
        <v>0</v>
      </c>
      <c r="L175" s="1">
        <v>0</v>
      </c>
      <c r="M175" s="1">
        <v>0</v>
      </c>
      <c r="N175" s="1">
        <v>0</v>
      </c>
      <c r="O175" s="1">
        <v>0</v>
      </c>
      <c r="P175" s="1">
        <v>0</v>
      </c>
      <c r="Q175" s="1">
        <v>0</v>
      </c>
      <c r="R175" s="1">
        <v>0</v>
      </c>
      <c r="S175" s="1">
        <v>0</v>
      </c>
      <c r="T175" s="1">
        <v>0</v>
      </c>
      <c r="U175" s="1">
        <v>0</v>
      </c>
      <c r="V175" s="1">
        <v>1</v>
      </c>
      <c r="W175" s="1">
        <v>0</v>
      </c>
      <c r="X175" s="1">
        <v>0</v>
      </c>
      <c r="Y175" s="1">
        <v>0</v>
      </c>
      <c r="Z175" s="1">
        <v>0</v>
      </c>
      <c r="AA175" s="1">
        <v>0</v>
      </c>
      <c r="AB175" s="1">
        <v>0</v>
      </c>
      <c r="AC175" s="1">
        <v>0</v>
      </c>
      <c r="AD175" s="1">
        <v>0</v>
      </c>
      <c r="AE175" s="1">
        <v>0</v>
      </c>
      <c r="AF175" s="1">
        <v>0</v>
      </c>
      <c r="AG175" s="12">
        <v>0</v>
      </c>
      <c r="AH175" s="23"/>
      <c r="AI175" s="23">
        <v>21</v>
      </c>
      <c r="AJ175" s="11">
        <v>-5.0967149585240679E-2</v>
      </c>
      <c r="AK175" s="1">
        <v>-9.5842225100824796E-3</v>
      </c>
      <c r="AL175" s="1">
        <v>-1.5607770723672861E-2</v>
      </c>
      <c r="AM175" s="1">
        <v>-1.8748358334355404E-2</v>
      </c>
      <c r="AN175" s="1">
        <v>9.1807761404120669E-2</v>
      </c>
      <c r="AO175" s="1">
        <v>-9.4085489441181322E-2</v>
      </c>
      <c r="AP175" s="1">
        <v>-3.7673013792401365E-3</v>
      </c>
      <c r="AQ175" s="1">
        <v>-1.8748320774642932E-2</v>
      </c>
      <c r="AR175" s="1">
        <v>-2.7604325292365287E-2</v>
      </c>
      <c r="AS175" s="1">
        <v>0.28603848410381394</v>
      </c>
      <c r="AT175" s="1">
        <v>-5.1437165027522561E-2</v>
      </c>
      <c r="AU175" s="1">
        <v>-5.0967197678769886E-2</v>
      </c>
      <c r="AV175" s="1">
        <v>9.1137284359708637E-2</v>
      </c>
      <c r="AW175" s="1">
        <v>-0.11566142155005071</v>
      </c>
      <c r="AX175" s="1">
        <v>-6.7528227412027853E-2</v>
      </c>
      <c r="AY175" s="1">
        <v>-3.5015071306382629E-2</v>
      </c>
      <c r="AZ175" s="1">
        <v>-2.7031963026358876E-2</v>
      </c>
      <c r="BA175" s="1">
        <v>7.707635473533507E-2</v>
      </c>
      <c r="BB175" s="1">
        <v>7.9784495573630432E-2</v>
      </c>
      <c r="BC175" s="1">
        <v>-3.0375679970882107E-2</v>
      </c>
      <c r="BD175" s="1">
        <v>0.62988666673893157</v>
      </c>
      <c r="BE175" s="1">
        <v>-0.15483080008194194</v>
      </c>
      <c r="BF175" s="1">
        <v>-0.13392969351318071</v>
      </c>
      <c r="BG175" s="1">
        <v>-0.13055656970085883</v>
      </c>
      <c r="BH175" s="1">
        <v>-9.9140227865153058E-2</v>
      </c>
      <c r="BI175" s="1">
        <v>-0.11142937557779699</v>
      </c>
      <c r="BJ175" s="1">
        <v>-8.8013184928815106E-3</v>
      </c>
      <c r="BK175" s="1">
        <v>-1.3318200219877237E-2</v>
      </c>
      <c r="BL175" s="1">
        <v>3.000471012522176E-2</v>
      </c>
      <c r="BM175" s="1">
        <v>1.3205786844259604E-2</v>
      </c>
      <c r="BN175" s="1">
        <v>1.984113421164764E-2</v>
      </c>
      <c r="BO175" s="12">
        <v>4.7222237280762462E-3</v>
      </c>
      <c r="BP175" s="23"/>
      <c r="BQ175" s="23"/>
      <c r="BR175" s="23"/>
      <c r="BS175" s="23"/>
      <c r="BT175" s="23"/>
    </row>
    <row r="176" spans="1:72">
      <c r="A176">
        <v>22</v>
      </c>
      <c r="B176" s="11">
        <v>0</v>
      </c>
      <c r="C176" s="1">
        <v>0</v>
      </c>
      <c r="D176" s="1">
        <v>0</v>
      </c>
      <c r="E176" s="1">
        <v>0</v>
      </c>
      <c r="F176" s="1">
        <v>0</v>
      </c>
      <c r="G176" s="1">
        <v>0</v>
      </c>
      <c r="H176" s="1">
        <v>0</v>
      </c>
      <c r="I176" s="1">
        <v>0</v>
      </c>
      <c r="J176" s="1">
        <v>0</v>
      </c>
      <c r="K176" s="1">
        <v>0</v>
      </c>
      <c r="L176" s="1">
        <v>0</v>
      </c>
      <c r="M176" s="1">
        <v>0</v>
      </c>
      <c r="N176" s="1">
        <v>0</v>
      </c>
      <c r="O176" s="1">
        <v>0</v>
      </c>
      <c r="P176" s="1">
        <v>0</v>
      </c>
      <c r="Q176" s="1">
        <v>0</v>
      </c>
      <c r="R176" s="1">
        <v>0</v>
      </c>
      <c r="S176" s="1">
        <v>0</v>
      </c>
      <c r="T176" s="1">
        <v>0</v>
      </c>
      <c r="U176" s="1">
        <v>0</v>
      </c>
      <c r="V176" s="1">
        <v>0</v>
      </c>
      <c r="W176" s="1">
        <v>1</v>
      </c>
      <c r="X176" s="1">
        <v>0</v>
      </c>
      <c r="Y176" s="1">
        <v>0</v>
      </c>
      <c r="Z176" s="1">
        <v>0</v>
      </c>
      <c r="AA176" s="1">
        <v>0</v>
      </c>
      <c r="AB176" s="1">
        <v>0</v>
      </c>
      <c r="AC176" s="1">
        <v>0</v>
      </c>
      <c r="AD176" s="1">
        <v>0</v>
      </c>
      <c r="AE176" s="1">
        <v>0</v>
      </c>
      <c r="AF176" s="1">
        <v>0</v>
      </c>
      <c r="AG176" s="12">
        <v>0</v>
      </c>
      <c r="AH176" s="23"/>
      <c r="AI176" s="23">
        <v>22</v>
      </c>
      <c r="AJ176" s="11">
        <v>-1.213801987599792E-2</v>
      </c>
      <c r="AK176" s="1">
        <v>-1.604003709737202E-2</v>
      </c>
      <c r="AL176" s="1">
        <v>-1.3984241046350862E-2</v>
      </c>
      <c r="AM176" s="1">
        <v>-2.5247461278996228E-2</v>
      </c>
      <c r="AN176" s="1">
        <v>7.8449454461985896E-2</v>
      </c>
      <c r="AO176" s="1">
        <v>-3.2269548267763667E-2</v>
      </c>
      <c r="AP176" s="1">
        <v>7.6898601505199227E-2</v>
      </c>
      <c r="AQ176" s="1">
        <v>-2.5247410699240407E-2</v>
      </c>
      <c r="AR176" s="1">
        <v>-4.518358820132172E-2</v>
      </c>
      <c r="AS176" s="1">
        <v>-6.431001943977481E-2</v>
      </c>
      <c r="AT176" s="1">
        <v>7.0594515714242856E-2</v>
      </c>
      <c r="AU176" s="1">
        <v>-1.2138031329654249E-2</v>
      </c>
      <c r="AV176" s="1">
        <v>-8.7628287948737074E-2</v>
      </c>
      <c r="AW176" s="1">
        <v>-5.5116472026089693E-2</v>
      </c>
      <c r="AX176" s="1">
        <v>0.20383167370049218</v>
      </c>
      <c r="AY176" s="1">
        <v>-7.7699887181730556E-2</v>
      </c>
      <c r="AZ176" s="1">
        <v>-7.7026589860025391E-2</v>
      </c>
      <c r="BA176" s="1">
        <v>2.7475776821604056E-3</v>
      </c>
      <c r="BB176" s="1">
        <v>6.0047631053333557E-2</v>
      </c>
      <c r="BC176" s="1">
        <v>-3.1285739509479438E-2</v>
      </c>
      <c r="BD176" s="1">
        <v>-0.15483080008194283</v>
      </c>
      <c r="BE176" s="1">
        <v>0.71030322357551856</v>
      </c>
      <c r="BF176" s="1">
        <v>-0.14012825892073288</v>
      </c>
      <c r="BG176" s="1">
        <v>-0.10386724458079073</v>
      </c>
      <c r="BH176" s="1">
        <v>-0.14955656184396507</v>
      </c>
      <c r="BI176" s="1">
        <v>-0.16192035814808708</v>
      </c>
      <c r="BJ176" s="1">
        <v>4.2774843415635623E-2</v>
      </c>
      <c r="BK176" s="1">
        <v>7.0693527634945845E-3</v>
      </c>
      <c r="BL176" s="1">
        <v>-1.5485378648851279E-3</v>
      </c>
      <c r="BM176" s="1">
        <v>2.3380476589373832E-2</v>
      </c>
      <c r="BN176" s="1">
        <v>4.2950810341725425E-2</v>
      </c>
      <c r="BO176" s="12">
        <v>-5.8293592161404943E-2</v>
      </c>
      <c r="BP176" s="23"/>
      <c r="BQ176" s="23"/>
      <c r="BR176" s="23"/>
      <c r="BS176" s="23"/>
      <c r="BT176" s="23"/>
    </row>
    <row r="177" spans="1:72">
      <c r="A177">
        <v>23</v>
      </c>
      <c r="B177" s="11">
        <v>0</v>
      </c>
      <c r="C177" s="1">
        <v>0</v>
      </c>
      <c r="D177" s="1">
        <v>0</v>
      </c>
      <c r="E177" s="1">
        <v>0</v>
      </c>
      <c r="F177" s="1">
        <v>0</v>
      </c>
      <c r="G177" s="1">
        <v>0</v>
      </c>
      <c r="H177" s="1">
        <v>0</v>
      </c>
      <c r="I177" s="1">
        <v>0</v>
      </c>
      <c r="J177" s="1">
        <v>0</v>
      </c>
      <c r="K177" s="1">
        <v>0</v>
      </c>
      <c r="L177" s="1">
        <v>0</v>
      </c>
      <c r="M177" s="1">
        <v>0</v>
      </c>
      <c r="N177" s="1">
        <v>0</v>
      </c>
      <c r="O177" s="1">
        <v>0</v>
      </c>
      <c r="P177" s="1">
        <v>0</v>
      </c>
      <c r="Q177" s="1">
        <v>0</v>
      </c>
      <c r="R177" s="1">
        <v>0</v>
      </c>
      <c r="S177" s="1">
        <v>0</v>
      </c>
      <c r="T177" s="1">
        <v>0</v>
      </c>
      <c r="U177" s="1">
        <v>0</v>
      </c>
      <c r="V177" s="1">
        <v>0</v>
      </c>
      <c r="W177" s="1">
        <v>0</v>
      </c>
      <c r="X177" s="1">
        <v>1</v>
      </c>
      <c r="Y177" s="1">
        <v>0</v>
      </c>
      <c r="Z177" s="1">
        <v>0</v>
      </c>
      <c r="AA177" s="1">
        <v>0</v>
      </c>
      <c r="AB177" s="1">
        <v>0</v>
      </c>
      <c r="AC177" s="1">
        <v>0</v>
      </c>
      <c r="AD177" s="1">
        <v>0</v>
      </c>
      <c r="AE177" s="1">
        <v>0</v>
      </c>
      <c r="AF177" s="1">
        <v>0</v>
      </c>
      <c r="AG177" s="12">
        <v>0</v>
      </c>
      <c r="AH177" s="23"/>
      <c r="AI177" s="23">
        <v>23</v>
      </c>
      <c r="AJ177" s="11">
        <v>-3.0626513583326517E-2</v>
      </c>
      <c r="AK177" s="1">
        <v>-9.2305665238061399E-2</v>
      </c>
      <c r="AL177" s="1">
        <v>-3.1619485802772657E-2</v>
      </c>
      <c r="AM177" s="1">
        <v>-3.2210827159626879E-2</v>
      </c>
      <c r="AN177" s="1">
        <v>-2.8628116319718781E-2</v>
      </c>
      <c r="AO177" s="1">
        <v>-2.4378282523163243E-2</v>
      </c>
      <c r="AP177" s="1">
        <v>2.0911871505661535E-2</v>
      </c>
      <c r="AQ177" s="1">
        <v>-3.2210762629741901E-2</v>
      </c>
      <c r="AR177" s="1">
        <v>-7.1294522844028818E-2</v>
      </c>
      <c r="AS177" s="1">
        <v>-1.838902035279057E-2</v>
      </c>
      <c r="AT177" s="1">
        <v>6.6396981629770493E-2</v>
      </c>
      <c r="AU177" s="1">
        <v>-3.0626542483061677E-2</v>
      </c>
      <c r="AV177" s="1">
        <v>-2.7317562999829084E-2</v>
      </c>
      <c r="AW177" s="1">
        <v>5.3220076390876517E-2</v>
      </c>
      <c r="AX177" s="1">
        <v>-4.0073151935292789E-2</v>
      </c>
      <c r="AY177" s="1">
        <v>0.32349433894553875</v>
      </c>
      <c r="AZ177" s="1">
        <v>0.17351736846819632</v>
      </c>
      <c r="BA177" s="1">
        <v>-3.5385716956192872E-2</v>
      </c>
      <c r="BB177" s="1">
        <v>-4.0424293299454656E-2</v>
      </c>
      <c r="BC177" s="1">
        <v>-7.0146690683483594E-3</v>
      </c>
      <c r="BD177" s="1">
        <v>-0.13392969351318054</v>
      </c>
      <c r="BE177" s="1">
        <v>-0.14012825892073311</v>
      </c>
      <c r="BF177" s="1">
        <v>0.46607671489995889</v>
      </c>
      <c r="BG177" s="1">
        <v>-4.4445138039654032E-2</v>
      </c>
      <c r="BH177" s="1">
        <v>-4.1988796523980777E-2</v>
      </c>
      <c r="BI177" s="1">
        <v>-0.1055848279024104</v>
      </c>
      <c r="BJ177" s="1">
        <v>6.2600269879964116E-2</v>
      </c>
      <c r="BK177" s="1">
        <v>-2.3016632262716802E-2</v>
      </c>
      <c r="BL177" s="1">
        <v>-9.4031450438730457E-2</v>
      </c>
      <c r="BM177" s="1">
        <v>3.6065019615500189E-2</v>
      </c>
      <c r="BN177" s="1">
        <v>7.7606482288240783E-2</v>
      </c>
      <c r="BO177" s="12">
        <v>-8.8016000404361472E-2</v>
      </c>
      <c r="BP177" s="23"/>
      <c r="BQ177" s="23"/>
      <c r="BR177" s="23"/>
      <c r="BS177" s="23"/>
      <c r="BT177" s="23"/>
    </row>
    <row r="178" spans="1:72">
      <c r="A178">
        <v>24</v>
      </c>
      <c r="B178" s="11">
        <v>0</v>
      </c>
      <c r="C178" s="1">
        <v>0</v>
      </c>
      <c r="D178" s="1">
        <v>0</v>
      </c>
      <c r="E178" s="1">
        <v>0</v>
      </c>
      <c r="F178" s="1">
        <v>0</v>
      </c>
      <c r="G178" s="1">
        <v>0</v>
      </c>
      <c r="H178" s="1">
        <v>0</v>
      </c>
      <c r="I178" s="1">
        <v>0</v>
      </c>
      <c r="J178" s="1">
        <v>0</v>
      </c>
      <c r="K178" s="1">
        <v>0</v>
      </c>
      <c r="L178" s="1">
        <v>0</v>
      </c>
      <c r="M178" s="1">
        <v>0</v>
      </c>
      <c r="N178" s="1">
        <v>0</v>
      </c>
      <c r="O178" s="1">
        <v>0</v>
      </c>
      <c r="P178" s="1">
        <v>0</v>
      </c>
      <c r="Q178" s="1">
        <v>0</v>
      </c>
      <c r="R178" s="1">
        <v>0</v>
      </c>
      <c r="S178" s="1">
        <v>0</v>
      </c>
      <c r="T178" s="1">
        <v>0</v>
      </c>
      <c r="U178" s="1">
        <v>0</v>
      </c>
      <c r="V178" s="1">
        <v>0</v>
      </c>
      <c r="W178" s="1">
        <v>0</v>
      </c>
      <c r="X178" s="1">
        <v>0</v>
      </c>
      <c r="Y178" s="1">
        <v>1</v>
      </c>
      <c r="Z178" s="1">
        <v>0</v>
      </c>
      <c r="AA178" s="1">
        <v>0</v>
      </c>
      <c r="AB178" s="1">
        <v>0</v>
      </c>
      <c r="AC178" s="1">
        <v>0</v>
      </c>
      <c r="AD178" s="1">
        <v>0</v>
      </c>
      <c r="AE178" s="1">
        <v>0</v>
      </c>
      <c r="AF178" s="1">
        <v>0</v>
      </c>
      <c r="AG178" s="12">
        <v>0</v>
      </c>
      <c r="AH178" s="23"/>
      <c r="AI178" s="23">
        <v>24</v>
      </c>
      <c r="AJ178" s="11">
        <v>-6.8041433421336742E-2</v>
      </c>
      <c r="AK178" s="1">
        <v>0.20392602163359716</v>
      </c>
      <c r="AL178" s="1">
        <v>0.11110659242453166</v>
      </c>
      <c r="AM178" s="1">
        <v>-5.4973025375399269E-2</v>
      </c>
      <c r="AN178" s="1">
        <v>-0.10547931247736689</v>
      </c>
      <c r="AO178" s="1">
        <v>1.9525874915869601E-2</v>
      </c>
      <c r="AP178" s="1">
        <v>7.5343670172821342E-2</v>
      </c>
      <c r="AQ178" s="1">
        <v>-5.4972915244635302E-2</v>
      </c>
      <c r="AR178" s="1">
        <v>6.5093433086074182E-2</v>
      </c>
      <c r="AS178" s="1">
        <v>-4.9842580198394826E-3</v>
      </c>
      <c r="AT178" s="1">
        <v>9.1776405242161671E-2</v>
      </c>
      <c r="AU178" s="1">
        <v>-6.8041497626470576E-2</v>
      </c>
      <c r="AV178" s="1">
        <v>1.3310655050342061E-2</v>
      </c>
      <c r="AW178" s="1">
        <v>4.289283619760291E-2</v>
      </c>
      <c r="AX178" s="1">
        <v>-7.4088931270216901E-2</v>
      </c>
      <c r="AY178" s="1">
        <v>-0.11781599007773919</v>
      </c>
      <c r="AZ178" s="1">
        <v>7.3700677092044226E-2</v>
      </c>
      <c r="BA178" s="1">
        <v>-8.2659395647354181E-2</v>
      </c>
      <c r="BB178" s="1">
        <v>-8.034070555508642E-2</v>
      </c>
      <c r="BC178" s="1">
        <v>0.112133841007792</v>
      </c>
      <c r="BD178" s="1">
        <v>-0.13055656970085877</v>
      </c>
      <c r="BE178" s="1">
        <v>-0.10386724458079109</v>
      </c>
      <c r="BF178" s="1">
        <v>-4.4445138039654081E-2</v>
      </c>
      <c r="BG178" s="1">
        <v>0.423665804075541</v>
      </c>
      <c r="BH178" s="1">
        <v>-5.2286088450124515E-2</v>
      </c>
      <c r="BI178" s="1">
        <v>-9.251076330411255E-2</v>
      </c>
      <c r="BJ178" s="1">
        <v>-8.0485696884815355E-2</v>
      </c>
      <c r="BK178" s="1">
        <v>0.15309241869277621</v>
      </c>
      <c r="BL178" s="1">
        <v>1.0580057670595111E-2</v>
      </c>
      <c r="BM178" s="1">
        <v>-0.10849287265117233</v>
      </c>
      <c r="BN178" s="1">
        <v>-6.095338237805361E-2</v>
      </c>
      <c r="BO178" s="12">
        <v>7.6004843437245617E-2</v>
      </c>
      <c r="BP178" s="23"/>
      <c r="BQ178" s="23"/>
      <c r="BR178" s="23"/>
      <c r="BS178" s="23"/>
      <c r="BT178" s="23"/>
    </row>
    <row r="179" spans="1:72">
      <c r="A179">
        <v>25</v>
      </c>
      <c r="B179" s="11">
        <v>0</v>
      </c>
      <c r="C179" s="1">
        <v>0</v>
      </c>
      <c r="D179" s="1">
        <v>0</v>
      </c>
      <c r="E179" s="1">
        <v>0</v>
      </c>
      <c r="F179" s="1">
        <v>0</v>
      </c>
      <c r="G179" s="1">
        <v>0</v>
      </c>
      <c r="H179" s="1">
        <v>0</v>
      </c>
      <c r="I179" s="1">
        <v>0</v>
      </c>
      <c r="J179" s="1">
        <v>0</v>
      </c>
      <c r="K179" s="1">
        <v>0</v>
      </c>
      <c r="L179" s="1">
        <v>0</v>
      </c>
      <c r="M179" s="1">
        <v>0</v>
      </c>
      <c r="N179" s="1">
        <v>0</v>
      </c>
      <c r="O179" s="1">
        <v>0</v>
      </c>
      <c r="P179" s="1">
        <v>0</v>
      </c>
      <c r="Q179" s="1">
        <v>0</v>
      </c>
      <c r="R179" s="1">
        <v>0</v>
      </c>
      <c r="S179" s="1">
        <v>0</v>
      </c>
      <c r="T179" s="1">
        <v>0</v>
      </c>
      <c r="U179" s="1">
        <v>0</v>
      </c>
      <c r="V179" s="1">
        <v>0</v>
      </c>
      <c r="W179" s="1">
        <v>0</v>
      </c>
      <c r="X179" s="1">
        <v>0</v>
      </c>
      <c r="Y179" s="1">
        <v>0</v>
      </c>
      <c r="Z179" s="1">
        <v>1</v>
      </c>
      <c r="AA179" s="1">
        <v>0</v>
      </c>
      <c r="AB179" s="1">
        <v>0</v>
      </c>
      <c r="AC179" s="1">
        <v>0</v>
      </c>
      <c r="AD179" s="1">
        <v>0</v>
      </c>
      <c r="AE179" s="1">
        <v>0</v>
      </c>
      <c r="AF179" s="1">
        <v>0</v>
      </c>
      <c r="AG179" s="12">
        <v>0</v>
      </c>
      <c r="AH179" s="23"/>
      <c r="AI179" s="23">
        <v>25</v>
      </c>
      <c r="AJ179" s="11">
        <v>6.5898384439816535E-2</v>
      </c>
      <c r="AK179" s="1">
        <v>-6.7050578166302277E-2</v>
      </c>
      <c r="AL179" s="1">
        <v>-4.7066582932393256E-2</v>
      </c>
      <c r="AM179" s="1">
        <v>0.21179745661314342</v>
      </c>
      <c r="AN179" s="1">
        <v>-7.314023974529775E-2</v>
      </c>
      <c r="AO179" s="1">
        <v>-0.11133868992006495</v>
      </c>
      <c r="AP179" s="1">
        <v>-8.6613503740639683E-2</v>
      </c>
      <c r="AQ179" s="1">
        <v>0.21179703230657582</v>
      </c>
      <c r="AR179" s="1">
        <v>0.14546176172767758</v>
      </c>
      <c r="AS179" s="1">
        <v>-4.1208353054777838E-2</v>
      </c>
      <c r="AT179" s="1">
        <v>-1.8359531218653358E-2</v>
      </c>
      <c r="AU179" s="1">
        <v>6.5898446622730436E-2</v>
      </c>
      <c r="AV179" s="1">
        <v>-8.301089044977665E-2</v>
      </c>
      <c r="AW179" s="1">
        <v>7.5735384748410239E-2</v>
      </c>
      <c r="AX179" s="1">
        <v>-3.4566677530645101E-3</v>
      </c>
      <c r="AY179" s="1">
        <v>-5.0467428619324212E-2</v>
      </c>
      <c r="AZ179" s="1">
        <v>-9.4849869185988867E-2</v>
      </c>
      <c r="BA179" s="1">
        <v>-5.9623680129458762E-3</v>
      </c>
      <c r="BB179" s="1">
        <v>-6.7469544683596019E-2</v>
      </c>
      <c r="BC179" s="1">
        <v>-3.0050109280076995E-2</v>
      </c>
      <c r="BD179" s="1">
        <v>-9.9140227865153335E-2</v>
      </c>
      <c r="BE179" s="1">
        <v>-0.14955656184396499</v>
      </c>
      <c r="BF179" s="1">
        <v>-4.1988796523980798E-2</v>
      </c>
      <c r="BG179" s="1">
        <v>-5.2286088450124543E-2</v>
      </c>
      <c r="BH179" s="1">
        <v>0.44828113363994493</v>
      </c>
      <c r="BI179" s="1">
        <v>-0.10530945895672128</v>
      </c>
      <c r="BJ179" s="1">
        <v>1.4296353394185423E-2</v>
      </c>
      <c r="BK179" s="1">
        <v>-8.5397087703444757E-2</v>
      </c>
      <c r="BL179" s="1">
        <v>3.624412978792365E-2</v>
      </c>
      <c r="BM179" s="1">
        <v>8.424724646658846E-3</v>
      </c>
      <c r="BN179" s="1">
        <v>-6.6393597647153302E-2</v>
      </c>
      <c r="BO179" s="12">
        <v>5.5002596909939923E-2</v>
      </c>
      <c r="BP179" s="23"/>
      <c r="BQ179" s="23"/>
      <c r="BR179" s="23"/>
      <c r="BS179" s="23"/>
      <c r="BT179" s="23"/>
    </row>
    <row r="180" spans="1:72">
      <c r="A180">
        <v>26</v>
      </c>
      <c r="B180" s="11">
        <v>0</v>
      </c>
      <c r="C180" s="1">
        <v>0</v>
      </c>
      <c r="D180" s="1">
        <v>0</v>
      </c>
      <c r="E180" s="1">
        <v>0</v>
      </c>
      <c r="F180" s="1">
        <v>0</v>
      </c>
      <c r="G180" s="1">
        <v>0</v>
      </c>
      <c r="H180" s="1">
        <v>0</v>
      </c>
      <c r="I180" s="1">
        <v>0</v>
      </c>
      <c r="J180" s="1">
        <v>0</v>
      </c>
      <c r="K180" s="1">
        <v>0</v>
      </c>
      <c r="L180" s="1">
        <v>0</v>
      </c>
      <c r="M180" s="1">
        <v>0</v>
      </c>
      <c r="N180" s="1">
        <v>0</v>
      </c>
      <c r="O180" s="1">
        <v>0</v>
      </c>
      <c r="P180" s="1">
        <v>0</v>
      </c>
      <c r="Q180" s="1">
        <v>0</v>
      </c>
      <c r="R180" s="1">
        <v>0</v>
      </c>
      <c r="S180" s="1">
        <v>0</v>
      </c>
      <c r="T180" s="1">
        <v>0</v>
      </c>
      <c r="U180" s="1">
        <v>0</v>
      </c>
      <c r="V180" s="1">
        <v>0</v>
      </c>
      <c r="W180" s="1">
        <v>0</v>
      </c>
      <c r="X180" s="1">
        <v>0</v>
      </c>
      <c r="Y180" s="1">
        <v>0</v>
      </c>
      <c r="Z180" s="1">
        <v>0</v>
      </c>
      <c r="AA180" s="1">
        <v>1</v>
      </c>
      <c r="AB180" s="1">
        <v>0</v>
      </c>
      <c r="AC180" s="1">
        <v>0</v>
      </c>
      <c r="AD180" s="1">
        <v>0</v>
      </c>
      <c r="AE180" s="1">
        <v>0</v>
      </c>
      <c r="AF180" s="1">
        <v>0</v>
      </c>
      <c r="AG180" s="12">
        <v>0</v>
      </c>
      <c r="AH180" s="23"/>
      <c r="AI180" s="23">
        <v>26</v>
      </c>
      <c r="AJ180" s="11">
        <v>9.5874732026085277E-2</v>
      </c>
      <c r="AK180" s="1">
        <v>-1.8945518621779192E-2</v>
      </c>
      <c r="AL180" s="1">
        <v>-2.8285119193420249E-3</v>
      </c>
      <c r="AM180" s="1">
        <v>-8.0617784464765696E-2</v>
      </c>
      <c r="AN180" s="1">
        <v>3.6990452676276965E-2</v>
      </c>
      <c r="AO180" s="1">
        <v>0.24254613523630339</v>
      </c>
      <c r="AP180" s="1">
        <v>-8.2773338063802285E-2</v>
      </c>
      <c r="AQ180" s="1">
        <v>-8.061762295831533E-2</v>
      </c>
      <c r="AR180" s="1">
        <v>-6.6472758476035954E-2</v>
      </c>
      <c r="AS180" s="1">
        <v>-0.15714683323663134</v>
      </c>
      <c r="AT180" s="1">
        <v>-0.15897120633999906</v>
      </c>
      <c r="AU180" s="1">
        <v>9.5874822495225887E-2</v>
      </c>
      <c r="AV180" s="1">
        <v>9.3508801988291743E-2</v>
      </c>
      <c r="AW180" s="1">
        <v>-1.0704037607496275E-3</v>
      </c>
      <c r="AX180" s="1">
        <v>-1.8684695329890519E-2</v>
      </c>
      <c r="AY180" s="1">
        <v>-4.2495961760362126E-2</v>
      </c>
      <c r="AZ180" s="1">
        <v>-4.8309623487867513E-2</v>
      </c>
      <c r="BA180" s="1">
        <v>4.4183548198997162E-2</v>
      </c>
      <c r="BB180" s="1">
        <v>4.8402416911173196E-2</v>
      </c>
      <c r="BC180" s="1">
        <v>-1.3407643179005E-2</v>
      </c>
      <c r="BD180" s="1">
        <v>-0.11142937557779611</v>
      </c>
      <c r="BE180" s="1">
        <v>-0.16192035814808706</v>
      </c>
      <c r="BF180" s="1">
        <v>-0.10558482790241015</v>
      </c>
      <c r="BG180" s="1">
        <v>-9.2510763304112967E-2</v>
      </c>
      <c r="BH180" s="1">
        <v>-0.1053094589567216</v>
      </c>
      <c r="BI180" s="1">
        <v>0.57675478388912793</v>
      </c>
      <c r="BJ180" s="1">
        <v>-3.0384451312088334E-2</v>
      </c>
      <c r="BK180" s="1">
        <v>-3.8429851270231921E-2</v>
      </c>
      <c r="BL180" s="1">
        <v>1.8751090719874693E-2</v>
      </c>
      <c r="BM180" s="1">
        <v>2.7416864955379941E-2</v>
      </c>
      <c r="BN180" s="1">
        <v>-1.3051446816406501E-2</v>
      </c>
      <c r="BO180" s="12">
        <v>1.0579928490504273E-2</v>
      </c>
      <c r="BP180" s="23"/>
      <c r="BQ180" s="23"/>
      <c r="BR180" s="23"/>
      <c r="BS180" s="23"/>
      <c r="BT180" s="23"/>
    </row>
    <row r="181" spans="1:72">
      <c r="A181">
        <v>27</v>
      </c>
      <c r="B181" s="11">
        <v>0</v>
      </c>
      <c r="C181" s="1">
        <v>0</v>
      </c>
      <c r="D181" s="1">
        <v>0</v>
      </c>
      <c r="E181" s="1">
        <v>0</v>
      </c>
      <c r="F181" s="1">
        <v>0</v>
      </c>
      <c r="G181" s="1">
        <v>0</v>
      </c>
      <c r="H181" s="1">
        <v>0</v>
      </c>
      <c r="I181" s="1">
        <v>0</v>
      </c>
      <c r="J181" s="1">
        <v>0</v>
      </c>
      <c r="K181" s="1">
        <v>0</v>
      </c>
      <c r="L181" s="1">
        <v>0</v>
      </c>
      <c r="M181" s="1">
        <v>0</v>
      </c>
      <c r="N181" s="1">
        <v>0</v>
      </c>
      <c r="O181" s="1">
        <v>0</v>
      </c>
      <c r="P181" s="1">
        <v>0</v>
      </c>
      <c r="Q181" s="1">
        <v>0</v>
      </c>
      <c r="R181" s="1">
        <v>0</v>
      </c>
      <c r="S181" s="1">
        <v>0</v>
      </c>
      <c r="T181" s="1">
        <v>0</v>
      </c>
      <c r="U181" s="1">
        <v>0</v>
      </c>
      <c r="V181" s="1">
        <v>0</v>
      </c>
      <c r="W181" s="1">
        <v>0</v>
      </c>
      <c r="X181" s="1">
        <v>0</v>
      </c>
      <c r="Y181" s="1">
        <v>0</v>
      </c>
      <c r="Z181" s="1">
        <v>0</v>
      </c>
      <c r="AA181" s="1">
        <v>0</v>
      </c>
      <c r="AB181" s="1">
        <v>1</v>
      </c>
      <c r="AC181" s="1">
        <v>0</v>
      </c>
      <c r="AD181" s="1">
        <v>0</v>
      </c>
      <c r="AE181" s="1">
        <v>0</v>
      </c>
      <c r="AF181" s="1">
        <v>0</v>
      </c>
      <c r="AG181" s="12">
        <v>0</v>
      </c>
      <c r="AH181" s="23"/>
      <c r="AI181" s="23">
        <v>27</v>
      </c>
      <c r="AJ181" s="11">
        <v>-5.9071344604948492E-2</v>
      </c>
      <c r="AK181" s="1">
        <v>-0.10023304719135798</v>
      </c>
      <c r="AL181" s="1">
        <v>-1.6236819289725257E-2</v>
      </c>
      <c r="AM181" s="1">
        <v>5.0379549575135199E-2</v>
      </c>
      <c r="AN181" s="1">
        <v>-0.10894267324315568</v>
      </c>
      <c r="AO181" s="1">
        <v>0.10560134103705737</v>
      </c>
      <c r="AP181" s="1">
        <v>0.24101785484762372</v>
      </c>
      <c r="AQ181" s="1">
        <v>5.0379448646757294E-2</v>
      </c>
      <c r="AR181" s="1">
        <v>-8.555918799064384E-2</v>
      </c>
      <c r="AS181" s="1">
        <v>-4.8042674631488813E-3</v>
      </c>
      <c r="AT181" s="1">
        <v>3.8395104924702661E-2</v>
      </c>
      <c r="AU181" s="1">
        <v>-5.9071400345743354E-2</v>
      </c>
      <c r="AV181" s="1">
        <v>0.12670493057938365</v>
      </c>
      <c r="AW181" s="1">
        <v>-6.6637299852520149E-2</v>
      </c>
      <c r="AX181" s="1">
        <v>-3.2815420443942644E-2</v>
      </c>
      <c r="AY181" s="1">
        <v>2.8467359734333585E-2</v>
      </c>
      <c r="AZ181" s="1">
        <v>-7.3789658252327001E-2</v>
      </c>
      <c r="BA181" s="1">
        <v>-1.9182957365622977E-3</v>
      </c>
      <c r="BB181" s="1">
        <v>-8.990078758796427E-3</v>
      </c>
      <c r="BC181" s="1">
        <v>0.11625002470107154</v>
      </c>
      <c r="BD181" s="1">
        <v>-8.8013184928814603E-3</v>
      </c>
      <c r="BE181" s="1">
        <v>4.277484341563563E-2</v>
      </c>
      <c r="BF181" s="1">
        <v>6.260026987996431E-2</v>
      </c>
      <c r="BG181" s="1">
        <v>-8.0485696884815494E-2</v>
      </c>
      <c r="BH181" s="1">
        <v>1.4296353394185557E-2</v>
      </c>
      <c r="BI181" s="1">
        <v>-3.0384451312088778E-2</v>
      </c>
      <c r="BJ181" s="1">
        <v>0.45787077477819621</v>
      </c>
      <c r="BK181" s="1">
        <v>-0.2523741924370263</v>
      </c>
      <c r="BL181" s="1">
        <v>3.2995198666953843E-2</v>
      </c>
      <c r="BM181" s="1">
        <v>-6.2988747567839704E-2</v>
      </c>
      <c r="BN181" s="1">
        <v>-0.10153963000180011</v>
      </c>
      <c r="BO181" s="12">
        <v>4.4902238609749061E-2</v>
      </c>
      <c r="BP181" s="23"/>
      <c r="BQ181" s="23"/>
      <c r="BR181" s="23"/>
      <c r="BS181" s="23"/>
      <c r="BT181" s="23"/>
    </row>
    <row r="182" spans="1:72">
      <c r="A182">
        <v>28</v>
      </c>
      <c r="B182" s="11">
        <v>0</v>
      </c>
      <c r="C182" s="1">
        <v>0</v>
      </c>
      <c r="D182" s="1">
        <v>0</v>
      </c>
      <c r="E182" s="1">
        <v>0</v>
      </c>
      <c r="F182" s="1">
        <v>0</v>
      </c>
      <c r="G182" s="1">
        <v>0</v>
      </c>
      <c r="H182" s="1">
        <v>0</v>
      </c>
      <c r="I182" s="1">
        <v>0</v>
      </c>
      <c r="J182" s="1">
        <v>0</v>
      </c>
      <c r="K182" s="1">
        <v>0</v>
      </c>
      <c r="L182" s="1">
        <v>0</v>
      </c>
      <c r="M182" s="1">
        <v>0</v>
      </c>
      <c r="N182" s="1">
        <v>0</v>
      </c>
      <c r="O182" s="1">
        <v>0</v>
      </c>
      <c r="P182" s="1">
        <v>0</v>
      </c>
      <c r="Q182" s="1">
        <v>0</v>
      </c>
      <c r="R182" s="1">
        <v>0</v>
      </c>
      <c r="S182" s="1">
        <v>0</v>
      </c>
      <c r="T182" s="1">
        <v>0</v>
      </c>
      <c r="U182" s="1">
        <v>0</v>
      </c>
      <c r="V182" s="1">
        <v>0</v>
      </c>
      <c r="W182" s="1">
        <v>0</v>
      </c>
      <c r="X182" s="1">
        <v>0</v>
      </c>
      <c r="Y182" s="1">
        <v>0</v>
      </c>
      <c r="Z182" s="1">
        <v>0</v>
      </c>
      <c r="AA182" s="1">
        <v>0</v>
      </c>
      <c r="AB182" s="1">
        <v>0</v>
      </c>
      <c r="AC182" s="1">
        <v>1</v>
      </c>
      <c r="AD182" s="1">
        <v>0</v>
      </c>
      <c r="AE182" s="1">
        <v>0</v>
      </c>
      <c r="AF182" s="1">
        <v>0</v>
      </c>
      <c r="AG182" s="12">
        <v>0</v>
      </c>
      <c r="AH182" s="23"/>
      <c r="AI182" s="23">
        <v>28</v>
      </c>
      <c r="AJ182" s="11">
        <v>2.9287633983691823E-3</v>
      </c>
      <c r="AK182" s="1">
        <v>0.10516489516851517</v>
      </c>
      <c r="AL182" s="1">
        <v>-5.5062104955636709E-2</v>
      </c>
      <c r="AM182" s="1">
        <v>2.6220381151437933E-2</v>
      </c>
      <c r="AN182" s="1">
        <v>7.4288623730298931E-2</v>
      </c>
      <c r="AO182" s="1">
        <v>2.2572354438817978E-2</v>
      </c>
      <c r="AP182" s="1">
        <v>0.11039174032867646</v>
      </c>
      <c r="AQ182" s="1">
        <v>2.6220328622573279E-2</v>
      </c>
      <c r="AR182" s="1">
        <v>4.1372030838680615E-2</v>
      </c>
      <c r="AS182" s="1">
        <v>-1.5947269586146812E-2</v>
      </c>
      <c r="AT182" s="1">
        <v>-5.3817164297009987E-3</v>
      </c>
      <c r="AU182" s="1">
        <v>2.9287661620036412E-3</v>
      </c>
      <c r="AV182" s="1">
        <v>5.7226427028376596E-2</v>
      </c>
      <c r="AW182" s="1">
        <v>-1.5544224738294171E-2</v>
      </c>
      <c r="AX182" s="1">
        <v>-2.927304893432868E-2</v>
      </c>
      <c r="AY182" s="1">
        <v>-3.4552653267170989E-2</v>
      </c>
      <c r="AZ182" s="1">
        <v>9.1586214638499044E-2</v>
      </c>
      <c r="BA182" s="1">
        <v>-2.5362365519055234E-2</v>
      </c>
      <c r="BB182" s="1">
        <v>-0.124217449396098</v>
      </c>
      <c r="BC182" s="1">
        <v>-0.23039564362126871</v>
      </c>
      <c r="BD182" s="1">
        <v>-1.3318200219877015E-2</v>
      </c>
      <c r="BE182" s="1">
        <v>7.0693527634941283E-3</v>
      </c>
      <c r="BF182" s="1">
        <v>-2.3016632262716684E-2</v>
      </c>
      <c r="BG182" s="1">
        <v>0.15309241869277629</v>
      </c>
      <c r="BH182" s="1">
        <v>-8.5397087703444952E-2</v>
      </c>
      <c r="BI182" s="1">
        <v>-3.8429851270231796E-2</v>
      </c>
      <c r="BJ182" s="1">
        <v>-0.25237419243702613</v>
      </c>
      <c r="BK182" s="1">
        <v>0.36918713909478684</v>
      </c>
      <c r="BL182" s="1">
        <v>-1.0709233962808967E-2</v>
      </c>
      <c r="BM182" s="1">
        <v>5.0012290411214057E-2</v>
      </c>
      <c r="BN182" s="1">
        <v>0.12165204605817795</v>
      </c>
      <c r="BO182" s="12">
        <v>-3.5041284324949882E-3</v>
      </c>
      <c r="BP182" s="23"/>
      <c r="BQ182" s="23"/>
      <c r="BR182" s="23"/>
      <c r="BS182" s="23"/>
      <c r="BT182" s="23"/>
    </row>
    <row r="183" spans="1:72">
      <c r="A183">
        <v>29</v>
      </c>
      <c r="B183" s="11">
        <v>0</v>
      </c>
      <c r="C183" s="1">
        <v>0</v>
      </c>
      <c r="D183" s="1">
        <v>0</v>
      </c>
      <c r="E183" s="1">
        <v>0</v>
      </c>
      <c r="F183" s="1">
        <v>0</v>
      </c>
      <c r="G183" s="1">
        <v>0</v>
      </c>
      <c r="H183" s="1">
        <v>0</v>
      </c>
      <c r="I183" s="1">
        <v>0</v>
      </c>
      <c r="J183" s="1">
        <v>0</v>
      </c>
      <c r="K183" s="1">
        <v>0</v>
      </c>
      <c r="L183" s="1">
        <v>0</v>
      </c>
      <c r="M183" s="1">
        <v>0</v>
      </c>
      <c r="N183" s="1">
        <v>0</v>
      </c>
      <c r="O183" s="1">
        <v>0</v>
      </c>
      <c r="P183" s="1">
        <v>0</v>
      </c>
      <c r="Q183" s="1">
        <v>0</v>
      </c>
      <c r="R183" s="1">
        <v>0</v>
      </c>
      <c r="S183" s="1">
        <v>0</v>
      </c>
      <c r="T183" s="1">
        <v>0</v>
      </c>
      <c r="U183" s="1">
        <v>0</v>
      </c>
      <c r="V183" s="1">
        <v>0</v>
      </c>
      <c r="W183" s="1">
        <v>0</v>
      </c>
      <c r="X183" s="1">
        <v>0</v>
      </c>
      <c r="Y183" s="1">
        <v>0</v>
      </c>
      <c r="Z183" s="1">
        <v>0</v>
      </c>
      <c r="AA183" s="1">
        <v>0</v>
      </c>
      <c r="AB183" s="1">
        <v>0</v>
      </c>
      <c r="AC183" s="1">
        <v>0</v>
      </c>
      <c r="AD183" s="1">
        <v>1</v>
      </c>
      <c r="AE183" s="1">
        <v>0</v>
      </c>
      <c r="AF183" s="1">
        <v>0</v>
      </c>
      <c r="AG183" s="12">
        <v>0</v>
      </c>
      <c r="AH183" s="23"/>
      <c r="AI183" s="23">
        <v>29</v>
      </c>
      <c r="AJ183" s="11">
        <v>1.3254144970267015E-2</v>
      </c>
      <c r="AK183" s="1">
        <v>0.15330306211539241</v>
      </c>
      <c r="AL183" s="1">
        <v>-0.10555957629791118</v>
      </c>
      <c r="AM183" s="1">
        <v>1.974001542494036E-2</v>
      </c>
      <c r="AN183" s="1">
        <v>4.5918175697365476E-3</v>
      </c>
      <c r="AO183" s="1">
        <v>-1.9150053112292204E-3</v>
      </c>
      <c r="AP183" s="1">
        <v>-1.3454604370676707E-2</v>
      </c>
      <c r="AQ183" s="1">
        <v>1.9739975878581693E-2</v>
      </c>
      <c r="AR183" s="1">
        <v>-7.9707230058804326E-2</v>
      </c>
      <c r="AS183" s="1">
        <v>-3.7860641879791119E-3</v>
      </c>
      <c r="AT183" s="1">
        <v>-1.5953359766997008E-2</v>
      </c>
      <c r="AU183" s="1">
        <v>1.3254157477119201E-2</v>
      </c>
      <c r="AV183" s="1">
        <v>-1.7792395535038894E-2</v>
      </c>
      <c r="AW183" s="1">
        <v>-3.3436966267759341E-2</v>
      </c>
      <c r="AX183" s="1">
        <v>6.9294971124147564E-2</v>
      </c>
      <c r="AY183" s="1">
        <v>6.0692513317541212E-2</v>
      </c>
      <c r="AZ183" s="1">
        <v>3.9415406463303548E-2</v>
      </c>
      <c r="BA183" s="1">
        <v>0.11192807333520267</v>
      </c>
      <c r="BB183" s="1">
        <v>-6.8846978091499644E-2</v>
      </c>
      <c r="BC183" s="1">
        <v>-0.12330178542955525</v>
      </c>
      <c r="BD183" s="1">
        <v>3.0004710125221629E-2</v>
      </c>
      <c r="BE183" s="1">
        <v>-1.5485378648850794E-3</v>
      </c>
      <c r="BF183" s="1">
        <v>-9.4031450438730305E-2</v>
      </c>
      <c r="BG183" s="1">
        <v>1.0580057670595069E-2</v>
      </c>
      <c r="BH183" s="1">
        <v>3.6244129787923775E-2</v>
      </c>
      <c r="BI183" s="1">
        <v>1.8751090719874922E-2</v>
      </c>
      <c r="BJ183" s="1">
        <v>3.2995198666954224E-2</v>
      </c>
      <c r="BK183" s="1">
        <v>-1.0709233962809407E-2</v>
      </c>
      <c r="BL183" s="1">
        <v>0.42253632489774495</v>
      </c>
      <c r="BM183" s="1">
        <v>-0.2080544209168175</v>
      </c>
      <c r="BN183" s="1">
        <v>-0.29041647682484945</v>
      </c>
      <c r="BO183" s="12">
        <v>-0.13075927228200754</v>
      </c>
      <c r="BP183" s="23"/>
      <c r="BQ183" s="23"/>
      <c r="BR183" s="23"/>
      <c r="BS183" s="23"/>
      <c r="BT183" s="23"/>
    </row>
    <row r="184" spans="1:72">
      <c r="A184">
        <v>30</v>
      </c>
      <c r="B184" s="11">
        <v>0</v>
      </c>
      <c r="C184" s="1">
        <v>0</v>
      </c>
      <c r="D184" s="1">
        <v>0</v>
      </c>
      <c r="E184" s="1">
        <v>0</v>
      </c>
      <c r="F184" s="1">
        <v>0</v>
      </c>
      <c r="G184" s="1">
        <v>0</v>
      </c>
      <c r="H184" s="1">
        <v>0</v>
      </c>
      <c r="I184" s="1">
        <v>0</v>
      </c>
      <c r="J184" s="1">
        <v>0</v>
      </c>
      <c r="K184" s="1">
        <v>0</v>
      </c>
      <c r="L184" s="1">
        <v>0</v>
      </c>
      <c r="M184" s="1">
        <v>0</v>
      </c>
      <c r="N184" s="1">
        <v>0</v>
      </c>
      <c r="O184" s="1">
        <v>0</v>
      </c>
      <c r="P184" s="1">
        <v>0</v>
      </c>
      <c r="Q184" s="1">
        <v>0</v>
      </c>
      <c r="R184" s="1">
        <v>0</v>
      </c>
      <c r="S184" s="1">
        <v>0</v>
      </c>
      <c r="T184" s="1">
        <v>0</v>
      </c>
      <c r="U184" s="1">
        <v>0</v>
      </c>
      <c r="V184" s="1">
        <v>0</v>
      </c>
      <c r="W184" s="1">
        <v>0</v>
      </c>
      <c r="X184" s="1">
        <v>0</v>
      </c>
      <c r="Y184" s="1">
        <v>0</v>
      </c>
      <c r="Z184" s="1">
        <v>0</v>
      </c>
      <c r="AA184" s="1">
        <v>0</v>
      </c>
      <c r="AB184" s="1">
        <v>0</v>
      </c>
      <c r="AC184" s="1">
        <v>0</v>
      </c>
      <c r="AD184" s="1">
        <v>0</v>
      </c>
      <c r="AE184" s="1">
        <v>1</v>
      </c>
      <c r="AF184" s="1">
        <v>0</v>
      </c>
      <c r="AG184" s="12">
        <v>0</v>
      </c>
      <c r="AH184" s="23"/>
      <c r="AI184" s="23">
        <v>30</v>
      </c>
      <c r="AJ184" s="11">
        <v>-3.8153490587601119E-2</v>
      </c>
      <c r="AK184" s="1">
        <v>-8.1580593368905496E-2</v>
      </c>
      <c r="AL184" s="1">
        <v>0.18810940119072772</v>
      </c>
      <c r="AM184" s="1">
        <v>-3.339385450287842E-2</v>
      </c>
      <c r="AN184" s="1">
        <v>-9.6989430126486129E-2</v>
      </c>
      <c r="AO184" s="1">
        <v>3.9524805602776943E-2</v>
      </c>
      <c r="AP184" s="1">
        <v>2.2624259049995977E-2</v>
      </c>
      <c r="AQ184" s="1">
        <v>-3.3393787602963666E-2</v>
      </c>
      <c r="AR184" s="1">
        <v>0.14469793135288755</v>
      </c>
      <c r="AS184" s="1">
        <v>1.562322510346369E-2</v>
      </c>
      <c r="AT184" s="1">
        <v>2.7186005007658179E-2</v>
      </c>
      <c r="AU184" s="1">
        <v>-3.8153526589928655E-2</v>
      </c>
      <c r="AV184" s="1">
        <v>1.47719477492811E-2</v>
      </c>
      <c r="AW184" s="1">
        <v>-2.3343965902590604E-2</v>
      </c>
      <c r="AX184" s="1">
        <v>1.0932095591361185E-2</v>
      </c>
      <c r="AY184" s="1">
        <v>4.0772658149751645E-2</v>
      </c>
      <c r="AZ184" s="1">
        <v>-7.7030712536221457E-2</v>
      </c>
      <c r="BA184" s="1">
        <v>2.2988338292549107E-2</v>
      </c>
      <c r="BB184" s="1">
        <v>2.6930515808508897E-2</v>
      </c>
      <c r="BC184" s="1">
        <v>-0.2120568970980386</v>
      </c>
      <c r="BD184" s="1">
        <v>1.320578684425941E-2</v>
      </c>
      <c r="BE184" s="1">
        <v>2.3380476589374036E-2</v>
      </c>
      <c r="BF184" s="1">
        <v>3.6065019615500349E-2</v>
      </c>
      <c r="BG184" s="1">
        <v>-0.10849287265117234</v>
      </c>
      <c r="BH184" s="1">
        <v>8.4247246466588079E-3</v>
      </c>
      <c r="BI184" s="1">
        <v>2.7416864955379698E-2</v>
      </c>
      <c r="BJ184" s="1">
        <v>-6.2988747567839593E-2</v>
      </c>
      <c r="BK184" s="1">
        <v>5.00122904112143E-2</v>
      </c>
      <c r="BL184" s="1">
        <v>-0.20805442091681725</v>
      </c>
      <c r="BM184" s="1">
        <v>0.66319717601974315</v>
      </c>
      <c r="BN184" s="1">
        <v>-0.15383205722051355</v>
      </c>
      <c r="BO184" s="12">
        <v>6.8777752001176282E-3</v>
      </c>
      <c r="BP184" s="23"/>
      <c r="BQ184" s="23"/>
      <c r="BR184" s="23"/>
      <c r="BS184" s="23"/>
      <c r="BT184" s="23"/>
    </row>
    <row r="185" spans="1:72">
      <c r="A185">
        <v>31</v>
      </c>
      <c r="B185" s="11">
        <v>0</v>
      </c>
      <c r="C185" s="1">
        <v>0</v>
      </c>
      <c r="D185" s="1">
        <v>0</v>
      </c>
      <c r="E185" s="1">
        <v>0</v>
      </c>
      <c r="F185" s="1">
        <v>0</v>
      </c>
      <c r="G185" s="1">
        <v>0</v>
      </c>
      <c r="H185" s="1">
        <v>0</v>
      </c>
      <c r="I185" s="1">
        <v>0</v>
      </c>
      <c r="J185" s="1">
        <v>0</v>
      </c>
      <c r="K185" s="1">
        <v>0</v>
      </c>
      <c r="L185" s="1">
        <v>0</v>
      </c>
      <c r="M185" s="1">
        <v>0</v>
      </c>
      <c r="N185" s="1">
        <v>0</v>
      </c>
      <c r="O185" s="1">
        <v>0</v>
      </c>
      <c r="P185" s="1">
        <v>0</v>
      </c>
      <c r="Q185" s="1">
        <v>0</v>
      </c>
      <c r="R185" s="1">
        <v>0</v>
      </c>
      <c r="S185" s="1">
        <v>0</v>
      </c>
      <c r="T185" s="1">
        <v>0</v>
      </c>
      <c r="U185" s="1">
        <v>0</v>
      </c>
      <c r="V185" s="1">
        <v>0</v>
      </c>
      <c r="W185" s="1">
        <v>0</v>
      </c>
      <c r="X185" s="1">
        <v>0</v>
      </c>
      <c r="Y185" s="1">
        <v>0</v>
      </c>
      <c r="Z185" s="1">
        <v>0</v>
      </c>
      <c r="AA185" s="1">
        <v>0</v>
      </c>
      <c r="AB185" s="1">
        <v>0</v>
      </c>
      <c r="AC185" s="1">
        <v>0</v>
      </c>
      <c r="AD185" s="1">
        <v>0</v>
      </c>
      <c r="AE185" s="1">
        <v>0</v>
      </c>
      <c r="AF185" s="1">
        <v>1</v>
      </c>
      <c r="AG185" s="12">
        <v>0</v>
      </c>
      <c r="AH185" s="23"/>
      <c r="AI185" s="23">
        <v>31</v>
      </c>
      <c r="AJ185" s="11">
        <v>4.8873734902921177E-2</v>
      </c>
      <c r="AK185" s="1">
        <v>-0.13735840449849857</v>
      </c>
      <c r="AL185" s="1">
        <v>-0.11148879849068249</v>
      </c>
      <c r="AM185" s="1">
        <v>4.6648541301865985E-2</v>
      </c>
      <c r="AN185" s="1">
        <v>0.15899349401578963</v>
      </c>
      <c r="AO185" s="1">
        <v>-2.0962009941611633E-2</v>
      </c>
      <c r="AP185" s="1">
        <v>2.6331271465923494E-2</v>
      </c>
      <c r="AQ185" s="1">
        <v>4.6648447848040946E-2</v>
      </c>
      <c r="AR185" s="1">
        <v>-2.6406969515921364E-2</v>
      </c>
      <c r="AS185" s="1">
        <v>-1.3813726463616645E-2</v>
      </c>
      <c r="AT185" s="1">
        <v>-5.2396427278753308E-2</v>
      </c>
      <c r="AU185" s="1">
        <v>4.8873781021066223E-2</v>
      </c>
      <c r="AV185" s="1">
        <v>3.5414638187854564E-2</v>
      </c>
      <c r="AW185" s="1">
        <v>1.7569033181584502E-2</v>
      </c>
      <c r="AX185" s="1">
        <v>-5.5868934609491355E-2</v>
      </c>
      <c r="AY185" s="1">
        <v>-4.8315073261568101E-2</v>
      </c>
      <c r="AZ185" s="1">
        <v>3.0387048148791507E-2</v>
      </c>
      <c r="BA185" s="1">
        <v>-9.943967232344969E-2</v>
      </c>
      <c r="BB185" s="1">
        <v>1.6079435932048733E-2</v>
      </c>
      <c r="BC185" s="1">
        <v>6.8444668883528223E-2</v>
      </c>
      <c r="BD185" s="1">
        <v>1.9841134211648209E-2</v>
      </c>
      <c r="BE185" s="1">
        <v>4.2950810341724911E-2</v>
      </c>
      <c r="BF185" s="1">
        <v>7.7606482288240547E-2</v>
      </c>
      <c r="BG185" s="1">
        <v>-6.0953382378053457E-2</v>
      </c>
      <c r="BH185" s="1">
        <v>-6.6393597647153496E-2</v>
      </c>
      <c r="BI185" s="1">
        <v>-1.3051446816406704E-2</v>
      </c>
      <c r="BJ185" s="1">
        <v>-0.10153963000180044</v>
      </c>
      <c r="BK185" s="1">
        <v>0.12165204605817825</v>
      </c>
      <c r="BL185" s="1">
        <v>-0.29041647682484928</v>
      </c>
      <c r="BM185" s="1">
        <v>-0.15383205722051338</v>
      </c>
      <c r="BN185" s="1">
        <v>0.49502500961731633</v>
      </c>
      <c r="BO185" s="12">
        <v>8.4021377381096385E-2</v>
      </c>
      <c r="BP185" s="23"/>
      <c r="BQ185" s="23"/>
      <c r="BR185" s="23"/>
      <c r="BS185" s="23"/>
      <c r="BT185" s="23"/>
    </row>
    <row r="186" spans="1:72">
      <c r="A186">
        <v>32</v>
      </c>
      <c r="B186" s="13">
        <v>0</v>
      </c>
      <c r="C186" s="14">
        <v>0</v>
      </c>
      <c r="D186" s="14">
        <v>0</v>
      </c>
      <c r="E186" s="14">
        <v>0</v>
      </c>
      <c r="F186" s="14">
        <v>0</v>
      </c>
      <c r="G186" s="14">
        <v>0</v>
      </c>
      <c r="H186" s="14">
        <v>0</v>
      </c>
      <c r="I186" s="14">
        <v>0</v>
      </c>
      <c r="J186" s="14">
        <v>0</v>
      </c>
      <c r="K186" s="14">
        <v>0</v>
      </c>
      <c r="L186" s="14">
        <v>0</v>
      </c>
      <c r="M186" s="14">
        <v>0</v>
      </c>
      <c r="N186" s="14">
        <v>0</v>
      </c>
      <c r="O186" s="14">
        <v>0</v>
      </c>
      <c r="P186" s="14">
        <v>0</v>
      </c>
      <c r="Q186" s="14">
        <v>0</v>
      </c>
      <c r="R186" s="14">
        <v>0</v>
      </c>
      <c r="S186" s="14">
        <v>0</v>
      </c>
      <c r="T186" s="14">
        <v>0</v>
      </c>
      <c r="U186" s="14">
        <v>0</v>
      </c>
      <c r="V186" s="14">
        <v>0</v>
      </c>
      <c r="W186" s="14">
        <v>0</v>
      </c>
      <c r="X186" s="14">
        <v>0</v>
      </c>
      <c r="Y186" s="14">
        <v>0</v>
      </c>
      <c r="Z186" s="14">
        <v>0</v>
      </c>
      <c r="AA186" s="14">
        <v>0</v>
      </c>
      <c r="AB186" s="14">
        <v>0</v>
      </c>
      <c r="AC186" s="14">
        <v>0</v>
      </c>
      <c r="AD186" s="14">
        <v>0</v>
      </c>
      <c r="AE186" s="14">
        <v>0</v>
      </c>
      <c r="AF186" s="14">
        <v>0</v>
      </c>
      <c r="AG186" s="15">
        <v>1</v>
      </c>
      <c r="AH186" s="23"/>
      <c r="AI186" s="23">
        <v>32</v>
      </c>
      <c r="AJ186" s="13">
        <v>-2.6973174665433836E-2</v>
      </c>
      <c r="AK186" s="14">
        <v>-8.3623654979387771E-2</v>
      </c>
      <c r="AL186" s="14">
        <v>-2.1492333890227693E-2</v>
      </c>
      <c r="AM186" s="14">
        <v>-1.2998091117707198E-2</v>
      </c>
      <c r="AN186" s="14">
        <v>-0.10013841462161167</v>
      </c>
      <c r="AO186" s="14">
        <v>2.2264122628809703E-2</v>
      </c>
      <c r="AP186" s="14">
        <v>3.9828604138651552E-3</v>
      </c>
      <c r="AQ186" s="14">
        <v>-1.2998065077850462E-2</v>
      </c>
      <c r="AR186" s="14">
        <v>-4.1132337341756205E-2</v>
      </c>
      <c r="AS186" s="14">
        <v>-2.5450760882092666E-3</v>
      </c>
      <c r="AT186" s="14">
        <v>2.9908960716224953E-2</v>
      </c>
      <c r="AU186" s="14">
        <v>-2.6973200117811919E-2</v>
      </c>
      <c r="AV186" s="14">
        <v>-4.0160161463694902E-2</v>
      </c>
      <c r="AW186" s="14">
        <v>-6.7705648589313466E-2</v>
      </c>
      <c r="AX186" s="14">
        <v>0.1421084268527536</v>
      </c>
      <c r="AY186" s="14">
        <v>-9.1323407109838467E-2</v>
      </c>
      <c r="AZ186" s="14">
        <v>0.11379416961042114</v>
      </c>
      <c r="BA186" s="14">
        <v>0.25124040342223769</v>
      </c>
      <c r="BB186" s="14">
        <v>-0.10785171587961803</v>
      </c>
      <c r="BC186" s="14">
        <v>2.933254648612094E-2</v>
      </c>
      <c r="BD186" s="14">
        <v>4.7222237280765411E-3</v>
      </c>
      <c r="BE186" s="14">
        <v>-5.8293592161404915E-2</v>
      </c>
      <c r="BF186" s="14">
        <v>-8.8016000404361777E-2</v>
      </c>
      <c r="BG186" s="14">
        <v>7.600484343724534E-2</v>
      </c>
      <c r="BH186" s="14">
        <v>5.5002596909939826E-2</v>
      </c>
      <c r="BI186" s="14">
        <v>1.0579928490504847E-2</v>
      </c>
      <c r="BJ186" s="14">
        <v>4.490223860974913E-2</v>
      </c>
      <c r="BK186" s="14">
        <v>-3.5041284324945701E-3</v>
      </c>
      <c r="BL186" s="14">
        <v>-0.13075927228200718</v>
      </c>
      <c r="BM186" s="14">
        <v>6.8777752001182926E-3</v>
      </c>
      <c r="BN186" s="14">
        <v>8.4021377381095885E-2</v>
      </c>
      <c r="BO186" s="15">
        <v>0.74085371829733715</v>
      </c>
      <c r="BP186" s="23"/>
      <c r="BQ186" s="23"/>
      <c r="BR186" s="23"/>
      <c r="BS186" s="23"/>
      <c r="BT186" s="23"/>
    </row>
    <row r="187" spans="1:72">
      <c r="B187" s="23"/>
      <c r="C187" s="23"/>
      <c r="D187" s="23"/>
      <c r="E187" s="23"/>
      <c r="F187" s="23"/>
      <c r="G187" s="23"/>
      <c r="H187" s="23"/>
      <c r="I187" s="23"/>
      <c r="J187" s="23"/>
      <c r="K187" s="23"/>
      <c r="L187" s="23"/>
      <c r="M187" s="23"/>
      <c r="N187" s="23"/>
      <c r="O187" s="23"/>
      <c r="P187" s="23"/>
      <c r="Q187" s="23"/>
      <c r="R187" s="23"/>
      <c r="S187" s="23"/>
      <c r="T187" s="23"/>
      <c r="U187" s="23"/>
      <c r="V187" s="23"/>
      <c r="W187" s="23"/>
      <c r="X187" s="23"/>
      <c r="Y187" s="23"/>
      <c r="Z187" s="23"/>
      <c r="AA187" s="23"/>
      <c r="AB187" s="23"/>
      <c r="AC187" s="23"/>
      <c r="AD187" s="23"/>
      <c r="AE187" s="23"/>
      <c r="AF187" s="23"/>
      <c r="AG187" s="23"/>
      <c r="AH187" s="23"/>
      <c r="AI187" s="23"/>
      <c r="AJ187" s="23"/>
      <c r="AK187" s="23"/>
      <c r="AL187" s="23"/>
      <c r="AM187" s="23"/>
      <c r="AN187" s="23"/>
      <c r="AO187" s="23"/>
      <c r="AP187" s="23"/>
      <c r="AQ187" s="23"/>
      <c r="AR187" s="23"/>
      <c r="AS187" s="23"/>
      <c r="AT187" s="23"/>
      <c r="AU187" s="23"/>
      <c r="AV187" s="23"/>
      <c r="AW187" s="23"/>
      <c r="AX187" s="23"/>
      <c r="AY187" s="23"/>
      <c r="AZ187" s="23"/>
      <c r="BA187" s="23"/>
      <c r="BB187" s="23"/>
      <c r="BC187" s="23"/>
      <c r="BD187" s="23"/>
      <c r="BE187" s="23"/>
      <c r="BF187" s="23"/>
      <c r="BG187" s="23"/>
      <c r="BH187" s="23"/>
      <c r="BI187" s="23"/>
      <c r="BJ187" s="23"/>
      <c r="BK187" s="23"/>
      <c r="BL187" s="23"/>
      <c r="BM187" s="23"/>
      <c r="BN187" s="23"/>
      <c r="BO187" s="23"/>
      <c r="BP187" s="23"/>
      <c r="BQ187" s="23"/>
      <c r="BR187" s="23"/>
      <c r="BS187" s="23"/>
      <c r="BT187" s="23"/>
    </row>
    <row r="188" spans="1:72">
      <c r="B188" s="23"/>
      <c r="C188" s="23"/>
      <c r="D188" s="23"/>
      <c r="E188" s="23"/>
      <c r="F188" s="23"/>
      <c r="G188" s="23"/>
      <c r="H188" s="23"/>
      <c r="I188" s="23"/>
      <c r="J188" s="23"/>
      <c r="K188" s="23"/>
      <c r="L188" s="23"/>
      <c r="M188" s="23"/>
      <c r="N188" s="23"/>
      <c r="O188" s="23"/>
      <c r="P188" s="23"/>
      <c r="Q188" s="23"/>
      <c r="R188" s="23"/>
      <c r="S188" s="23"/>
      <c r="T188" s="23"/>
      <c r="U188" s="23"/>
      <c r="V188" s="23"/>
      <c r="W188" s="23"/>
      <c r="X188" s="23"/>
      <c r="Y188" s="23"/>
      <c r="Z188" s="23"/>
      <c r="AA188" s="23"/>
      <c r="AB188" s="23"/>
      <c r="AC188" s="23"/>
      <c r="AD188" s="23"/>
      <c r="AE188" s="23"/>
      <c r="AF188" s="23"/>
      <c r="AG188" s="23"/>
      <c r="AH188" s="23"/>
      <c r="AI188" s="23"/>
      <c r="AJ188" s="23"/>
      <c r="AK188" s="280" t="s">
        <v>72</v>
      </c>
      <c r="AL188" s="282"/>
      <c r="AM188" s="281"/>
      <c r="AN188" s="23"/>
      <c r="AO188" s="23"/>
      <c r="AP188" s="23"/>
      <c r="AQ188" s="23"/>
      <c r="AR188" s="23"/>
      <c r="AS188" s="23"/>
      <c r="AV188" s="23"/>
      <c r="AW188" s="23"/>
      <c r="AX188" s="23"/>
      <c r="AY188" s="23"/>
      <c r="AZ188" s="23"/>
      <c r="BA188" s="23"/>
      <c r="BB188" s="23"/>
      <c r="BC188" s="23"/>
      <c r="BD188" s="23"/>
      <c r="BE188" s="23"/>
      <c r="BF188" s="23"/>
      <c r="BG188" s="23"/>
      <c r="BH188" s="23"/>
      <c r="BI188" s="23"/>
      <c r="BJ188" s="23"/>
      <c r="BK188" s="23"/>
      <c r="BL188" s="23"/>
      <c r="BM188" s="23"/>
      <c r="BN188" s="23"/>
      <c r="BO188" s="23"/>
      <c r="BP188" s="23"/>
      <c r="BQ188" s="23"/>
      <c r="BR188" s="23"/>
      <c r="BS188" s="23"/>
      <c r="BT188" s="23"/>
    </row>
    <row r="189" spans="1:72">
      <c r="B189" s="275" t="s">
        <v>73</v>
      </c>
      <c r="C189" s="276"/>
      <c r="D189" s="276"/>
      <c r="E189" s="276"/>
      <c r="F189" s="276"/>
      <c r="G189" s="276"/>
      <c r="H189" s="276"/>
      <c r="I189" s="276"/>
      <c r="J189" s="276"/>
      <c r="K189" s="276"/>
      <c r="L189" s="276"/>
      <c r="M189" s="276"/>
      <c r="N189" s="276"/>
      <c r="O189" s="276"/>
      <c r="P189" s="276"/>
      <c r="Q189" s="276"/>
      <c r="R189" s="276"/>
      <c r="S189" s="276"/>
      <c r="T189" s="276"/>
      <c r="U189" s="276"/>
      <c r="V189" s="276"/>
      <c r="W189" s="276"/>
      <c r="X189" s="276"/>
      <c r="Y189" s="276"/>
      <c r="Z189" s="276"/>
      <c r="AA189" s="276"/>
      <c r="AB189" s="276"/>
      <c r="AC189" s="276"/>
      <c r="AD189" s="276"/>
      <c r="AE189" s="276"/>
      <c r="AF189" s="276"/>
      <c r="AG189" s="277"/>
      <c r="AH189" s="23"/>
      <c r="AI189" s="103" t="s">
        <v>74</v>
      </c>
      <c r="AJ189" s="23"/>
      <c r="AK189" s="69" t="s">
        <v>75</v>
      </c>
      <c r="AL189" s="86" t="s">
        <v>76</v>
      </c>
      <c r="AM189" s="69" t="s">
        <v>77</v>
      </c>
      <c r="AN189" s="23"/>
      <c r="AO189" s="278" t="s">
        <v>78</v>
      </c>
      <c r="AP189" s="279"/>
      <c r="AQ189" s="23"/>
      <c r="AR189" s="23"/>
      <c r="AV189" s="23"/>
      <c r="AW189" s="23"/>
      <c r="AX189" s="23"/>
      <c r="AY189" s="23"/>
      <c r="AZ189" s="23"/>
      <c r="BA189" s="23"/>
      <c r="BB189" s="23"/>
      <c r="BC189" s="23"/>
      <c r="BD189" s="23"/>
      <c r="BE189" s="23"/>
      <c r="BF189" s="23"/>
      <c r="BG189" s="23"/>
      <c r="BH189" s="23"/>
      <c r="BI189" s="23"/>
      <c r="BJ189" s="23"/>
      <c r="BK189" s="23"/>
      <c r="BL189" s="23"/>
      <c r="BM189" s="23"/>
      <c r="BN189" s="23"/>
      <c r="BO189" s="23"/>
      <c r="BP189" s="23"/>
      <c r="BQ189" s="23"/>
      <c r="BR189" s="23"/>
      <c r="BS189" s="23"/>
      <c r="BT189" s="23"/>
    </row>
    <row r="190" spans="1:72">
      <c r="A190">
        <v>1</v>
      </c>
      <c r="B190" s="8" cm="1">
        <f t="array" ref="B190:AG221">_xlfn.ANCHORARRAY(B155)-_xlfn.ANCHORARRAY(AJ155)</f>
        <v>0.73179848911938783</v>
      </c>
      <c r="C190" s="9">
        <v>4.2334841892682114E-3</v>
      </c>
      <c r="D190" s="9">
        <v>2.457566580324555E-2</v>
      </c>
      <c r="E190" s="9">
        <v>-5.7774100521840906E-2</v>
      </c>
      <c r="F190" s="9">
        <v>-6.9523280632850099E-2</v>
      </c>
      <c r="G190" s="9">
        <v>-0.13918542102890868</v>
      </c>
      <c r="H190" s="9">
        <v>4.5134827226539623E-2</v>
      </c>
      <c r="I190" s="9">
        <v>-5.7773984779514793E-2</v>
      </c>
      <c r="J190" s="9">
        <v>-4.5857572238886687E-2</v>
      </c>
      <c r="K190" s="9">
        <v>-9.2477920432634697E-2</v>
      </c>
      <c r="L190" s="9">
        <v>-0.21393519860375831</v>
      </c>
      <c r="M190" s="9">
        <v>-0.26820176396043482</v>
      </c>
      <c r="N190" s="9">
        <v>3.0691591053061199E-2</v>
      </c>
      <c r="O190" s="9">
        <v>1.5146144945430866E-2</v>
      </c>
      <c r="P190" s="9">
        <v>-8.5840424816345795E-3</v>
      </c>
      <c r="Q190" s="9">
        <v>-8.3669325128304869E-3</v>
      </c>
      <c r="R190" s="9">
        <v>-9.7503123931469322E-3</v>
      </c>
      <c r="S190" s="9">
        <v>-2.782181125326675E-2</v>
      </c>
      <c r="T190" s="9">
        <v>-4.5645903433442353E-2</v>
      </c>
      <c r="U190" s="9">
        <v>3.5601983342864411E-3</v>
      </c>
      <c r="V190" s="9">
        <v>5.0967149585240748E-2</v>
      </c>
      <c r="W190" s="9">
        <v>1.2138019875997989E-2</v>
      </c>
      <c r="X190" s="9">
        <v>3.0626513583326485E-2</v>
      </c>
      <c r="Y190" s="9">
        <v>6.8041433421336811E-2</v>
      </c>
      <c r="Z190" s="9">
        <v>-6.5898384439816465E-2</v>
      </c>
      <c r="AA190" s="9">
        <v>-9.5874732026085568E-2</v>
      </c>
      <c r="AB190" s="9">
        <v>5.9071344604948575E-2</v>
      </c>
      <c r="AC190" s="9">
        <v>-2.9287633983692517E-3</v>
      </c>
      <c r="AD190" s="9">
        <v>-1.3254144970266973E-2</v>
      </c>
      <c r="AE190" s="9">
        <v>3.8153490587601036E-2</v>
      </c>
      <c r="AF190" s="9">
        <v>-4.8873734902921295E-2</v>
      </c>
      <c r="AG190" s="10">
        <v>2.6973174665433919E-2</v>
      </c>
      <c r="AH190" s="23"/>
      <c r="AI190" s="2" cm="1">
        <f t="array" ref="AI190">SQRT(INDEX(_xlfn.ANCHORARRAY($B$190),A190,A190))</f>
        <v>0.85545221322958065</v>
      </c>
      <c r="AJ190" s="23"/>
      <c r="AK190" s="2">
        <f t="shared" ref="AK190:AK221" si="29">$AP$191*AI190</f>
        <v>0.85639813496224015</v>
      </c>
      <c r="AL190" s="104">
        <f>ABS(Y119/AK190)</f>
        <v>1.0240532034501748</v>
      </c>
      <c r="AM190" s="107" t="str">
        <f>IF(AL190&lt;2.5,"Spełniony","Nie spełniony")</f>
        <v>Spełniony</v>
      </c>
      <c r="AN190" s="23"/>
      <c r="AO190" s="101" t="s">
        <v>79</v>
      </c>
      <c r="AP190" s="102">
        <f>CHIINV(0.05,19)/19</f>
        <v>1.5865014318761135</v>
      </c>
      <c r="AQ190" s="23"/>
      <c r="AR190" s="23"/>
      <c r="AV190" s="23"/>
      <c r="AW190" s="23"/>
      <c r="AX190" s="23"/>
      <c r="AY190" s="23"/>
      <c r="AZ190" s="23"/>
      <c r="BA190" s="23"/>
      <c r="BB190" s="23"/>
      <c r="BC190" s="23"/>
      <c r="BD190" s="23"/>
      <c r="BE190" s="23"/>
      <c r="BF190" s="23"/>
      <c r="BG190" s="23"/>
      <c r="BH190" s="23"/>
      <c r="BI190" s="23"/>
      <c r="BJ190" s="23"/>
      <c r="BK190" s="23"/>
      <c r="BL190" s="23"/>
      <c r="BM190" s="23"/>
      <c r="BN190" s="23"/>
      <c r="BO190" s="23"/>
      <c r="BP190" s="23"/>
      <c r="BQ190" s="23"/>
      <c r="BR190" s="23"/>
      <c r="BS190" s="23"/>
      <c r="BT190" s="23"/>
    </row>
    <row r="191" spans="1:72">
      <c r="A191">
        <v>2</v>
      </c>
      <c r="B191" s="11">
        <v>4.2334841892681802E-3</v>
      </c>
      <c r="C191" s="1">
        <v>0.7719014842748505</v>
      </c>
      <c r="D191" s="1">
        <v>-9.6521117252524491E-2</v>
      </c>
      <c r="E191" s="1">
        <v>6.1979848758646969E-3</v>
      </c>
      <c r="F191" s="1">
        <v>-3.4115030990536706E-2</v>
      </c>
      <c r="G191" s="1">
        <v>-1.2469389665547753E-2</v>
      </c>
      <c r="H191" s="1">
        <v>-4.8805676638165325E-2</v>
      </c>
      <c r="I191" s="1">
        <v>6.1979724590692925E-3</v>
      </c>
      <c r="J191" s="1">
        <v>-0.10131377284724788</v>
      </c>
      <c r="K191" s="1">
        <v>8.8667551359341915E-3</v>
      </c>
      <c r="L191" s="1">
        <v>-5.4874709940366875E-3</v>
      </c>
      <c r="M191" s="1">
        <v>4.2334881840608365E-3</v>
      </c>
      <c r="N191" s="1">
        <v>-1.4095981405088567E-2</v>
      </c>
      <c r="O191" s="1">
        <v>1.9826175507856612E-2</v>
      </c>
      <c r="P191" s="1">
        <v>-1.8584411486547325E-2</v>
      </c>
      <c r="Q191" s="1">
        <v>3.8370562418993323E-3</v>
      </c>
      <c r="R191" s="1">
        <v>-0.10895267335203399</v>
      </c>
      <c r="S191" s="1">
        <v>-4.5350661828258532E-2</v>
      </c>
      <c r="T191" s="1">
        <v>-5.9173129536279671E-2</v>
      </c>
      <c r="U191" s="1">
        <v>-4.1851544042913122E-2</v>
      </c>
      <c r="V191" s="1">
        <v>9.5842225100824588E-3</v>
      </c>
      <c r="W191" s="1">
        <v>1.6040037097372069E-2</v>
      </c>
      <c r="X191" s="1">
        <v>9.230566523806133E-2</v>
      </c>
      <c r="Y191" s="1">
        <v>-0.20392602163359716</v>
      </c>
      <c r="Z191" s="1">
        <v>6.7050578166302235E-2</v>
      </c>
      <c r="AA191" s="1">
        <v>1.8945518621779053E-2</v>
      </c>
      <c r="AB191" s="1">
        <v>0.10023304719135782</v>
      </c>
      <c r="AC191" s="1">
        <v>-0.10516489516851497</v>
      </c>
      <c r="AD191" s="1">
        <v>-0.15330306211539244</v>
      </c>
      <c r="AE191" s="1">
        <v>8.1580593368905621E-2</v>
      </c>
      <c r="AF191" s="1">
        <v>0.1373584044984987</v>
      </c>
      <c r="AG191" s="12">
        <v>8.3623654979387868E-2</v>
      </c>
      <c r="AH191" s="23"/>
      <c r="AI191" s="3" cm="1">
        <f t="array" ref="AI191">SQRT(INDEX(_xlfn.ANCHORARRAY($B$190),A191,A191))</f>
        <v>0.87857924188706538</v>
      </c>
      <c r="AJ191" s="23"/>
      <c r="AK191" s="3">
        <f t="shared" si="29"/>
        <v>0.87955073647894555</v>
      </c>
      <c r="AL191" s="105">
        <f t="shared" ref="AL191:AL221" si="30">ABS(Y120/AK191)</f>
        <v>1.2679189893664231</v>
      </c>
      <c r="AM191" s="108" t="str">
        <f t="shared" ref="AM191:AM221" si="31">IF(AL191&lt;2.5,"Spełniony","Nie spełniony")</f>
        <v>Spełniony</v>
      </c>
      <c r="AN191" s="23"/>
      <c r="AO191" s="87" t="s">
        <v>67</v>
      </c>
      <c r="AP191" s="87">
        <f>AB131</f>
        <v>1.0011057563684223</v>
      </c>
      <c r="AQ191" s="23"/>
      <c r="AR191" s="23"/>
      <c r="AV191" s="23"/>
      <c r="AW191" s="23"/>
      <c r="AX191" s="23"/>
      <c r="AY191" s="23"/>
      <c r="AZ191" s="23"/>
      <c r="BA191" s="23"/>
      <c r="BB191" s="23"/>
      <c r="BC191" s="23"/>
      <c r="BD191" s="23"/>
      <c r="BE191" s="23"/>
      <c r="BF191" s="23"/>
      <c r="BG191" s="23"/>
      <c r="BH191" s="23"/>
      <c r="BI191" s="23"/>
      <c r="BJ191" s="23"/>
      <c r="BK191" s="23"/>
      <c r="BL191" s="23"/>
      <c r="BM191" s="23"/>
      <c r="BN191" s="23"/>
      <c r="BO191" s="23"/>
      <c r="BP191" s="23"/>
      <c r="BQ191" s="23"/>
      <c r="BR191" s="23"/>
      <c r="BS191" s="23"/>
      <c r="BT191" s="23"/>
    </row>
    <row r="192" spans="1:72">
      <c r="A192">
        <v>3</v>
      </c>
      <c r="B192" s="67">
        <v>2.457566580324555E-2</v>
      </c>
      <c r="C192" s="25">
        <v>-9.6521117252524449E-2</v>
      </c>
      <c r="D192" s="25">
        <v>0.75139395481762183</v>
      </c>
      <c r="E192" s="25">
        <v>4.0995969730959092E-2</v>
      </c>
      <c r="F192" s="25">
        <v>3.1839816391949466E-2</v>
      </c>
      <c r="G192" s="25">
        <v>-1.4907936482872718E-2</v>
      </c>
      <c r="H192" s="25">
        <v>-1.070362471181394E-2</v>
      </c>
      <c r="I192" s="25">
        <v>4.0995887601270264E-2</v>
      </c>
      <c r="J192" s="25">
        <v>-0.17693811395443376</v>
      </c>
      <c r="K192" s="25">
        <v>-5.02694178414167E-3</v>
      </c>
      <c r="L192" s="25">
        <v>-2.5432875224263109E-2</v>
      </c>
      <c r="M192" s="25">
        <v>2.4575688993290705E-2</v>
      </c>
      <c r="N192" s="25">
        <v>4.6452807698790831E-4</v>
      </c>
      <c r="O192" s="25">
        <v>3.5106491408028991E-3</v>
      </c>
      <c r="P192" s="25">
        <v>-3.1317769474443428E-3</v>
      </c>
      <c r="Q192" s="25">
        <v>5.9256832653469052E-3</v>
      </c>
      <c r="R192" s="25">
        <v>-3.0846905657119939E-2</v>
      </c>
      <c r="S192" s="25">
        <v>-1.2370769563098148E-2</v>
      </c>
      <c r="T192" s="25">
        <v>-0.17580774616358749</v>
      </c>
      <c r="U192" s="25">
        <v>-0.16968591319289161</v>
      </c>
      <c r="V192" s="25">
        <v>1.56077707236728E-2</v>
      </c>
      <c r="W192" s="25">
        <v>1.3984241046350791E-2</v>
      </c>
      <c r="X192" s="25">
        <v>3.1619485802772657E-2</v>
      </c>
      <c r="Y192" s="25">
        <v>-0.11110659242453164</v>
      </c>
      <c r="Z192" s="25">
        <v>4.7066582932393249E-2</v>
      </c>
      <c r="AA192" s="25">
        <v>2.8285119193421355E-3</v>
      </c>
      <c r="AB192" s="25">
        <v>1.6236819289725372E-2</v>
      </c>
      <c r="AC192" s="25">
        <v>5.5062104955636626E-2</v>
      </c>
      <c r="AD192" s="25">
        <v>0.10555957629791128</v>
      </c>
      <c r="AE192" s="25">
        <v>-0.18810940119072783</v>
      </c>
      <c r="AF192" s="25">
        <v>0.11148879849068245</v>
      </c>
      <c r="AG192" s="45">
        <v>2.1492333890227647E-2</v>
      </c>
      <c r="AI192" s="3" cm="1">
        <f t="array" ref="AI192">SQRT(INDEX(_xlfn.ANCHORARRAY($B$190),A192,A192))</f>
        <v>0.86682983036904182</v>
      </c>
      <c r="AJ192" s="23"/>
      <c r="AK192" s="3">
        <f t="shared" si="29"/>
        <v>0.86778833297431079</v>
      </c>
      <c r="AL192" s="105">
        <f t="shared" si="30"/>
        <v>0.47623143823112085</v>
      </c>
      <c r="AM192" s="108" t="str">
        <f t="shared" si="31"/>
        <v>Spełniony</v>
      </c>
      <c r="AN192" s="23"/>
      <c r="AO192" s="280" t="str">
        <f>IF(AP190&gt;AP191,"Warunek spełniony","NIESPEŁNIONY!")</f>
        <v>Warunek spełniony</v>
      </c>
      <c r="AP192" s="281"/>
      <c r="AQ192" s="23"/>
    </row>
    <row r="193" spans="1:43">
      <c r="A193">
        <v>4</v>
      </c>
      <c r="B193" s="67">
        <v>-5.7774100521840926E-2</v>
      </c>
      <c r="C193" s="25">
        <v>6.1979848758646899E-3</v>
      </c>
      <c r="D193" s="25">
        <v>4.0995969730959078E-2</v>
      </c>
      <c r="E193" s="25">
        <v>0.78752618341978953</v>
      </c>
      <c r="F193" s="25">
        <v>-5.6979847115523882E-2</v>
      </c>
      <c r="G193" s="25">
        <v>1.4819900151707893E-2</v>
      </c>
      <c r="H193" s="25">
        <v>-0.1305687827018136</v>
      </c>
      <c r="I193" s="25">
        <v>-0.21247339091865028</v>
      </c>
      <c r="J193" s="25">
        <v>-0.14197282042943696</v>
      </c>
      <c r="K193" s="25">
        <v>4.624052989013297E-2</v>
      </c>
      <c r="L193" s="25">
        <v>4.8940880273846035E-2</v>
      </c>
      <c r="M193" s="25">
        <v>-5.7774155038532851E-2</v>
      </c>
      <c r="N193" s="25">
        <v>-5.3520384622604902E-2</v>
      </c>
      <c r="O193" s="25">
        <v>1.9984969473870448E-2</v>
      </c>
      <c r="P193" s="25">
        <v>3.9687431730586198E-3</v>
      </c>
      <c r="Q193" s="25">
        <v>1.4656321117192464E-3</v>
      </c>
      <c r="R193" s="25">
        <v>-4.19764432516306E-3</v>
      </c>
      <c r="S193" s="25">
        <v>-2.2000336622967562E-2</v>
      </c>
      <c r="T193" s="25">
        <v>-1.2204930193448135E-2</v>
      </c>
      <c r="U193" s="25">
        <v>3.4220862723559814E-2</v>
      </c>
      <c r="V193" s="25">
        <v>1.8748358334355314E-2</v>
      </c>
      <c r="W193" s="25">
        <v>2.5247461278996394E-2</v>
      </c>
      <c r="X193" s="25">
        <v>3.2210827159626795E-2</v>
      </c>
      <c r="Y193" s="25">
        <v>5.4973025375399304E-2</v>
      </c>
      <c r="Z193" s="25">
        <v>-0.21179745661314336</v>
      </c>
      <c r="AA193" s="25">
        <v>8.0617784464765738E-2</v>
      </c>
      <c r="AB193" s="25">
        <v>-5.037954957513515E-2</v>
      </c>
      <c r="AC193" s="25">
        <v>-2.6220381151437953E-2</v>
      </c>
      <c r="AD193" s="25">
        <v>-1.9740015424940367E-2</v>
      </c>
      <c r="AE193" s="25">
        <v>3.3393854502878531E-2</v>
      </c>
      <c r="AF193" s="25">
        <v>-4.6648541301866117E-2</v>
      </c>
      <c r="AG193" s="45">
        <v>1.2998091117707417E-2</v>
      </c>
      <c r="AI193" s="3" cm="1">
        <f t="array" ref="AI193">SQRT(INDEX(_xlfn.ANCHORARRAY($B$190),A193,A193))</f>
        <v>0.88742672002807621</v>
      </c>
      <c r="AJ193" s="23"/>
      <c r="AK193" s="3">
        <f t="shared" si="29"/>
        <v>0.88840799777525536</v>
      </c>
      <c r="AL193" s="105">
        <f t="shared" si="30"/>
        <v>1.887511156739927</v>
      </c>
      <c r="AM193" s="108" t="str">
        <f t="shared" si="31"/>
        <v>Spełniony</v>
      </c>
      <c r="AN193" s="23"/>
      <c r="AO193" s="23"/>
      <c r="AP193" s="23"/>
      <c r="AQ193" s="23"/>
    </row>
    <row r="194" spans="1:43">
      <c r="A194">
        <v>5</v>
      </c>
      <c r="B194" s="67">
        <v>-6.9523280632850043E-2</v>
      </c>
      <c r="C194" s="25">
        <v>-3.4115030990536699E-2</v>
      </c>
      <c r="D194" s="25">
        <v>3.1839816391949466E-2</v>
      </c>
      <c r="E194" s="25">
        <v>-5.6979847115523799E-2</v>
      </c>
      <c r="F194" s="25">
        <v>0.80235949652956418</v>
      </c>
      <c r="G194" s="25">
        <v>1.129084229096595E-2</v>
      </c>
      <c r="H194" s="25">
        <v>-1.5170697974849857E-2</v>
      </c>
      <c r="I194" s="25">
        <v>-5.6979732964373239E-2</v>
      </c>
      <c r="J194" s="25">
        <v>-5.175321368569883E-2</v>
      </c>
      <c r="K194" s="25">
        <v>1.374892591834676E-2</v>
      </c>
      <c r="L194" s="25">
        <v>8.6706755338438898E-2</v>
      </c>
      <c r="M194" s="25">
        <v>-6.9523346236281897E-2</v>
      </c>
      <c r="N194" s="25">
        <v>-2.5351211485572012E-2</v>
      </c>
      <c r="O194" s="25">
        <v>4.2473493888274177E-2</v>
      </c>
      <c r="P194" s="25">
        <v>-4.229270036195841E-2</v>
      </c>
      <c r="Q194" s="25">
        <v>-5.2346953050059639E-2</v>
      </c>
      <c r="R194" s="25">
        <v>-8.4846145089814695E-2</v>
      </c>
      <c r="S194" s="25">
        <v>-5.426570177481102E-2</v>
      </c>
      <c r="T194" s="25">
        <v>-0.13034741735596495</v>
      </c>
      <c r="U194" s="25">
        <v>-4.448407965700998E-3</v>
      </c>
      <c r="V194" s="25">
        <v>-9.1807761404120738E-2</v>
      </c>
      <c r="W194" s="25">
        <v>-7.8449454461985854E-2</v>
      </c>
      <c r="X194" s="25">
        <v>2.8628116319718774E-2</v>
      </c>
      <c r="Y194" s="25">
        <v>0.10547931247736683</v>
      </c>
      <c r="Z194" s="25">
        <v>7.3140239745297819E-2</v>
      </c>
      <c r="AA194" s="25">
        <v>-3.6990452676276861E-2</v>
      </c>
      <c r="AB194" s="25">
        <v>0.10894267324315572</v>
      </c>
      <c r="AC194" s="25">
        <v>-7.4288623730298903E-2</v>
      </c>
      <c r="AD194" s="25">
        <v>-4.5918175697366032E-3</v>
      </c>
      <c r="AE194" s="25">
        <v>9.6989430126486142E-2</v>
      </c>
      <c r="AF194" s="25">
        <v>-0.1589934940157896</v>
      </c>
      <c r="AG194" s="45">
        <v>0.10013841462161176</v>
      </c>
      <c r="AI194" s="3" cm="1">
        <f t="array" ref="AI194">SQRT(INDEX(_xlfn.ANCHORARRAY($B$190),A194,A194))</f>
        <v>0.89574521853569733</v>
      </c>
      <c r="AJ194" s="23"/>
      <c r="AK194" s="3">
        <f t="shared" si="29"/>
        <v>0.896735694515577</v>
      </c>
      <c r="AL194" s="105">
        <f t="shared" si="30"/>
        <v>0.43727262499021741</v>
      </c>
      <c r="AM194" s="108" t="str">
        <f t="shared" si="31"/>
        <v>Spełniony</v>
      </c>
      <c r="AN194" s="23"/>
      <c r="AO194" s="23"/>
      <c r="AP194" s="23"/>
      <c r="AQ194" s="23"/>
    </row>
    <row r="195" spans="1:43">
      <c r="A195">
        <v>6</v>
      </c>
      <c r="B195" s="67">
        <v>-0.13918542102890852</v>
      </c>
      <c r="C195" s="25">
        <v>-1.2469389665547732E-2</v>
      </c>
      <c r="D195" s="25">
        <v>-1.4907936482872773E-2</v>
      </c>
      <c r="E195" s="25">
        <v>1.4819900151707826E-2</v>
      </c>
      <c r="F195" s="25">
        <v>1.1290842290965886E-2</v>
      </c>
      <c r="G195" s="25">
        <v>0.72043753938107147</v>
      </c>
      <c r="H195" s="25">
        <v>-0.15424891825534684</v>
      </c>
      <c r="I195" s="25">
        <v>1.4819870462111582E-2</v>
      </c>
      <c r="J195" s="25">
        <v>2.7587914084131613E-2</v>
      </c>
      <c r="K195" s="25">
        <v>-5.4130907294335853E-3</v>
      </c>
      <c r="L195" s="25">
        <v>-0.13414207914192236</v>
      </c>
      <c r="M195" s="25">
        <v>-0.13918555236680286</v>
      </c>
      <c r="N195" s="25">
        <v>-0.1269323521644195</v>
      </c>
      <c r="O195" s="25">
        <v>6.1316749471913068E-2</v>
      </c>
      <c r="P195" s="25">
        <v>4.5862694625681683E-2</v>
      </c>
      <c r="Q195" s="25">
        <v>1.7163761453066303E-2</v>
      </c>
      <c r="R195" s="25">
        <v>3.0446168270585744E-3</v>
      </c>
      <c r="S195" s="25">
        <v>-8.4534676791876914E-3</v>
      </c>
      <c r="T195" s="25">
        <v>8.9495906475199893E-3</v>
      </c>
      <c r="U195" s="25">
        <v>2.1307285879106755E-2</v>
      </c>
      <c r="V195" s="25">
        <v>9.408548944118092E-2</v>
      </c>
      <c r="W195" s="25">
        <v>3.2269548267763647E-2</v>
      </c>
      <c r="X195" s="25">
        <v>2.4378282523163097E-2</v>
      </c>
      <c r="Y195" s="25">
        <v>-1.9525874915869407E-2</v>
      </c>
      <c r="Z195" s="25">
        <v>0.111338689920065</v>
      </c>
      <c r="AA195" s="25">
        <v>-0.24254613523630317</v>
      </c>
      <c r="AB195" s="25">
        <v>-0.10560134103705759</v>
      </c>
      <c r="AC195" s="25">
        <v>-2.2572354438817832E-2</v>
      </c>
      <c r="AD195" s="25">
        <v>1.9150053112292342E-3</v>
      </c>
      <c r="AE195" s="25">
        <v>-3.9524805602776894E-2</v>
      </c>
      <c r="AF195" s="25">
        <v>2.0962009941611549E-2</v>
      </c>
      <c r="AG195" s="45">
        <v>-2.2264122628809342E-2</v>
      </c>
      <c r="AI195" s="3" cm="1">
        <f t="array" ref="AI195">SQRT(INDEX(_xlfn.ANCHORARRAY($B$190),A195,A195))</f>
        <v>0.8487859208193026</v>
      </c>
      <c r="AJ195" s="23"/>
      <c r="AK195" s="3">
        <f t="shared" si="29"/>
        <v>0.84972447125667572</v>
      </c>
      <c r="AL195" s="105">
        <f t="shared" si="30"/>
        <v>0.40645338399129449</v>
      </c>
      <c r="AM195" s="108" t="str">
        <f t="shared" si="31"/>
        <v>Spełniony</v>
      </c>
      <c r="AN195" s="23"/>
      <c r="AO195" s="23"/>
      <c r="AP195" s="23"/>
      <c r="AQ195" s="23"/>
    </row>
    <row r="196" spans="1:43">
      <c r="A196">
        <v>7</v>
      </c>
      <c r="B196" s="67">
        <v>4.5134827226539623E-2</v>
      </c>
      <c r="C196" s="25">
        <v>-4.8805676638165325E-2</v>
      </c>
      <c r="D196" s="25">
        <v>-1.0703624711813992E-2</v>
      </c>
      <c r="E196" s="25">
        <v>-0.1305687827018136</v>
      </c>
      <c r="F196" s="25">
        <v>-1.5170697974849934E-2</v>
      </c>
      <c r="G196" s="25">
        <v>-0.15424891825534662</v>
      </c>
      <c r="H196" s="25">
        <v>0.54880451184703027</v>
      </c>
      <c r="I196" s="25">
        <v>-0.13056852112552797</v>
      </c>
      <c r="J196" s="25">
        <v>-6.3893367615528579E-2</v>
      </c>
      <c r="K196" s="25">
        <v>3.4536451344890515E-2</v>
      </c>
      <c r="L196" s="25">
        <v>-1.3077484368901882E-2</v>
      </c>
      <c r="M196" s="25">
        <v>4.5134869816583142E-2</v>
      </c>
      <c r="N196" s="25">
        <v>-0.23696837370363216</v>
      </c>
      <c r="O196" s="25">
        <v>0.11878557864542733</v>
      </c>
      <c r="P196" s="25">
        <v>5.7297263884951155E-2</v>
      </c>
      <c r="Q196" s="25">
        <v>-1.1611373091786559E-2</v>
      </c>
      <c r="R196" s="25">
        <v>-5.6366063908609584E-2</v>
      </c>
      <c r="S196" s="25">
        <v>2.2368305200982375E-3</v>
      </c>
      <c r="T196" s="25">
        <v>2.3753120733800065E-2</v>
      </c>
      <c r="U196" s="25">
        <v>4.4506078316949096E-2</v>
      </c>
      <c r="V196" s="25">
        <v>3.7673013792395293E-3</v>
      </c>
      <c r="W196" s="25">
        <v>-7.6898601505198685E-2</v>
      </c>
      <c r="X196" s="25">
        <v>-2.0911871505661872E-2</v>
      </c>
      <c r="Y196" s="25">
        <v>-7.5343670172821287E-2</v>
      </c>
      <c r="Z196" s="25">
        <v>8.6613503740639641E-2</v>
      </c>
      <c r="AA196" s="25">
        <v>8.2773338063802854E-2</v>
      </c>
      <c r="AB196" s="25">
        <v>-0.24101785484762392</v>
      </c>
      <c r="AC196" s="25">
        <v>-0.11039174032867621</v>
      </c>
      <c r="AD196" s="25">
        <v>1.3454604370676665E-2</v>
      </c>
      <c r="AE196" s="25">
        <v>-2.2624259049995668E-2</v>
      </c>
      <c r="AF196" s="25">
        <v>-2.6331271465923539E-2</v>
      </c>
      <c r="AG196" s="45">
        <v>-3.9828604138645585E-3</v>
      </c>
      <c r="AI196" s="3" cm="1">
        <f t="array" ref="AI196">SQRT(INDEX(_xlfn.ANCHORARRAY($B$190),A196,A196))</f>
        <v>0.74081341230233555</v>
      </c>
      <c r="AJ196" s="23"/>
      <c r="AK196" s="3">
        <f t="shared" si="29"/>
        <v>0.74163257145080153</v>
      </c>
      <c r="AL196" s="105">
        <f t="shared" si="30"/>
        <v>0.32757355138503086</v>
      </c>
      <c r="AM196" s="108" t="str">
        <f t="shared" si="31"/>
        <v>Spełniony</v>
      </c>
      <c r="AN196" s="23"/>
      <c r="AO196" s="23"/>
      <c r="AP196" s="23"/>
      <c r="AQ196" s="23"/>
    </row>
    <row r="197" spans="1:43">
      <c r="A197">
        <v>8</v>
      </c>
      <c r="B197" s="67">
        <v>-5.7773984779514814E-2</v>
      </c>
      <c r="C197" s="25">
        <v>6.1979724590692786E-3</v>
      </c>
      <c r="D197" s="25">
        <v>4.0995887601270264E-2</v>
      </c>
      <c r="E197" s="25">
        <v>-0.21247339091865031</v>
      </c>
      <c r="F197" s="25">
        <v>-5.6979732964373336E-2</v>
      </c>
      <c r="G197" s="25">
        <v>1.4819870462111639E-2</v>
      </c>
      <c r="H197" s="25">
        <v>-0.13056852112552794</v>
      </c>
      <c r="I197" s="25">
        <v>0.7875270347420571</v>
      </c>
      <c r="J197" s="25">
        <v>-0.14197253600675738</v>
      </c>
      <c r="K197" s="25">
        <v>4.624043725370177E-2</v>
      </c>
      <c r="L197" s="25">
        <v>4.8940782227640714E-2</v>
      </c>
      <c r="M197" s="25">
        <v>-5.7774039296097535E-2</v>
      </c>
      <c r="N197" s="25">
        <v>-5.3520277402003429E-2</v>
      </c>
      <c r="O197" s="25">
        <v>1.9984929436780638E-2</v>
      </c>
      <c r="P197" s="25">
        <v>3.9687352222370353E-3</v>
      </c>
      <c r="Q197" s="25">
        <v>1.465629175530371E-3</v>
      </c>
      <c r="R197" s="25">
        <v>-4.1976359157700222E-3</v>
      </c>
      <c r="S197" s="25">
        <v>-2.2000292548371644E-2</v>
      </c>
      <c r="T197" s="25">
        <v>-1.2204905742578306E-2</v>
      </c>
      <c r="U197" s="25">
        <v>3.4220794166849887E-2</v>
      </c>
      <c r="V197" s="25">
        <v>1.8748320774642863E-2</v>
      </c>
      <c r="W197" s="25">
        <v>2.5247410699240552E-2</v>
      </c>
      <c r="X197" s="25">
        <v>3.2210762629741818E-2</v>
      </c>
      <c r="Y197" s="25">
        <v>5.4972915244635309E-2</v>
      </c>
      <c r="Z197" s="25">
        <v>-0.21179703230657571</v>
      </c>
      <c r="AA197" s="25">
        <v>8.0617622958315371E-2</v>
      </c>
      <c r="AB197" s="25">
        <v>-5.0379448646757224E-2</v>
      </c>
      <c r="AC197" s="25">
        <v>-2.6220328622573293E-2</v>
      </c>
      <c r="AD197" s="25">
        <v>-1.973997587858168E-2</v>
      </c>
      <c r="AE197" s="25">
        <v>3.3393787602963777E-2</v>
      </c>
      <c r="AF197" s="25">
        <v>-4.6648447848041105E-2</v>
      </c>
      <c r="AG197" s="45">
        <v>1.2998065077850739E-2</v>
      </c>
      <c r="AI197" s="3" cm="1">
        <f t="array" ref="AI197">SQRT(INDEX(_xlfn.ANCHORARRAY($B$190),A197,A197))</f>
        <v>0.88742719968573036</v>
      </c>
      <c r="AJ197" s="23"/>
      <c r="AK197" s="3">
        <f t="shared" si="29"/>
        <v>0.88840847796329403</v>
      </c>
      <c r="AL197" s="105">
        <f t="shared" si="30"/>
        <v>0.36749246579503925</v>
      </c>
      <c r="AM197" s="108" t="str">
        <f t="shared" si="31"/>
        <v>Spełniony</v>
      </c>
      <c r="AN197" s="23"/>
      <c r="AO197" s="23"/>
      <c r="AP197" s="23"/>
      <c r="AQ197" s="23"/>
    </row>
    <row r="198" spans="1:43">
      <c r="A198">
        <v>9</v>
      </c>
      <c r="B198" s="67">
        <v>-4.585757223888668E-2</v>
      </c>
      <c r="C198" s="25">
        <v>-0.10131377284724787</v>
      </c>
      <c r="D198" s="25">
        <v>-0.17693811395443371</v>
      </c>
      <c r="E198" s="25">
        <v>-0.14197282042943693</v>
      </c>
      <c r="F198" s="25">
        <v>-5.1753213685698886E-2</v>
      </c>
      <c r="G198" s="25">
        <v>2.7587914084131665E-2</v>
      </c>
      <c r="H198" s="25">
        <v>-6.3893367615528565E-2</v>
      </c>
      <c r="I198" s="25">
        <v>-0.14197253600675738</v>
      </c>
      <c r="J198" s="25">
        <v>0.70267745643746293</v>
      </c>
      <c r="K198" s="25">
        <v>3.5748160530247576E-2</v>
      </c>
      <c r="L198" s="25">
        <v>3.1990676057646592E-2</v>
      </c>
      <c r="M198" s="25">
        <v>-4.5857615510925799E-2</v>
      </c>
      <c r="N198" s="25">
        <v>-1.4985683961654887E-2</v>
      </c>
      <c r="O198" s="25">
        <v>3.7690144101483573E-3</v>
      </c>
      <c r="P198" s="25">
        <v>-7.4700734913412253E-3</v>
      </c>
      <c r="Q198" s="25">
        <v>1.3556311962581766E-2</v>
      </c>
      <c r="R198" s="25">
        <v>-4.8534558770540186E-2</v>
      </c>
      <c r="S198" s="25">
        <v>-3.0510750864463376E-2</v>
      </c>
      <c r="T198" s="25">
        <v>-0.16120153251176181</v>
      </c>
      <c r="U198" s="25">
        <v>-8.2732396587148718E-2</v>
      </c>
      <c r="V198" s="25">
        <v>2.7604325292365166E-2</v>
      </c>
      <c r="W198" s="25">
        <v>4.518358820132181E-2</v>
      </c>
      <c r="X198" s="25">
        <v>7.1294522844028735E-2</v>
      </c>
      <c r="Y198" s="25">
        <v>-6.5093433086074182E-2</v>
      </c>
      <c r="Z198" s="25">
        <v>-0.14546176172767747</v>
      </c>
      <c r="AA198" s="25">
        <v>6.6472758476035967E-2</v>
      </c>
      <c r="AB198" s="25">
        <v>8.5559187990643965E-2</v>
      </c>
      <c r="AC198" s="25">
        <v>-4.1372030838680768E-2</v>
      </c>
      <c r="AD198" s="25">
        <v>7.970723005880434E-2</v>
      </c>
      <c r="AE198" s="25">
        <v>-0.14469793135288753</v>
      </c>
      <c r="AF198" s="25">
        <v>2.640696951592127E-2</v>
      </c>
      <c r="AG198" s="45">
        <v>4.1132337341756371E-2</v>
      </c>
      <c r="AI198" s="3" cm="1">
        <f t="array" ref="AI198">SQRT(INDEX(_xlfn.ANCHORARRAY($B$190),A198,A198))</f>
        <v>0.83825858566283884</v>
      </c>
      <c r="AJ198" s="23"/>
      <c r="AK198" s="3">
        <f t="shared" si="29"/>
        <v>0.83918549543232013</v>
      </c>
      <c r="AL198" s="105">
        <f t="shared" si="30"/>
        <v>1.4283373406347992</v>
      </c>
      <c r="AM198" s="108" t="str">
        <f t="shared" si="31"/>
        <v>Spełniony</v>
      </c>
      <c r="AN198" s="23"/>
      <c r="AO198" s="23"/>
      <c r="AP198" s="23"/>
      <c r="AQ198" s="23"/>
    </row>
    <row r="199" spans="1:43">
      <c r="A199">
        <v>10</v>
      </c>
      <c r="B199" s="67">
        <v>-9.2477920432634864E-2</v>
      </c>
      <c r="C199" s="25">
        <v>8.8667551359342678E-3</v>
      </c>
      <c r="D199" s="25">
        <v>-5.0269417841416258E-3</v>
      </c>
      <c r="E199" s="25">
        <v>4.6240529890133067E-2</v>
      </c>
      <c r="F199" s="25">
        <v>1.3748925918346942E-2</v>
      </c>
      <c r="G199" s="25">
        <v>-5.4130907294335853E-3</v>
      </c>
      <c r="H199" s="25">
        <v>3.4536451344891084E-2</v>
      </c>
      <c r="I199" s="25">
        <v>4.6240437253701847E-2</v>
      </c>
      <c r="J199" s="25">
        <v>3.5748160530247694E-2</v>
      </c>
      <c r="K199" s="25">
        <v>0.652153057268817</v>
      </c>
      <c r="L199" s="25">
        <v>-0.24947664558458499</v>
      </c>
      <c r="M199" s="25">
        <v>-9.2478007696482137E-2</v>
      </c>
      <c r="N199" s="25">
        <v>-9.9850415149275062E-2</v>
      </c>
      <c r="O199" s="25">
        <v>-0.11559994123176248</v>
      </c>
      <c r="P199" s="25">
        <v>-4.8537052019037671E-2</v>
      </c>
      <c r="Q199" s="25">
        <v>2.0387466938082195E-2</v>
      </c>
      <c r="R199" s="25">
        <v>2.7594196306323093E-2</v>
      </c>
      <c r="S199" s="25">
        <v>1.0824708876946441E-2</v>
      </c>
      <c r="T199" s="25">
        <v>2.5302793977025097E-3</v>
      </c>
      <c r="U199" s="25">
        <v>-2.0235148514821514E-3</v>
      </c>
      <c r="V199" s="25">
        <v>-0.2860384841038135</v>
      </c>
      <c r="W199" s="25">
        <v>6.4310019439774796E-2</v>
      </c>
      <c r="X199" s="25">
        <v>1.8389020352790508E-2</v>
      </c>
      <c r="Y199" s="25">
        <v>4.9842580198394201E-3</v>
      </c>
      <c r="Z199" s="25">
        <v>4.1208353054777505E-2</v>
      </c>
      <c r="AA199" s="25">
        <v>0.15714683323663123</v>
      </c>
      <c r="AB199" s="25">
        <v>4.8042674631491086E-3</v>
      </c>
      <c r="AC199" s="25">
        <v>1.5947269586146916E-2</v>
      </c>
      <c r="AD199" s="25">
        <v>3.7860641879791327E-3</v>
      </c>
      <c r="AE199" s="25">
        <v>-1.5623225103463896E-2</v>
      </c>
      <c r="AF199" s="25">
        <v>1.3813726463616975E-2</v>
      </c>
      <c r="AG199" s="45">
        <v>2.545076088209303E-3</v>
      </c>
      <c r="AI199" s="3" cm="1">
        <f t="array" ref="AI199">SQRT(INDEX(_xlfn.ANCHORARRAY($B$190),A199,A199))</f>
        <v>0.80755994035663814</v>
      </c>
      <c r="AJ199" s="23"/>
      <c r="AK199" s="3">
        <f t="shared" si="29"/>
        <v>0.80845290490357014</v>
      </c>
      <c r="AL199" s="105">
        <f t="shared" si="30"/>
        <v>1.0711005975330115</v>
      </c>
      <c r="AM199" s="108" t="str">
        <f t="shared" si="31"/>
        <v>Spełniony</v>
      </c>
      <c r="AN199" s="23"/>
      <c r="AO199" s="23"/>
      <c r="AP199" s="23"/>
      <c r="AQ199" s="23"/>
    </row>
    <row r="200" spans="1:43">
      <c r="A200">
        <v>11</v>
      </c>
      <c r="B200" s="67">
        <v>-0.21393519860375834</v>
      </c>
      <c r="C200" s="25">
        <v>-5.4874709940366979E-3</v>
      </c>
      <c r="D200" s="25">
        <v>-2.5432875224263067E-2</v>
      </c>
      <c r="E200" s="25">
        <v>4.8940880273846049E-2</v>
      </c>
      <c r="F200" s="25">
        <v>8.6706755338438884E-2</v>
      </c>
      <c r="G200" s="25">
        <v>-0.13414207914192239</v>
      </c>
      <c r="H200" s="25">
        <v>-1.3077484368901795E-2</v>
      </c>
      <c r="I200" s="25">
        <v>4.8940782227640686E-2</v>
      </c>
      <c r="J200" s="25">
        <v>3.1990676057646585E-2</v>
      </c>
      <c r="K200" s="25">
        <v>-0.24947664558458479</v>
      </c>
      <c r="L200" s="25">
        <v>0.51833708540357493</v>
      </c>
      <c r="M200" s="25">
        <v>-0.2139354004769019</v>
      </c>
      <c r="N200" s="25">
        <v>7.4290236018804801E-2</v>
      </c>
      <c r="O200" s="25">
        <v>1.7718011707476916E-2</v>
      </c>
      <c r="P200" s="25">
        <v>1.9527288970073393E-2</v>
      </c>
      <c r="Q200" s="25">
        <v>-8.0398479351528485E-3</v>
      </c>
      <c r="R200" s="25">
        <v>-3.684414313008073E-3</v>
      </c>
      <c r="S200" s="25">
        <v>3.763639649263964E-2</v>
      </c>
      <c r="T200" s="25">
        <v>6.0044641020561465E-2</v>
      </c>
      <c r="U200" s="25">
        <v>-1.3921961848076788E-2</v>
      </c>
      <c r="V200" s="25">
        <v>5.1437165027523095E-2</v>
      </c>
      <c r="W200" s="25">
        <v>-7.05945157142428E-2</v>
      </c>
      <c r="X200" s="25">
        <v>-6.6396981629770535E-2</v>
      </c>
      <c r="Y200" s="25">
        <v>-9.1776405242161754E-2</v>
      </c>
      <c r="Z200" s="25">
        <v>1.8359531218653254E-2</v>
      </c>
      <c r="AA200" s="25">
        <v>0.15897120633999881</v>
      </c>
      <c r="AB200" s="25">
        <v>-3.8395104924702474E-2</v>
      </c>
      <c r="AC200" s="25">
        <v>5.3817164297008703E-3</v>
      </c>
      <c r="AD200" s="25">
        <v>1.5953359766997049E-2</v>
      </c>
      <c r="AE200" s="25">
        <v>-2.7186005007658189E-2</v>
      </c>
      <c r="AF200" s="25">
        <v>5.2396427278753238E-2</v>
      </c>
      <c r="AG200" s="45">
        <v>-2.9908960716224946E-2</v>
      </c>
      <c r="AI200" s="3" cm="1">
        <f t="array" ref="AI200">SQRT(INDEX(_xlfn.ANCHORARRAY($B$190),A200,A200))</f>
        <v>0.719956307982349</v>
      </c>
      <c r="AJ200" s="23"/>
      <c r="AK200" s="3">
        <f t="shared" si="29"/>
        <v>0.72075240425488629</v>
      </c>
      <c r="AL200" s="105">
        <f t="shared" si="30"/>
        <v>0.32463883090497769</v>
      </c>
      <c r="AM200" s="108" t="str">
        <f t="shared" si="31"/>
        <v>Spełniony</v>
      </c>
      <c r="AN200" s="23"/>
      <c r="AO200" s="23"/>
      <c r="AP200" s="23"/>
      <c r="AQ200" s="23"/>
    </row>
    <row r="201" spans="1:43">
      <c r="A201">
        <v>12</v>
      </c>
      <c r="B201" s="67">
        <v>-0.26820176396043482</v>
      </c>
      <c r="C201" s="25">
        <v>4.2334881840608643E-3</v>
      </c>
      <c r="D201" s="25">
        <v>2.4575688993290708E-2</v>
      </c>
      <c r="E201" s="25">
        <v>-5.7774155038532837E-2</v>
      </c>
      <c r="F201" s="25">
        <v>-6.9523346236281952E-2</v>
      </c>
      <c r="G201" s="25">
        <v>-0.13918555236680302</v>
      </c>
      <c r="H201" s="25">
        <v>4.5134869816583149E-2</v>
      </c>
      <c r="I201" s="25">
        <v>-5.77740392960975E-2</v>
      </c>
      <c r="J201" s="25">
        <v>-4.5857615510925792E-2</v>
      </c>
      <c r="K201" s="25">
        <v>-9.247800769648197E-2</v>
      </c>
      <c r="L201" s="25">
        <v>-0.2139354004769019</v>
      </c>
      <c r="M201" s="25">
        <v>0.7317979829595036</v>
      </c>
      <c r="N201" s="25">
        <v>3.0691620014204515E-2</v>
      </c>
      <c r="O201" s="25">
        <v>1.5146159237608696E-2</v>
      </c>
      <c r="P201" s="25">
        <v>-8.584050581693127E-3</v>
      </c>
      <c r="Q201" s="25">
        <v>-8.3669404080201158E-3</v>
      </c>
      <c r="R201" s="25">
        <v>-9.750321593719016E-3</v>
      </c>
      <c r="S201" s="25">
        <v>-2.7821837506433751E-2</v>
      </c>
      <c r="T201" s="25">
        <v>-4.5645946505746854E-2</v>
      </c>
      <c r="U201" s="25">
        <v>3.5602016937543342E-3</v>
      </c>
      <c r="V201" s="25">
        <v>5.096719767876999E-2</v>
      </c>
      <c r="W201" s="25">
        <v>1.213803132965427E-2</v>
      </c>
      <c r="X201" s="25">
        <v>3.0626542483061646E-2</v>
      </c>
      <c r="Y201" s="25">
        <v>6.8041497626470646E-2</v>
      </c>
      <c r="Z201" s="25">
        <v>-6.5898446622730339E-2</v>
      </c>
      <c r="AA201" s="25">
        <v>-9.5874822495226192E-2</v>
      </c>
      <c r="AB201" s="25">
        <v>5.9071400345743416E-2</v>
      </c>
      <c r="AC201" s="25">
        <v>-2.9287661620037084E-3</v>
      </c>
      <c r="AD201" s="25">
        <v>-1.3254157477119157E-2</v>
      </c>
      <c r="AE201" s="25">
        <v>3.8153526589928571E-2</v>
      </c>
      <c r="AF201" s="25">
        <v>-4.8873781021066334E-2</v>
      </c>
      <c r="AG201" s="45">
        <v>2.6973200117811996E-2</v>
      </c>
      <c r="AI201" s="3" cm="1">
        <f t="array" ref="AI201">SQRT(INDEX(_xlfn.ANCHORARRAY($B$190),A201,A201))</f>
        <v>0.85545191738607007</v>
      </c>
      <c r="AJ201" s="23"/>
      <c r="AK201" s="3">
        <f t="shared" si="29"/>
        <v>0.8563978387915987</v>
      </c>
      <c r="AL201" s="105">
        <f t="shared" si="30"/>
        <v>7.7791068922318282E-2</v>
      </c>
      <c r="AM201" s="108" t="str">
        <f t="shared" si="31"/>
        <v>Spełniony</v>
      </c>
      <c r="AN201" s="23"/>
      <c r="AO201" s="23"/>
      <c r="AP201" s="23"/>
      <c r="AQ201" s="23"/>
    </row>
    <row r="202" spans="1:43">
      <c r="A202">
        <v>13</v>
      </c>
      <c r="B202" s="67">
        <v>3.0691591053061212E-2</v>
      </c>
      <c r="C202" s="25">
        <v>-1.4095981405088533E-2</v>
      </c>
      <c r="D202" s="25">
        <v>4.6452807698788359E-4</v>
      </c>
      <c r="E202" s="25">
        <v>-5.3520384622604944E-2</v>
      </c>
      <c r="F202" s="25">
        <v>-2.5351211485571942E-2</v>
      </c>
      <c r="G202" s="25">
        <v>-0.1269323521644195</v>
      </c>
      <c r="H202" s="25">
        <v>-0.236968373703632</v>
      </c>
      <c r="I202" s="25">
        <v>-5.3520277402003477E-2</v>
      </c>
      <c r="J202" s="25">
        <v>-1.498568396165488E-2</v>
      </c>
      <c r="K202" s="25">
        <v>-9.9850415149275396E-2</v>
      </c>
      <c r="L202" s="25">
        <v>7.4290236018804676E-2</v>
      </c>
      <c r="M202" s="25">
        <v>3.0691620014204536E-2</v>
      </c>
      <c r="N202" s="25">
        <v>0.55674658108114083</v>
      </c>
      <c r="O202" s="25">
        <v>-0.27315975899233652</v>
      </c>
      <c r="P202" s="25">
        <v>-0.13403405188699188</v>
      </c>
      <c r="Q202" s="25">
        <v>2.8790102207670677E-2</v>
      </c>
      <c r="R202" s="25">
        <v>1.2549551055206675E-2</v>
      </c>
      <c r="S202" s="25">
        <v>2.8394076792196396E-2</v>
      </c>
      <c r="T202" s="25">
        <v>4.0329757620473361E-4</v>
      </c>
      <c r="U202" s="25">
        <v>2.6421311531816895E-2</v>
      </c>
      <c r="V202" s="25">
        <v>-9.1137284359709053E-2</v>
      </c>
      <c r="W202" s="25">
        <v>8.7628287948737532E-2</v>
      </c>
      <c r="X202" s="25">
        <v>2.7317562999828848E-2</v>
      </c>
      <c r="Y202" s="25">
        <v>-1.3310655050342013E-2</v>
      </c>
      <c r="Z202" s="25">
        <v>8.3010890449776442E-2</v>
      </c>
      <c r="AA202" s="25">
        <v>-9.3508801988291701E-2</v>
      </c>
      <c r="AB202" s="25">
        <v>-0.12670493057938384</v>
      </c>
      <c r="AC202" s="25">
        <v>-5.7226427028376312E-2</v>
      </c>
      <c r="AD202" s="25">
        <v>1.7792395535038807E-2</v>
      </c>
      <c r="AE202" s="25">
        <v>-1.4771947749281047E-2</v>
      </c>
      <c r="AF202" s="25">
        <v>-3.5414638187854383E-2</v>
      </c>
      <c r="AG202" s="45">
        <v>4.0160161463695151E-2</v>
      </c>
      <c r="AI202" s="3" cm="1">
        <f t="array" ref="AI202">SQRT(INDEX(_xlfn.ANCHORARRAY($B$190),A202,A202))</f>
        <v>0.74615452895572565</v>
      </c>
      <c r="AJ202" s="23"/>
      <c r="AK202" s="3">
        <f t="shared" si="29"/>
        <v>0.74697959407794556</v>
      </c>
      <c r="AL202" s="105">
        <f t="shared" si="30"/>
        <v>0.13015897511295638</v>
      </c>
      <c r="AM202" s="108" t="str">
        <f t="shared" si="31"/>
        <v>Spełniony</v>
      </c>
      <c r="AN202" s="23"/>
      <c r="AO202" s="23"/>
      <c r="AP202" s="23"/>
      <c r="AQ202" s="23"/>
    </row>
    <row r="203" spans="1:43">
      <c r="A203">
        <v>14</v>
      </c>
      <c r="B203" s="67">
        <v>1.5146144945430838E-2</v>
      </c>
      <c r="C203" s="25">
        <v>1.9826175507856689E-2</v>
      </c>
      <c r="D203" s="25">
        <v>3.5106491408029364E-3</v>
      </c>
      <c r="E203" s="25">
        <v>1.9984969473870417E-2</v>
      </c>
      <c r="F203" s="25">
        <v>4.2473493888274323E-2</v>
      </c>
      <c r="G203" s="25">
        <v>6.1316749471912846E-2</v>
      </c>
      <c r="H203" s="25">
        <v>0.11878557864542748</v>
      </c>
      <c r="I203" s="25">
        <v>1.9984929436780589E-2</v>
      </c>
      <c r="J203" s="25">
        <v>3.7690144101483886E-3</v>
      </c>
      <c r="K203" s="25">
        <v>-0.1155999412317623</v>
      </c>
      <c r="L203" s="25">
        <v>1.7718011707476989E-2</v>
      </c>
      <c r="M203" s="25">
        <v>1.5146159237608654E-2</v>
      </c>
      <c r="N203" s="25">
        <v>-0.27315975899233641</v>
      </c>
      <c r="O203" s="25">
        <v>0.43368471531067454</v>
      </c>
      <c r="P203" s="25">
        <v>-0.29059067194423666</v>
      </c>
      <c r="Q203" s="25">
        <v>1.5905997323799818E-2</v>
      </c>
      <c r="R203" s="25">
        <v>4.2956832314152309E-2</v>
      </c>
      <c r="S203" s="25">
        <v>9.4993016306320108E-2</v>
      </c>
      <c r="T203" s="25">
        <v>3.5795061281782364E-2</v>
      </c>
      <c r="U203" s="25">
        <v>-3.2391196168688144E-2</v>
      </c>
      <c r="V203" s="25">
        <v>0.11566142155005064</v>
      </c>
      <c r="W203" s="25">
        <v>5.5116472026090164E-2</v>
      </c>
      <c r="X203" s="25">
        <v>-5.3220076390876489E-2</v>
      </c>
      <c r="Y203" s="25">
        <v>-4.2892836197602945E-2</v>
      </c>
      <c r="Z203" s="25">
        <v>-7.5735384748410378E-2</v>
      </c>
      <c r="AA203" s="25">
        <v>1.0704037607489609E-3</v>
      </c>
      <c r="AB203" s="25">
        <v>6.6637299852520177E-2</v>
      </c>
      <c r="AC203" s="25">
        <v>1.5544224738294147E-2</v>
      </c>
      <c r="AD203" s="25">
        <v>3.343696626775939E-2</v>
      </c>
      <c r="AE203" s="25">
        <v>2.3343965902590396E-2</v>
      </c>
      <c r="AF203" s="25">
        <v>-1.7569033181584429E-2</v>
      </c>
      <c r="AG203" s="45">
        <v>6.7705648589312994E-2</v>
      </c>
      <c r="AI203" s="3" cm="1">
        <f t="array" ref="AI203">SQRT(INDEX(_xlfn.ANCHORARRAY($B$190),A203,A203))</f>
        <v>0.6585474282925069</v>
      </c>
      <c r="AJ203" s="23"/>
      <c r="AK203" s="3">
        <f t="shared" si="29"/>
        <v>0.65927562130524942</v>
      </c>
      <c r="AL203" s="105">
        <f t="shared" si="30"/>
        <v>1.7106077412112579</v>
      </c>
      <c r="AM203" s="108" t="str">
        <f t="shared" si="31"/>
        <v>Spełniony</v>
      </c>
      <c r="AN203" s="23"/>
      <c r="AO203" s="23"/>
      <c r="AP203" s="23"/>
      <c r="AQ203" s="23"/>
    </row>
    <row r="204" spans="1:43">
      <c r="A204">
        <v>15</v>
      </c>
      <c r="B204" s="67">
        <v>-8.5840424816346662E-3</v>
      </c>
      <c r="C204" s="25">
        <v>-1.8584411486547273E-2</v>
      </c>
      <c r="D204" s="25">
        <v>-3.1317769474443358E-3</v>
      </c>
      <c r="E204" s="25">
        <v>3.9687431730584559E-3</v>
      </c>
      <c r="F204" s="25">
        <v>-4.2292700361958264E-2</v>
      </c>
      <c r="G204" s="25">
        <v>4.586269462568137E-2</v>
      </c>
      <c r="H204" s="25">
        <v>5.7297263884950961E-2</v>
      </c>
      <c r="I204" s="25">
        <v>3.9687352222368558E-3</v>
      </c>
      <c r="J204" s="25">
        <v>-7.4700734913413225E-3</v>
      </c>
      <c r="K204" s="25">
        <v>-4.8537052019037533E-2</v>
      </c>
      <c r="L204" s="25">
        <v>1.9527288970073442E-2</v>
      </c>
      <c r="M204" s="25">
        <v>-8.5840505816932068E-3</v>
      </c>
      <c r="N204" s="25">
        <v>-0.13403405188699208</v>
      </c>
      <c r="O204" s="25">
        <v>-0.29059067194423671</v>
      </c>
      <c r="P204" s="25">
        <v>0.58840060268192618</v>
      </c>
      <c r="Q204" s="25">
        <v>-6.3386850863128785E-2</v>
      </c>
      <c r="R204" s="25">
        <v>-8.9458957513759707E-2</v>
      </c>
      <c r="S204" s="25">
        <v>-0.17373383582724183</v>
      </c>
      <c r="T204" s="25">
        <v>-5.3936114860412172E-2</v>
      </c>
      <c r="U204" s="25">
        <v>2.0667449943021617E-2</v>
      </c>
      <c r="V204" s="25">
        <v>6.7528227412028213E-2</v>
      </c>
      <c r="W204" s="25">
        <v>-0.20383167370049196</v>
      </c>
      <c r="X204" s="25">
        <v>4.0073151935292789E-2</v>
      </c>
      <c r="Y204" s="25">
        <v>7.4088931270216929E-2</v>
      </c>
      <c r="Z204" s="25">
        <v>3.456667753064295E-3</v>
      </c>
      <c r="AA204" s="25">
        <v>1.86846953298897E-2</v>
      </c>
      <c r="AB204" s="25">
        <v>3.2815420443942561E-2</v>
      </c>
      <c r="AC204" s="25">
        <v>2.9273048934328624E-2</v>
      </c>
      <c r="AD204" s="25">
        <v>-6.9294971124147689E-2</v>
      </c>
      <c r="AE204" s="25">
        <v>-1.0932095591361497E-2</v>
      </c>
      <c r="AF204" s="25">
        <v>5.5868934609491605E-2</v>
      </c>
      <c r="AG204" s="45">
        <v>-0.14210842685275374</v>
      </c>
      <c r="AI204" s="3" cm="1">
        <f t="array" ref="AI204">SQRT(INDEX(_xlfn.ANCHORARRAY($B$190),A204,A204))</f>
        <v>0.7670727492760554</v>
      </c>
      <c r="AJ204" s="23"/>
      <c r="AK204" s="3">
        <f t="shared" si="29"/>
        <v>0.76792094485361051</v>
      </c>
      <c r="AL204" s="105">
        <f t="shared" si="30"/>
        <v>1.4556627653621381</v>
      </c>
      <c r="AM204" s="108" t="str">
        <f t="shared" si="31"/>
        <v>Spełniony</v>
      </c>
      <c r="AN204" s="23"/>
      <c r="AO204" s="23"/>
      <c r="AP204" s="23"/>
      <c r="AQ204" s="23"/>
    </row>
    <row r="205" spans="1:43">
      <c r="A205">
        <v>16</v>
      </c>
      <c r="B205" s="67">
        <v>-8.3669325128304887E-3</v>
      </c>
      <c r="C205" s="25">
        <v>3.8370562418993844E-3</v>
      </c>
      <c r="D205" s="25">
        <v>5.9256832653468844E-3</v>
      </c>
      <c r="E205" s="25">
        <v>1.4656321117193106E-3</v>
      </c>
      <c r="F205" s="25">
        <v>-5.2346953050059625E-2</v>
      </c>
      <c r="G205" s="25">
        <v>1.7163761453066383E-2</v>
      </c>
      <c r="H205" s="25">
        <v>-1.1611373091786396E-2</v>
      </c>
      <c r="I205" s="25">
        <v>1.4656291755304474E-3</v>
      </c>
      <c r="J205" s="25">
        <v>1.3556311962581828E-2</v>
      </c>
      <c r="K205" s="25">
        <v>2.0387466938082313E-2</v>
      </c>
      <c r="L205" s="25">
        <v>-8.0398479351529301E-3</v>
      </c>
      <c r="M205" s="25">
        <v>-8.3669404080201279E-3</v>
      </c>
      <c r="N205" s="25">
        <v>2.8790102207670809E-2</v>
      </c>
      <c r="O205" s="25">
        <v>1.5905997323799631E-2</v>
      </c>
      <c r="P205" s="25">
        <v>-6.338685086312891E-2</v>
      </c>
      <c r="Q205" s="25">
        <v>0.65359655262200933</v>
      </c>
      <c r="R205" s="25">
        <v>-0.22138446877440696</v>
      </c>
      <c r="S205" s="25">
        <v>-0.12127327731613033</v>
      </c>
      <c r="T205" s="25">
        <v>-5.8858225575451353E-2</v>
      </c>
      <c r="U205" s="25">
        <v>4.3908508875489319E-2</v>
      </c>
      <c r="V205" s="25">
        <v>3.5015071306382956E-2</v>
      </c>
      <c r="W205" s="25">
        <v>7.7699887181730196E-2</v>
      </c>
      <c r="X205" s="25">
        <v>-0.32349433894553892</v>
      </c>
      <c r="Y205" s="25">
        <v>0.11781599007773913</v>
      </c>
      <c r="Z205" s="25">
        <v>5.0467428619324226E-2</v>
      </c>
      <c r="AA205" s="25">
        <v>4.2495961760362327E-2</v>
      </c>
      <c r="AB205" s="25">
        <v>-2.8467359734333605E-2</v>
      </c>
      <c r="AC205" s="25">
        <v>3.4552653267171135E-2</v>
      </c>
      <c r="AD205" s="25">
        <v>-6.069251331754108E-2</v>
      </c>
      <c r="AE205" s="25">
        <v>-4.0772658149751471E-2</v>
      </c>
      <c r="AF205" s="25">
        <v>4.8315073261567996E-2</v>
      </c>
      <c r="AG205" s="45">
        <v>9.1323407109838522E-2</v>
      </c>
      <c r="AI205" s="3" cm="1">
        <f t="array" ref="AI205">SQRT(INDEX(_xlfn.ANCHORARRAY($B$190),A205,A205))</f>
        <v>0.80845318517648834</v>
      </c>
      <c r="AJ205" s="23"/>
      <c r="AK205" s="3">
        <f t="shared" si="29"/>
        <v>0.80934713743456854</v>
      </c>
      <c r="AL205" s="105">
        <f t="shared" si="30"/>
        <v>0.29873461187846445</v>
      </c>
      <c r="AM205" s="108" t="str">
        <f t="shared" si="31"/>
        <v>Spełniony</v>
      </c>
      <c r="AN205" s="23"/>
      <c r="AO205" s="23"/>
      <c r="AP205" s="23"/>
      <c r="AQ205" s="23"/>
    </row>
    <row r="206" spans="1:43">
      <c r="A206">
        <v>17</v>
      </c>
      <c r="B206" s="67">
        <v>-9.7503123931469392E-3</v>
      </c>
      <c r="C206" s="25">
        <v>-0.10895267335203396</v>
      </c>
      <c r="D206" s="25">
        <v>-3.0846905657119943E-2</v>
      </c>
      <c r="E206" s="25">
        <v>-4.1976443251630323E-3</v>
      </c>
      <c r="F206" s="25">
        <v>-8.4846145089814667E-2</v>
      </c>
      <c r="G206" s="25">
        <v>3.0446168270585397E-3</v>
      </c>
      <c r="H206" s="25">
        <v>-5.6366063908609557E-2</v>
      </c>
      <c r="I206" s="25">
        <v>-4.1976359157699893E-3</v>
      </c>
      <c r="J206" s="25">
        <v>-4.8534558770540158E-2</v>
      </c>
      <c r="K206" s="25">
        <v>2.7594196306323104E-2</v>
      </c>
      <c r="L206" s="25">
        <v>-3.6844143130080678E-3</v>
      </c>
      <c r="M206" s="25">
        <v>-9.7503215937190212E-3</v>
      </c>
      <c r="N206" s="25">
        <v>1.2549551055206679E-2</v>
      </c>
      <c r="O206" s="25">
        <v>4.2956832314152281E-2</v>
      </c>
      <c r="P206" s="25">
        <v>-8.9458957513759818E-2</v>
      </c>
      <c r="Q206" s="25">
        <v>-0.22138446877440704</v>
      </c>
      <c r="R206" s="25">
        <v>0.70055322676000886</v>
      </c>
      <c r="S206" s="25">
        <v>-0.17483878776654208</v>
      </c>
      <c r="T206" s="25">
        <v>-6.3913665530250657E-2</v>
      </c>
      <c r="U206" s="25">
        <v>-2.8594520780334805E-2</v>
      </c>
      <c r="V206" s="25">
        <v>2.7031963026358921E-2</v>
      </c>
      <c r="W206" s="25">
        <v>7.7026589860025446E-2</v>
      </c>
      <c r="X206" s="25">
        <v>-0.17351736846819638</v>
      </c>
      <c r="Y206" s="25">
        <v>-7.3700677092044184E-2</v>
      </c>
      <c r="Z206" s="25">
        <v>9.484986918598888E-2</v>
      </c>
      <c r="AA206" s="25">
        <v>4.8309623487867388E-2</v>
      </c>
      <c r="AB206" s="25">
        <v>7.3789658252326945E-2</v>
      </c>
      <c r="AC206" s="25">
        <v>-9.1586214638498975E-2</v>
      </c>
      <c r="AD206" s="25">
        <v>-3.941540646330359E-2</v>
      </c>
      <c r="AE206" s="25">
        <v>7.7030712536221443E-2</v>
      </c>
      <c r="AF206" s="25">
        <v>-3.0387048148791371E-2</v>
      </c>
      <c r="AG206" s="45">
        <v>-0.11379416961042119</v>
      </c>
      <c r="AI206" s="3" cm="1">
        <f t="array" ref="AI206">SQRT(INDEX(_xlfn.ANCHORARRAY($B$190),A206,A206))</f>
        <v>0.83699057746190242</v>
      </c>
      <c r="AJ206" s="23"/>
      <c r="AK206" s="3">
        <f t="shared" si="29"/>
        <v>0.83791608512324034</v>
      </c>
      <c r="AL206" s="105">
        <f t="shared" si="30"/>
        <v>1.4031076487430603</v>
      </c>
      <c r="AM206" s="108" t="str">
        <f t="shared" si="31"/>
        <v>Spełniony</v>
      </c>
      <c r="AN206" s="23"/>
      <c r="AO206" s="23"/>
      <c r="AP206" s="23"/>
      <c r="AQ206" s="23"/>
    </row>
    <row r="207" spans="1:43">
      <c r="A207">
        <v>18</v>
      </c>
      <c r="B207" s="67">
        <v>-2.7821811253266784E-2</v>
      </c>
      <c r="C207" s="25">
        <v>-4.5350661828258518E-2</v>
      </c>
      <c r="D207" s="25">
        <v>-1.2370769563098176E-2</v>
      </c>
      <c r="E207" s="25">
        <v>-2.2000336622967669E-2</v>
      </c>
      <c r="F207" s="25">
        <v>-5.4265701774810993E-2</v>
      </c>
      <c r="G207" s="25">
        <v>-8.453467679187799E-3</v>
      </c>
      <c r="H207" s="25">
        <v>2.2368305200980432E-3</v>
      </c>
      <c r="I207" s="25">
        <v>-2.2000292548371752E-2</v>
      </c>
      <c r="J207" s="25">
        <v>-3.0510750864463466E-2</v>
      </c>
      <c r="K207" s="25">
        <v>1.0824708876946389E-2</v>
      </c>
      <c r="L207" s="25">
        <v>3.7636396492639522E-2</v>
      </c>
      <c r="M207" s="25">
        <v>-2.7821837506433786E-2</v>
      </c>
      <c r="N207" s="25">
        <v>2.8394076792196316E-2</v>
      </c>
      <c r="O207" s="25">
        <v>9.4993016306320219E-2</v>
      </c>
      <c r="P207" s="25">
        <v>-0.17373383582724172</v>
      </c>
      <c r="Q207" s="25">
        <v>-0.12127327731613044</v>
      </c>
      <c r="R207" s="25">
        <v>-0.17483878776654199</v>
      </c>
      <c r="S207" s="25">
        <v>0.71284685056016728</v>
      </c>
      <c r="T207" s="25">
        <v>-7.0284440387949801E-2</v>
      </c>
      <c r="U207" s="25">
        <v>3.9005777462726848E-2</v>
      </c>
      <c r="V207" s="25">
        <v>-7.7076354735334973E-2</v>
      </c>
      <c r="W207" s="25">
        <v>-2.7475776821606537E-3</v>
      </c>
      <c r="X207" s="25">
        <v>3.5385716956192824E-2</v>
      </c>
      <c r="Y207" s="25">
        <v>8.2659395647354292E-2</v>
      </c>
      <c r="Z207" s="25">
        <v>5.9623680129458553E-3</v>
      </c>
      <c r="AA207" s="25">
        <v>-4.4183548198997322E-2</v>
      </c>
      <c r="AB207" s="25">
        <v>1.9182957365621576E-3</v>
      </c>
      <c r="AC207" s="25">
        <v>2.536236551905521E-2</v>
      </c>
      <c r="AD207" s="25">
        <v>-0.11192807333520274</v>
      </c>
      <c r="AE207" s="25">
        <v>-2.2988338292549339E-2</v>
      </c>
      <c r="AF207" s="25">
        <v>9.9439672323449968E-2</v>
      </c>
      <c r="AG207" s="45">
        <v>-0.2512404034222373</v>
      </c>
      <c r="AI207" s="3" cm="1">
        <f t="array" ref="AI207">SQRT(INDEX(_xlfn.ANCHORARRAY($B$190),A207,A207))</f>
        <v>0.84430258234839439</v>
      </c>
      <c r="AJ207" s="23"/>
      <c r="AK207" s="3">
        <f t="shared" si="29"/>
        <v>0.8452361753057015</v>
      </c>
      <c r="AL207" s="105">
        <f t="shared" si="30"/>
        <v>0.23358368622300232</v>
      </c>
      <c r="AM207" s="108" t="str">
        <f t="shared" si="31"/>
        <v>Spełniony</v>
      </c>
      <c r="AN207" s="23"/>
      <c r="AO207" s="23"/>
      <c r="AP207" s="23"/>
      <c r="AQ207" s="23"/>
    </row>
    <row r="208" spans="1:43">
      <c r="A208">
        <v>19</v>
      </c>
      <c r="B208" s="67">
        <v>-4.5645903433442325E-2</v>
      </c>
      <c r="C208" s="25">
        <v>-5.917312953627956E-2</v>
      </c>
      <c r="D208" s="25">
        <v>-0.17580774616358746</v>
      </c>
      <c r="E208" s="25">
        <v>-1.2204930193448043E-2</v>
      </c>
      <c r="F208" s="25">
        <v>-0.13034741735596495</v>
      </c>
      <c r="G208" s="25">
        <v>8.9495906475201906E-3</v>
      </c>
      <c r="H208" s="25">
        <v>2.3753120733800273E-2</v>
      </c>
      <c r="I208" s="25">
        <v>-1.2204905742578218E-2</v>
      </c>
      <c r="J208" s="25">
        <v>-0.16120153251176184</v>
      </c>
      <c r="K208" s="25">
        <v>2.5302793977023084E-3</v>
      </c>
      <c r="L208" s="25">
        <v>6.0044641020561396E-2</v>
      </c>
      <c r="M208" s="25">
        <v>-4.5645946505746833E-2</v>
      </c>
      <c r="N208" s="25">
        <v>4.032975762048056E-4</v>
      </c>
      <c r="O208" s="25">
        <v>3.5795061281782239E-2</v>
      </c>
      <c r="P208" s="25">
        <v>-5.393611486041229E-2</v>
      </c>
      <c r="Q208" s="25">
        <v>-5.8858225575451291E-2</v>
      </c>
      <c r="R208" s="25">
        <v>-6.3913665530250643E-2</v>
      </c>
      <c r="S208" s="25">
        <v>-7.0284440387949787E-2</v>
      </c>
      <c r="T208" s="25">
        <v>0.69755764308610324</v>
      </c>
      <c r="U208" s="25">
        <v>-0.22441593991636902</v>
      </c>
      <c r="V208" s="25">
        <v>-7.9784495573630515E-2</v>
      </c>
      <c r="W208" s="25">
        <v>-6.0047631053333779E-2</v>
      </c>
      <c r="X208" s="25">
        <v>4.0424293299454669E-2</v>
      </c>
      <c r="Y208" s="25">
        <v>8.0340705555086447E-2</v>
      </c>
      <c r="Z208" s="25">
        <v>6.7469544683596033E-2</v>
      </c>
      <c r="AA208" s="25">
        <v>-4.8402416911172932E-2</v>
      </c>
      <c r="AB208" s="25">
        <v>8.990078758796663E-3</v>
      </c>
      <c r="AC208" s="25">
        <v>0.12421744939609793</v>
      </c>
      <c r="AD208" s="25">
        <v>6.8846978091499852E-2</v>
      </c>
      <c r="AE208" s="25">
        <v>-2.693051580850904E-2</v>
      </c>
      <c r="AF208" s="25">
        <v>-1.607943593204892E-2</v>
      </c>
      <c r="AG208" s="45">
        <v>0.10785171587961795</v>
      </c>
      <c r="AI208" s="3" cm="1">
        <f t="array" ref="AI208">SQRT(INDEX(_xlfn.ANCHORARRAY($B$190),A208,A208))</f>
        <v>0.83519916372449943</v>
      </c>
      <c r="AJ208" s="23"/>
      <c r="AK208" s="3">
        <f t="shared" si="29"/>
        <v>0.8361226905186887</v>
      </c>
      <c r="AL208" s="105">
        <f t="shared" si="30"/>
        <v>0.76548905806347722</v>
      </c>
      <c r="AM208" s="108" t="str">
        <f t="shared" si="31"/>
        <v>Spełniony</v>
      </c>
      <c r="AN208" s="23"/>
      <c r="AO208" s="23"/>
      <c r="AP208" s="23"/>
      <c r="AQ208" s="23"/>
    </row>
    <row r="209" spans="1:43">
      <c r="A209">
        <v>20</v>
      </c>
      <c r="B209" s="67">
        <v>3.5601983342863856E-3</v>
      </c>
      <c r="C209" s="25">
        <v>-4.1851544042912928E-2</v>
      </c>
      <c r="D209" s="25">
        <v>-0.16968591319289164</v>
      </c>
      <c r="E209" s="25">
        <v>3.422086272355989E-2</v>
      </c>
      <c r="F209" s="25">
        <v>-4.4484079657009928E-3</v>
      </c>
      <c r="G209" s="25">
        <v>2.1307285879106967E-2</v>
      </c>
      <c r="H209" s="25">
        <v>4.4506078316949436E-2</v>
      </c>
      <c r="I209" s="25">
        <v>3.4220794166849949E-2</v>
      </c>
      <c r="J209" s="25">
        <v>-8.2732396587148788E-2</v>
      </c>
      <c r="K209" s="25">
        <v>-2.0235148514823366E-3</v>
      </c>
      <c r="L209" s="25">
        <v>-1.3921961848076883E-2</v>
      </c>
      <c r="M209" s="25">
        <v>3.5602016937542856E-3</v>
      </c>
      <c r="N209" s="25">
        <v>2.6421311531817059E-2</v>
      </c>
      <c r="O209" s="25">
        <v>-3.2391196168688338E-2</v>
      </c>
      <c r="P209" s="25">
        <v>2.0667449943021284E-2</v>
      </c>
      <c r="Q209" s="25">
        <v>4.3908508875489569E-2</v>
      </c>
      <c r="R209" s="25">
        <v>-2.8594520780334837E-2</v>
      </c>
      <c r="S209" s="25">
        <v>3.900577746272664E-2</v>
      </c>
      <c r="T209" s="25">
        <v>-0.22441593991636902</v>
      </c>
      <c r="U209" s="25">
        <v>0.55353802122138407</v>
      </c>
      <c r="V209" s="25">
        <v>3.0375679970881909E-2</v>
      </c>
      <c r="W209" s="25">
        <v>3.1285739509479299E-2</v>
      </c>
      <c r="X209" s="25">
        <v>7.014669068348578E-3</v>
      </c>
      <c r="Y209" s="25">
        <v>-0.11213384100779193</v>
      </c>
      <c r="Z209" s="25">
        <v>3.0050109280076918E-2</v>
      </c>
      <c r="AA209" s="25">
        <v>1.3407643179005169E-2</v>
      </c>
      <c r="AB209" s="25">
        <v>-0.11625002470107118</v>
      </c>
      <c r="AC209" s="25">
        <v>0.23039564362126863</v>
      </c>
      <c r="AD209" s="25">
        <v>0.12330178542955568</v>
      </c>
      <c r="AE209" s="25">
        <v>0.21205689709803829</v>
      </c>
      <c r="AF209" s="25">
        <v>-6.844466888352857E-2</v>
      </c>
      <c r="AG209" s="45">
        <v>-2.933254648612179E-2</v>
      </c>
      <c r="AI209" s="3" cm="1">
        <f t="array" ref="AI209">SQRT(INDEX(_xlfn.ANCHORARRAY($B$190),A209,A209))</f>
        <v>0.7440013583464643</v>
      </c>
      <c r="AJ209" s="23"/>
      <c r="AK209" s="3">
        <f t="shared" si="29"/>
        <v>0.74482404258657076</v>
      </c>
      <c r="AL209" s="105">
        <f t="shared" si="30"/>
        <v>1.0598053280678581</v>
      </c>
      <c r="AM209" s="108" t="str">
        <f t="shared" si="31"/>
        <v>Spełniony</v>
      </c>
      <c r="AN209" s="23"/>
      <c r="AO209" s="23"/>
      <c r="AP209" s="23"/>
      <c r="AQ209" s="23"/>
    </row>
    <row r="210" spans="1:43">
      <c r="A210">
        <v>21</v>
      </c>
      <c r="B210" s="67">
        <v>5.0967149585240679E-2</v>
      </c>
      <c r="C210" s="25">
        <v>9.5842225100824796E-3</v>
      </c>
      <c r="D210" s="25">
        <v>1.5607770723672861E-2</v>
      </c>
      <c r="E210" s="25">
        <v>1.8748358334355404E-2</v>
      </c>
      <c r="F210" s="25">
        <v>-9.1807761404120669E-2</v>
      </c>
      <c r="G210" s="25">
        <v>9.4085489441181322E-2</v>
      </c>
      <c r="H210" s="25">
        <v>3.7673013792401365E-3</v>
      </c>
      <c r="I210" s="25">
        <v>1.8748320774642932E-2</v>
      </c>
      <c r="J210" s="25">
        <v>2.7604325292365287E-2</v>
      </c>
      <c r="K210" s="25">
        <v>-0.28603848410381394</v>
      </c>
      <c r="L210" s="25">
        <v>5.1437165027522561E-2</v>
      </c>
      <c r="M210" s="25">
        <v>5.0967197678769886E-2</v>
      </c>
      <c r="N210" s="25">
        <v>-9.1137284359708637E-2</v>
      </c>
      <c r="O210" s="25">
        <v>0.11566142155005071</v>
      </c>
      <c r="P210" s="25">
        <v>6.7528227412027853E-2</v>
      </c>
      <c r="Q210" s="25">
        <v>3.5015071306382629E-2</v>
      </c>
      <c r="R210" s="25">
        <v>2.7031963026358876E-2</v>
      </c>
      <c r="S210" s="25">
        <v>-7.707635473533507E-2</v>
      </c>
      <c r="T210" s="25">
        <v>-7.9784495573630432E-2</v>
      </c>
      <c r="U210" s="25">
        <v>3.0375679970882107E-2</v>
      </c>
      <c r="V210" s="25">
        <v>0.37011333326106843</v>
      </c>
      <c r="W210" s="25">
        <v>0.15483080008194194</v>
      </c>
      <c r="X210" s="25">
        <v>0.13392969351318071</v>
      </c>
      <c r="Y210" s="25">
        <v>0.13055656970085883</v>
      </c>
      <c r="Z210" s="25">
        <v>9.9140227865153058E-2</v>
      </c>
      <c r="AA210" s="25">
        <v>0.11142937557779699</v>
      </c>
      <c r="AB210" s="25">
        <v>8.8013184928815106E-3</v>
      </c>
      <c r="AC210" s="25">
        <v>1.3318200219877237E-2</v>
      </c>
      <c r="AD210" s="25">
        <v>-3.000471012522176E-2</v>
      </c>
      <c r="AE210" s="25">
        <v>-1.3205786844259604E-2</v>
      </c>
      <c r="AF210" s="25">
        <v>-1.984113421164764E-2</v>
      </c>
      <c r="AG210" s="45">
        <v>-4.7222237280762462E-3</v>
      </c>
      <c r="AI210" s="3" cm="1">
        <f t="array" ref="AI210">SQRT(INDEX(_xlfn.ANCHORARRAY($B$190),A210,A210))</f>
        <v>0.60836940526383176</v>
      </c>
      <c r="AJ210" s="23"/>
      <c r="AK210" s="3">
        <f t="shared" si="29"/>
        <v>0.60904211360805549</v>
      </c>
      <c r="AL210" s="105">
        <f t="shared" si="30"/>
        <v>1.8946364232455326</v>
      </c>
      <c r="AM210" s="108" t="str">
        <f t="shared" si="31"/>
        <v>Spełniony</v>
      </c>
      <c r="AN210" s="23"/>
      <c r="AO210" s="23"/>
      <c r="AP210" s="23"/>
      <c r="AQ210" s="23"/>
    </row>
    <row r="211" spans="1:43">
      <c r="A211">
        <v>22</v>
      </c>
      <c r="B211" s="67">
        <v>1.213801987599792E-2</v>
      </c>
      <c r="C211" s="25">
        <v>1.604003709737202E-2</v>
      </c>
      <c r="D211" s="25">
        <v>1.3984241046350862E-2</v>
      </c>
      <c r="E211" s="25">
        <v>2.5247461278996228E-2</v>
      </c>
      <c r="F211" s="25">
        <v>-7.8449454461985896E-2</v>
      </c>
      <c r="G211" s="25">
        <v>3.2269548267763667E-2</v>
      </c>
      <c r="H211" s="25">
        <v>-7.6898601505199227E-2</v>
      </c>
      <c r="I211" s="25">
        <v>2.5247410699240407E-2</v>
      </c>
      <c r="J211" s="25">
        <v>4.518358820132172E-2</v>
      </c>
      <c r="K211" s="25">
        <v>6.431001943977481E-2</v>
      </c>
      <c r="L211" s="25">
        <v>-7.0594515714242856E-2</v>
      </c>
      <c r="M211" s="25">
        <v>1.2138031329654249E-2</v>
      </c>
      <c r="N211" s="25">
        <v>8.7628287948737074E-2</v>
      </c>
      <c r="O211" s="25">
        <v>5.5116472026089693E-2</v>
      </c>
      <c r="P211" s="25">
        <v>-0.20383167370049218</v>
      </c>
      <c r="Q211" s="25">
        <v>7.7699887181730556E-2</v>
      </c>
      <c r="R211" s="25">
        <v>7.7026589860025391E-2</v>
      </c>
      <c r="S211" s="25">
        <v>-2.7475776821604056E-3</v>
      </c>
      <c r="T211" s="25">
        <v>-6.0047631053333557E-2</v>
      </c>
      <c r="U211" s="25">
        <v>3.1285739509479438E-2</v>
      </c>
      <c r="V211" s="25">
        <v>0.15483080008194283</v>
      </c>
      <c r="W211" s="25">
        <v>0.28969677642448144</v>
      </c>
      <c r="X211" s="25">
        <v>0.14012825892073288</v>
      </c>
      <c r="Y211" s="25">
        <v>0.10386724458079073</v>
      </c>
      <c r="Z211" s="25">
        <v>0.14955656184396507</v>
      </c>
      <c r="AA211" s="25">
        <v>0.16192035814808708</v>
      </c>
      <c r="AB211" s="25">
        <v>-4.2774843415635623E-2</v>
      </c>
      <c r="AC211" s="25">
        <v>-7.0693527634945845E-3</v>
      </c>
      <c r="AD211" s="25">
        <v>1.5485378648851279E-3</v>
      </c>
      <c r="AE211" s="25">
        <v>-2.3380476589373832E-2</v>
      </c>
      <c r="AF211" s="25">
        <v>-4.2950810341725425E-2</v>
      </c>
      <c r="AG211" s="45">
        <v>5.8293592161404943E-2</v>
      </c>
      <c r="AI211" s="3" cm="1">
        <f t="array" ref="AI211">SQRT(INDEX(_xlfn.ANCHORARRAY($B$190),A211,A211))</f>
        <v>0.53823487105954171</v>
      </c>
      <c r="AJ211" s="23"/>
      <c r="AK211" s="3">
        <f t="shared" si="29"/>
        <v>0.5388300276959227</v>
      </c>
      <c r="AL211" s="105">
        <f t="shared" si="30"/>
        <v>1.8718705824497488</v>
      </c>
      <c r="AM211" s="108" t="str">
        <f t="shared" si="31"/>
        <v>Spełniony</v>
      </c>
      <c r="AN211" s="23"/>
      <c r="AO211" s="23"/>
      <c r="AP211" s="23"/>
      <c r="AQ211" s="23"/>
    </row>
    <row r="212" spans="1:43">
      <c r="A212">
        <v>23</v>
      </c>
      <c r="B212" s="67">
        <v>3.0626513583326517E-2</v>
      </c>
      <c r="C212" s="25">
        <v>9.2305665238061399E-2</v>
      </c>
      <c r="D212" s="25">
        <v>3.1619485802772657E-2</v>
      </c>
      <c r="E212" s="25">
        <v>3.2210827159626879E-2</v>
      </c>
      <c r="F212" s="25">
        <v>2.8628116319718781E-2</v>
      </c>
      <c r="G212" s="25">
        <v>2.4378282523163243E-2</v>
      </c>
      <c r="H212" s="25">
        <v>-2.0911871505661535E-2</v>
      </c>
      <c r="I212" s="25">
        <v>3.2210762629741901E-2</v>
      </c>
      <c r="J212" s="25">
        <v>7.1294522844028818E-2</v>
      </c>
      <c r="K212" s="25">
        <v>1.838902035279057E-2</v>
      </c>
      <c r="L212" s="25">
        <v>-6.6396981629770493E-2</v>
      </c>
      <c r="M212" s="25">
        <v>3.0626542483061677E-2</v>
      </c>
      <c r="N212" s="25">
        <v>2.7317562999829084E-2</v>
      </c>
      <c r="O212" s="25">
        <v>-5.3220076390876517E-2</v>
      </c>
      <c r="P212" s="25">
        <v>4.0073151935292789E-2</v>
      </c>
      <c r="Q212" s="25">
        <v>-0.32349433894553875</v>
      </c>
      <c r="R212" s="25">
        <v>-0.17351736846819632</v>
      </c>
      <c r="S212" s="25">
        <v>3.5385716956192872E-2</v>
      </c>
      <c r="T212" s="25">
        <v>4.0424293299454656E-2</v>
      </c>
      <c r="U212" s="25">
        <v>7.0146690683483594E-3</v>
      </c>
      <c r="V212" s="25">
        <v>0.13392969351318054</v>
      </c>
      <c r="W212" s="25">
        <v>0.14012825892073311</v>
      </c>
      <c r="X212" s="25">
        <v>0.53392328510004106</v>
      </c>
      <c r="Y212" s="25">
        <v>4.4445138039654032E-2</v>
      </c>
      <c r="Z212" s="25">
        <v>4.1988796523980777E-2</v>
      </c>
      <c r="AA212" s="25">
        <v>0.1055848279024104</v>
      </c>
      <c r="AB212" s="25">
        <v>-6.2600269879964116E-2</v>
      </c>
      <c r="AC212" s="25">
        <v>2.3016632262716802E-2</v>
      </c>
      <c r="AD212" s="25">
        <v>9.4031450438730457E-2</v>
      </c>
      <c r="AE212" s="25">
        <v>-3.6065019615500189E-2</v>
      </c>
      <c r="AF212" s="25">
        <v>-7.7606482288240783E-2</v>
      </c>
      <c r="AG212" s="45">
        <v>8.8016000404361472E-2</v>
      </c>
      <c r="AI212" s="3" cm="1">
        <f t="array" ref="AI212">SQRT(INDEX(_xlfn.ANCHORARRAY($B$190),A212,A212))</f>
        <v>0.73070054406715823</v>
      </c>
      <c r="AJ212" s="23"/>
      <c r="AK212" s="3">
        <f t="shared" si="29"/>
        <v>0.73150852084717011</v>
      </c>
      <c r="AL212" s="105">
        <f t="shared" si="30"/>
        <v>0.41623165624654063</v>
      </c>
      <c r="AM212" s="108" t="str">
        <f t="shared" si="31"/>
        <v>Spełniony</v>
      </c>
      <c r="AN212" s="23"/>
      <c r="AO212" s="23"/>
      <c r="AP212" s="23"/>
      <c r="AQ212" s="23"/>
    </row>
    <row r="213" spans="1:43">
      <c r="A213">
        <v>24</v>
      </c>
      <c r="B213" s="67">
        <v>6.8041433421336742E-2</v>
      </c>
      <c r="C213" s="25">
        <v>-0.20392602163359716</v>
      </c>
      <c r="D213" s="25">
        <v>-0.11110659242453166</v>
      </c>
      <c r="E213" s="25">
        <v>5.4973025375399269E-2</v>
      </c>
      <c r="F213" s="25">
        <v>0.10547931247736689</v>
      </c>
      <c r="G213" s="25">
        <v>-1.9525874915869601E-2</v>
      </c>
      <c r="H213" s="25">
        <v>-7.5343670172821342E-2</v>
      </c>
      <c r="I213" s="25">
        <v>5.4972915244635302E-2</v>
      </c>
      <c r="J213" s="25">
        <v>-6.5093433086074182E-2</v>
      </c>
      <c r="K213" s="25">
        <v>4.9842580198394826E-3</v>
      </c>
      <c r="L213" s="25">
        <v>-9.1776405242161671E-2</v>
      </c>
      <c r="M213" s="25">
        <v>6.8041497626470576E-2</v>
      </c>
      <c r="N213" s="25">
        <v>-1.3310655050342061E-2</v>
      </c>
      <c r="O213" s="25">
        <v>-4.289283619760291E-2</v>
      </c>
      <c r="P213" s="25">
        <v>7.4088931270216901E-2</v>
      </c>
      <c r="Q213" s="25">
        <v>0.11781599007773919</v>
      </c>
      <c r="R213" s="25">
        <v>-7.3700677092044226E-2</v>
      </c>
      <c r="S213" s="25">
        <v>8.2659395647354181E-2</v>
      </c>
      <c r="T213" s="25">
        <v>8.034070555508642E-2</v>
      </c>
      <c r="U213" s="25">
        <v>-0.112133841007792</v>
      </c>
      <c r="V213" s="25">
        <v>0.13055656970085877</v>
      </c>
      <c r="W213" s="25">
        <v>0.10386724458079109</v>
      </c>
      <c r="X213" s="25">
        <v>4.4445138039654081E-2</v>
      </c>
      <c r="Y213" s="25">
        <v>0.576334195924459</v>
      </c>
      <c r="Z213" s="25">
        <v>5.2286088450124515E-2</v>
      </c>
      <c r="AA213" s="25">
        <v>9.251076330411255E-2</v>
      </c>
      <c r="AB213" s="25">
        <v>8.0485696884815355E-2</v>
      </c>
      <c r="AC213" s="25">
        <v>-0.15309241869277621</v>
      </c>
      <c r="AD213" s="25">
        <v>-1.0580057670595111E-2</v>
      </c>
      <c r="AE213" s="25">
        <v>0.10849287265117233</v>
      </c>
      <c r="AF213" s="25">
        <v>6.095338237805361E-2</v>
      </c>
      <c r="AG213" s="45">
        <v>-7.6004843437245617E-2</v>
      </c>
      <c r="AI213" s="3" cm="1">
        <f t="array" ref="AI213">SQRT(INDEX(_xlfn.ANCHORARRAY($B$190),A213,A213))</f>
        <v>0.75916677741090532</v>
      </c>
      <c r="AJ213" s="23"/>
      <c r="AK213" s="3">
        <f t="shared" si="29"/>
        <v>0.76000623090972208</v>
      </c>
      <c r="AL213" s="105">
        <f t="shared" si="30"/>
        <v>0.70049009802508355</v>
      </c>
      <c r="AM213" s="108" t="str">
        <f t="shared" si="31"/>
        <v>Spełniony</v>
      </c>
      <c r="AN213" s="23"/>
      <c r="AO213" s="23"/>
      <c r="AP213" s="23"/>
      <c r="AQ213" s="23"/>
    </row>
    <row r="214" spans="1:43">
      <c r="A214">
        <v>25</v>
      </c>
      <c r="B214" s="67">
        <v>-6.5898384439816535E-2</v>
      </c>
      <c r="C214" s="25">
        <v>6.7050578166302277E-2</v>
      </c>
      <c r="D214" s="25">
        <v>4.7066582932393256E-2</v>
      </c>
      <c r="E214" s="25">
        <v>-0.21179745661314342</v>
      </c>
      <c r="F214" s="25">
        <v>7.314023974529775E-2</v>
      </c>
      <c r="G214" s="25">
        <v>0.11133868992006495</v>
      </c>
      <c r="H214" s="25">
        <v>8.6613503740639683E-2</v>
      </c>
      <c r="I214" s="25">
        <v>-0.21179703230657582</v>
      </c>
      <c r="J214" s="25">
        <v>-0.14546176172767758</v>
      </c>
      <c r="K214" s="25">
        <v>4.1208353054777838E-2</v>
      </c>
      <c r="L214" s="25">
        <v>1.8359531218653358E-2</v>
      </c>
      <c r="M214" s="25">
        <v>-6.5898446622730436E-2</v>
      </c>
      <c r="N214" s="25">
        <v>8.301089044977665E-2</v>
      </c>
      <c r="O214" s="25">
        <v>-7.5735384748410239E-2</v>
      </c>
      <c r="P214" s="25">
        <v>3.4566677530645101E-3</v>
      </c>
      <c r="Q214" s="25">
        <v>5.0467428619324212E-2</v>
      </c>
      <c r="R214" s="25">
        <v>9.4849869185988867E-2</v>
      </c>
      <c r="S214" s="25">
        <v>5.9623680129458762E-3</v>
      </c>
      <c r="T214" s="25">
        <v>6.7469544683596019E-2</v>
      </c>
      <c r="U214" s="25">
        <v>3.0050109280076995E-2</v>
      </c>
      <c r="V214" s="25">
        <v>9.9140227865153335E-2</v>
      </c>
      <c r="W214" s="25">
        <v>0.14955656184396499</v>
      </c>
      <c r="X214" s="25">
        <v>4.1988796523980798E-2</v>
      </c>
      <c r="Y214" s="25">
        <v>5.2286088450124543E-2</v>
      </c>
      <c r="Z214" s="25">
        <v>0.55171886636005507</v>
      </c>
      <c r="AA214" s="25">
        <v>0.10530945895672128</v>
      </c>
      <c r="AB214" s="25">
        <v>-1.4296353394185423E-2</v>
      </c>
      <c r="AC214" s="25">
        <v>8.5397087703444757E-2</v>
      </c>
      <c r="AD214" s="25">
        <v>-3.624412978792365E-2</v>
      </c>
      <c r="AE214" s="25">
        <v>-8.424724646658846E-3</v>
      </c>
      <c r="AF214" s="25">
        <v>6.6393597647153302E-2</v>
      </c>
      <c r="AG214" s="45">
        <v>-5.5002596909939923E-2</v>
      </c>
      <c r="AI214" s="3" cm="1">
        <f t="array" ref="AI214">SQRT(INDEX(_xlfn.ANCHORARRAY($B$190),A214,A214))</f>
        <v>0.74277780416491657</v>
      </c>
      <c r="AJ214" s="23"/>
      <c r="AK214" s="3">
        <f t="shared" si="29"/>
        <v>0.74359913545219458</v>
      </c>
      <c r="AL214" s="105">
        <f t="shared" si="30"/>
        <v>0.71060151032637697</v>
      </c>
      <c r="AM214" s="108" t="str">
        <f t="shared" si="31"/>
        <v>Spełniony</v>
      </c>
      <c r="AN214" s="23"/>
      <c r="AO214" s="23"/>
      <c r="AP214" s="23"/>
      <c r="AQ214" s="23"/>
    </row>
    <row r="215" spans="1:43">
      <c r="A215">
        <v>26</v>
      </c>
      <c r="B215" s="67">
        <v>-9.5874732026085277E-2</v>
      </c>
      <c r="C215" s="25">
        <v>1.8945518621779192E-2</v>
      </c>
      <c r="D215" s="25">
        <v>2.8285119193420249E-3</v>
      </c>
      <c r="E215" s="25">
        <v>8.0617784464765696E-2</v>
      </c>
      <c r="F215" s="25">
        <v>-3.6990452676276965E-2</v>
      </c>
      <c r="G215" s="25">
        <v>-0.24254613523630339</v>
      </c>
      <c r="H215" s="25">
        <v>8.2773338063802285E-2</v>
      </c>
      <c r="I215" s="25">
        <v>8.061762295831533E-2</v>
      </c>
      <c r="J215" s="25">
        <v>6.6472758476035954E-2</v>
      </c>
      <c r="K215" s="25">
        <v>0.15714683323663134</v>
      </c>
      <c r="L215" s="25">
        <v>0.15897120633999906</v>
      </c>
      <c r="M215" s="25">
        <v>-9.5874822495225887E-2</v>
      </c>
      <c r="N215" s="25">
        <v>-9.3508801988291743E-2</v>
      </c>
      <c r="O215" s="25">
        <v>1.0704037607496275E-3</v>
      </c>
      <c r="P215" s="25">
        <v>1.8684695329890519E-2</v>
      </c>
      <c r="Q215" s="25">
        <v>4.2495961760362126E-2</v>
      </c>
      <c r="R215" s="25">
        <v>4.8309623487867513E-2</v>
      </c>
      <c r="S215" s="25">
        <v>-4.4183548198997162E-2</v>
      </c>
      <c r="T215" s="25">
        <v>-4.8402416911173196E-2</v>
      </c>
      <c r="U215" s="25">
        <v>1.3407643179005E-2</v>
      </c>
      <c r="V215" s="25">
        <v>0.11142937557779611</v>
      </c>
      <c r="W215" s="25">
        <v>0.16192035814808706</v>
      </c>
      <c r="X215" s="25">
        <v>0.10558482790241015</v>
      </c>
      <c r="Y215" s="25">
        <v>9.2510763304112967E-2</v>
      </c>
      <c r="Z215" s="25">
        <v>0.1053094589567216</v>
      </c>
      <c r="AA215" s="25">
        <v>0.42324521611087207</v>
      </c>
      <c r="AB215" s="25">
        <v>3.0384451312088334E-2</v>
      </c>
      <c r="AC215" s="25">
        <v>3.8429851270231921E-2</v>
      </c>
      <c r="AD215" s="25">
        <v>-1.8751090719874693E-2</v>
      </c>
      <c r="AE215" s="25">
        <v>-2.7416864955379941E-2</v>
      </c>
      <c r="AF215" s="25">
        <v>1.3051446816406501E-2</v>
      </c>
      <c r="AG215" s="45">
        <v>-1.0579928490504273E-2</v>
      </c>
      <c r="AI215" s="3" cm="1">
        <f t="array" ref="AI215">SQRT(INDEX(_xlfn.ANCHORARRAY($B$190),A215,A215))</f>
        <v>0.65057299060971785</v>
      </c>
      <c r="AJ215" s="23"/>
      <c r="AK215" s="3">
        <f t="shared" si="29"/>
        <v>0.65129236583720806</v>
      </c>
      <c r="AL215" s="105">
        <f t="shared" si="30"/>
        <v>0.21323251023872267</v>
      </c>
      <c r="AM215" s="108" t="str">
        <f t="shared" si="31"/>
        <v>Spełniony</v>
      </c>
      <c r="AN215" s="23"/>
      <c r="AO215" s="23"/>
      <c r="AP215" s="23"/>
      <c r="AQ215" s="23"/>
    </row>
    <row r="216" spans="1:43">
      <c r="A216">
        <v>27</v>
      </c>
      <c r="B216" s="67">
        <v>5.9071344604948492E-2</v>
      </c>
      <c r="C216" s="25">
        <v>0.10023304719135798</v>
      </c>
      <c r="D216" s="25">
        <v>1.6236819289725257E-2</v>
      </c>
      <c r="E216" s="25">
        <v>-5.0379549575135199E-2</v>
      </c>
      <c r="F216" s="25">
        <v>0.10894267324315568</v>
      </c>
      <c r="G216" s="25">
        <v>-0.10560134103705737</v>
      </c>
      <c r="H216" s="25">
        <v>-0.24101785484762372</v>
      </c>
      <c r="I216" s="25">
        <v>-5.0379448646757294E-2</v>
      </c>
      <c r="J216" s="25">
        <v>8.555918799064384E-2</v>
      </c>
      <c r="K216" s="25">
        <v>4.8042674631488813E-3</v>
      </c>
      <c r="L216" s="25">
        <v>-3.8395104924702661E-2</v>
      </c>
      <c r="M216" s="25">
        <v>5.9071400345743354E-2</v>
      </c>
      <c r="N216" s="25">
        <v>-0.12670493057938365</v>
      </c>
      <c r="O216" s="25">
        <v>6.6637299852520149E-2</v>
      </c>
      <c r="P216" s="25">
        <v>3.2815420443942644E-2</v>
      </c>
      <c r="Q216" s="25">
        <v>-2.8467359734333585E-2</v>
      </c>
      <c r="R216" s="25">
        <v>7.3789658252327001E-2</v>
      </c>
      <c r="S216" s="25">
        <v>1.9182957365622977E-3</v>
      </c>
      <c r="T216" s="25">
        <v>8.990078758796427E-3</v>
      </c>
      <c r="U216" s="25">
        <v>-0.11625002470107154</v>
      </c>
      <c r="V216" s="25">
        <v>8.8013184928814603E-3</v>
      </c>
      <c r="W216" s="25">
        <v>-4.277484341563563E-2</v>
      </c>
      <c r="X216" s="25">
        <v>-6.260026987996431E-2</v>
      </c>
      <c r="Y216" s="25">
        <v>8.0485696884815494E-2</v>
      </c>
      <c r="Z216" s="25">
        <v>-1.4296353394185557E-2</v>
      </c>
      <c r="AA216" s="25">
        <v>3.0384451312088778E-2</v>
      </c>
      <c r="AB216" s="25">
        <v>0.54212922522180373</v>
      </c>
      <c r="AC216" s="25">
        <v>0.2523741924370263</v>
      </c>
      <c r="AD216" s="25">
        <v>-3.2995198666953843E-2</v>
      </c>
      <c r="AE216" s="25">
        <v>6.2988747567839704E-2</v>
      </c>
      <c r="AF216" s="25">
        <v>0.10153963000180011</v>
      </c>
      <c r="AG216" s="45">
        <v>-4.4902238609749061E-2</v>
      </c>
      <c r="AI216" s="3" cm="1">
        <f t="array" ref="AI216">SQRT(INDEX(_xlfn.ANCHORARRAY($B$190),A216,A216))</f>
        <v>0.73629425179190677</v>
      </c>
      <c r="AJ216" s="23"/>
      <c r="AK216" s="3">
        <f t="shared" si="29"/>
        <v>0.73710841384985837</v>
      </c>
      <c r="AL216" s="105">
        <f t="shared" si="30"/>
        <v>0.90958655094377983</v>
      </c>
      <c r="AM216" s="108" t="str">
        <f t="shared" si="31"/>
        <v>Spełniony</v>
      </c>
      <c r="AN216" s="23"/>
      <c r="AO216" s="23"/>
      <c r="AP216" s="23"/>
      <c r="AQ216" s="23"/>
    </row>
    <row r="217" spans="1:43">
      <c r="A217">
        <v>28</v>
      </c>
      <c r="B217" s="67">
        <v>-2.9287633983691823E-3</v>
      </c>
      <c r="C217" s="25">
        <v>-0.10516489516851517</v>
      </c>
      <c r="D217" s="25">
        <v>5.5062104955636709E-2</v>
      </c>
      <c r="E217" s="25">
        <v>-2.6220381151437933E-2</v>
      </c>
      <c r="F217" s="25">
        <v>-7.4288623730298931E-2</v>
      </c>
      <c r="G217" s="25">
        <v>-2.2572354438817978E-2</v>
      </c>
      <c r="H217" s="25">
        <v>-0.11039174032867646</v>
      </c>
      <c r="I217" s="25">
        <v>-2.6220328622573279E-2</v>
      </c>
      <c r="J217" s="25">
        <v>-4.1372030838680615E-2</v>
      </c>
      <c r="K217" s="25">
        <v>1.5947269586146812E-2</v>
      </c>
      <c r="L217" s="25">
        <v>5.3817164297009987E-3</v>
      </c>
      <c r="M217" s="25">
        <v>-2.9287661620036412E-3</v>
      </c>
      <c r="N217" s="25">
        <v>-5.7226427028376596E-2</v>
      </c>
      <c r="O217" s="25">
        <v>1.5544224738294171E-2</v>
      </c>
      <c r="P217" s="25">
        <v>2.927304893432868E-2</v>
      </c>
      <c r="Q217" s="25">
        <v>3.4552653267170989E-2</v>
      </c>
      <c r="R217" s="25">
        <v>-9.1586214638499044E-2</v>
      </c>
      <c r="S217" s="25">
        <v>2.5362365519055234E-2</v>
      </c>
      <c r="T217" s="25">
        <v>0.124217449396098</v>
      </c>
      <c r="U217" s="25">
        <v>0.23039564362126871</v>
      </c>
      <c r="V217" s="25">
        <v>1.3318200219877015E-2</v>
      </c>
      <c r="W217" s="25">
        <v>-7.0693527634941283E-3</v>
      </c>
      <c r="X217" s="25">
        <v>2.3016632262716684E-2</v>
      </c>
      <c r="Y217" s="25">
        <v>-0.15309241869277629</v>
      </c>
      <c r="Z217" s="25">
        <v>8.5397087703444952E-2</v>
      </c>
      <c r="AA217" s="25">
        <v>3.8429851270231796E-2</v>
      </c>
      <c r="AB217" s="25">
        <v>0.25237419243702613</v>
      </c>
      <c r="AC217" s="25">
        <v>0.63081286090521316</v>
      </c>
      <c r="AD217" s="25">
        <v>1.0709233962808967E-2</v>
      </c>
      <c r="AE217" s="25">
        <v>-5.0012290411214057E-2</v>
      </c>
      <c r="AF217" s="25">
        <v>-0.12165204605817795</v>
      </c>
      <c r="AG217" s="45">
        <v>3.5041284324949882E-3</v>
      </c>
      <c r="AI217" s="3" cm="1">
        <f t="array" ref="AI217">SQRT(INDEX(_xlfn.ANCHORARRAY($B$190),A217,A217))</f>
        <v>0.7942372824951075</v>
      </c>
      <c r="AJ217" s="23"/>
      <c r="AK217" s="3">
        <f t="shared" si="29"/>
        <v>0.79511551542826486</v>
      </c>
      <c r="AL217" s="105">
        <f t="shared" si="30"/>
        <v>0.42854355046297671</v>
      </c>
      <c r="AM217" s="108" t="str">
        <f t="shared" si="31"/>
        <v>Spełniony</v>
      </c>
      <c r="AN217" s="23"/>
      <c r="AO217" s="23"/>
      <c r="AP217" s="23"/>
      <c r="AQ217" s="23"/>
    </row>
    <row r="218" spans="1:43">
      <c r="A218">
        <v>29</v>
      </c>
      <c r="B218" s="67">
        <v>-1.3254144970267015E-2</v>
      </c>
      <c r="C218" s="25">
        <v>-0.15330306211539241</v>
      </c>
      <c r="D218" s="25">
        <v>0.10555957629791118</v>
      </c>
      <c r="E218" s="25">
        <v>-1.974001542494036E-2</v>
      </c>
      <c r="F218" s="25">
        <v>-4.5918175697365476E-3</v>
      </c>
      <c r="G218" s="25">
        <v>1.9150053112292204E-3</v>
      </c>
      <c r="H218" s="25">
        <v>1.3454604370676707E-2</v>
      </c>
      <c r="I218" s="25">
        <v>-1.9739975878581693E-2</v>
      </c>
      <c r="J218" s="25">
        <v>7.9707230058804326E-2</v>
      </c>
      <c r="K218" s="25">
        <v>3.7860641879791119E-3</v>
      </c>
      <c r="L218" s="25">
        <v>1.5953359766997008E-2</v>
      </c>
      <c r="M218" s="25">
        <v>-1.3254157477119201E-2</v>
      </c>
      <c r="N218" s="25">
        <v>1.7792395535038894E-2</v>
      </c>
      <c r="O218" s="25">
        <v>3.3436966267759341E-2</v>
      </c>
      <c r="P218" s="25">
        <v>-6.9294971124147564E-2</v>
      </c>
      <c r="Q218" s="25">
        <v>-6.0692513317541212E-2</v>
      </c>
      <c r="R218" s="25">
        <v>-3.9415406463303548E-2</v>
      </c>
      <c r="S218" s="25">
        <v>-0.11192807333520267</v>
      </c>
      <c r="T218" s="25">
        <v>6.8846978091499644E-2</v>
      </c>
      <c r="U218" s="25">
        <v>0.12330178542955525</v>
      </c>
      <c r="V218" s="25">
        <v>-3.0004710125221629E-2</v>
      </c>
      <c r="W218" s="25">
        <v>1.5485378648850794E-3</v>
      </c>
      <c r="X218" s="25">
        <v>9.4031450438730305E-2</v>
      </c>
      <c r="Y218" s="25">
        <v>-1.0580057670595069E-2</v>
      </c>
      <c r="Z218" s="25">
        <v>-3.6244129787923775E-2</v>
      </c>
      <c r="AA218" s="25">
        <v>-1.8751090719874922E-2</v>
      </c>
      <c r="AB218" s="25">
        <v>-3.2995198666954224E-2</v>
      </c>
      <c r="AC218" s="25">
        <v>1.0709233962809407E-2</v>
      </c>
      <c r="AD218" s="25">
        <v>0.57746367510225505</v>
      </c>
      <c r="AE218" s="25">
        <v>0.2080544209168175</v>
      </c>
      <c r="AF218" s="25">
        <v>0.29041647682484945</v>
      </c>
      <c r="AG218" s="45">
        <v>0.13075927228200754</v>
      </c>
      <c r="AI218" s="3" cm="1">
        <f t="array" ref="AI218">SQRT(INDEX(_xlfn.ANCHORARRAY($B$190),A218,A218))</f>
        <v>0.75991030727465136</v>
      </c>
      <c r="AJ218" s="23"/>
      <c r="AK218" s="3">
        <f t="shared" si="29"/>
        <v>0.76075058293635001</v>
      </c>
      <c r="AL218" s="105">
        <f t="shared" si="30"/>
        <v>1.8539336785204523</v>
      </c>
      <c r="AM218" s="108" t="str">
        <f t="shared" si="31"/>
        <v>Spełniony</v>
      </c>
      <c r="AN218" s="23"/>
      <c r="AO218" s="23"/>
      <c r="AP218" s="23"/>
      <c r="AQ218" s="23"/>
    </row>
    <row r="219" spans="1:43">
      <c r="A219">
        <v>30</v>
      </c>
      <c r="B219" s="67">
        <v>3.8153490587601119E-2</v>
      </c>
      <c r="C219" s="25">
        <v>8.1580593368905496E-2</v>
      </c>
      <c r="D219" s="25">
        <v>-0.18810940119072772</v>
      </c>
      <c r="E219" s="25">
        <v>3.339385450287842E-2</v>
      </c>
      <c r="F219" s="25">
        <v>9.6989430126486129E-2</v>
      </c>
      <c r="G219" s="25">
        <v>-3.9524805602776943E-2</v>
      </c>
      <c r="H219" s="25">
        <v>-2.2624259049995977E-2</v>
      </c>
      <c r="I219" s="25">
        <v>3.3393787602963666E-2</v>
      </c>
      <c r="J219" s="25">
        <v>-0.14469793135288755</v>
      </c>
      <c r="K219" s="25">
        <v>-1.562322510346369E-2</v>
      </c>
      <c r="L219" s="25">
        <v>-2.7186005007658179E-2</v>
      </c>
      <c r="M219" s="25">
        <v>3.8153526589928655E-2</v>
      </c>
      <c r="N219" s="25">
        <v>-1.47719477492811E-2</v>
      </c>
      <c r="O219" s="25">
        <v>2.3343965902590604E-2</v>
      </c>
      <c r="P219" s="25">
        <v>-1.0932095591361185E-2</v>
      </c>
      <c r="Q219" s="25">
        <v>-4.0772658149751645E-2</v>
      </c>
      <c r="R219" s="25">
        <v>7.7030712536221457E-2</v>
      </c>
      <c r="S219" s="25">
        <v>-2.2988338292549107E-2</v>
      </c>
      <c r="T219" s="25">
        <v>-2.6930515808508897E-2</v>
      </c>
      <c r="U219" s="25">
        <v>0.2120568970980386</v>
      </c>
      <c r="V219" s="25">
        <v>-1.320578684425941E-2</v>
      </c>
      <c r="W219" s="25">
        <v>-2.3380476589374036E-2</v>
      </c>
      <c r="X219" s="25">
        <v>-3.6065019615500349E-2</v>
      </c>
      <c r="Y219" s="25">
        <v>0.10849287265117234</v>
      </c>
      <c r="Z219" s="25">
        <v>-8.4247246466588079E-3</v>
      </c>
      <c r="AA219" s="25">
        <v>-2.7416864955379698E-2</v>
      </c>
      <c r="AB219" s="25">
        <v>6.2988747567839593E-2</v>
      </c>
      <c r="AC219" s="25">
        <v>-5.00122904112143E-2</v>
      </c>
      <c r="AD219" s="25">
        <v>0.20805442091681725</v>
      </c>
      <c r="AE219" s="25">
        <v>0.33680282398025685</v>
      </c>
      <c r="AF219" s="25">
        <v>0.15383205722051355</v>
      </c>
      <c r="AG219" s="45">
        <v>-6.8777752001176282E-3</v>
      </c>
      <c r="AI219" s="3" cm="1">
        <f t="array" ref="AI219">SQRT(INDEX(_xlfn.ANCHORARRAY($B$190),A219,A219))</f>
        <v>0.58034715815644078</v>
      </c>
      <c r="AJ219" s="23"/>
      <c r="AK219" s="3">
        <f t="shared" si="29"/>
        <v>0.58098888072246802</v>
      </c>
      <c r="AL219" s="105">
        <f t="shared" si="30"/>
        <v>1.3772180615994223</v>
      </c>
      <c r="AM219" s="108" t="str">
        <f t="shared" si="31"/>
        <v>Spełniony</v>
      </c>
      <c r="AN219" s="23"/>
      <c r="AO219" s="23"/>
      <c r="AP219" s="23"/>
      <c r="AQ219" s="23"/>
    </row>
    <row r="220" spans="1:43">
      <c r="A220">
        <v>31</v>
      </c>
      <c r="B220" s="67">
        <v>-4.8873734902921177E-2</v>
      </c>
      <c r="C220" s="25">
        <v>0.13735840449849857</v>
      </c>
      <c r="D220" s="25">
        <v>0.11148879849068249</v>
      </c>
      <c r="E220" s="25">
        <v>-4.6648541301865985E-2</v>
      </c>
      <c r="F220" s="25">
        <v>-0.15899349401578963</v>
      </c>
      <c r="G220" s="25">
        <v>2.0962009941611633E-2</v>
      </c>
      <c r="H220" s="25">
        <v>-2.6331271465923494E-2</v>
      </c>
      <c r="I220" s="25">
        <v>-4.6648447848040946E-2</v>
      </c>
      <c r="J220" s="25">
        <v>2.6406969515921364E-2</v>
      </c>
      <c r="K220" s="25">
        <v>1.3813726463616645E-2</v>
      </c>
      <c r="L220" s="25">
        <v>5.2396427278753308E-2</v>
      </c>
      <c r="M220" s="25">
        <v>-4.8873781021066223E-2</v>
      </c>
      <c r="N220" s="25">
        <v>-3.5414638187854564E-2</v>
      </c>
      <c r="O220" s="25">
        <v>-1.7569033181584502E-2</v>
      </c>
      <c r="P220" s="25">
        <v>5.5868934609491355E-2</v>
      </c>
      <c r="Q220" s="25">
        <v>4.8315073261568101E-2</v>
      </c>
      <c r="R220" s="25">
        <v>-3.0387048148791507E-2</v>
      </c>
      <c r="S220" s="25">
        <v>9.943967232344969E-2</v>
      </c>
      <c r="T220" s="25">
        <v>-1.6079435932048733E-2</v>
      </c>
      <c r="U220" s="25">
        <v>-6.8444668883528223E-2</v>
      </c>
      <c r="V220" s="25">
        <v>-1.9841134211648209E-2</v>
      </c>
      <c r="W220" s="25">
        <v>-4.2950810341724911E-2</v>
      </c>
      <c r="X220" s="25">
        <v>-7.7606482288240547E-2</v>
      </c>
      <c r="Y220" s="25">
        <v>6.0953382378053457E-2</v>
      </c>
      <c r="Z220" s="25">
        <v>6.6393597647153496E-2</v>
      </c>
      <c r="AA220" s="25">
        <v>1.3051446816406704E-2</v>
      </c>
      <c r="AB220" s="25">
        <v>0.10153963000180044</v>
      </c>
      <c r="AC220" s="25">
        <v>-0.12165204605817825</v>
      </c>
      <c r="AD220" s="25">
        <v>0.29041647682484928</v>
      </c>
      <c r="AE220" s="25">
        <v>0.15383205722051338</v>
      </c>
      <c r="AF220" s="25">
        <v>0.50497499038268367</v>
      </c>
      <c r="AG220" s="45">
        <v>-8.4021377381096385E-2</v>
      </c>
      <c r="AI220" s="3" cm="1">
        <f t="array" ref="AI220">SQRT(INDEX(_xlfn.ANCHORARRAY($B$190),A220,A220))</f>
        <v>0.71061592325438616</v>
      </c>
      <c r="AJ220" s="23"/>
      <c r="AK220" s="3">
        <f t="shared" si="29"/>
        <v>0.71140169133702691</v>
      </c>
      <c r="AL220" s="105">
        <f t="shared" si="30"/>
        <v>0.32300664337814267</v>
      </c>
      <c r="AM220" s="108" t="str">
        <f t="shared" si="31"/>
        <v>Spełniony</v>
      </c>
      <c r="AN220" s="23"/>
      <c r="AO220" s="23"/>
      <c r="AP220" s="23"/>
      <c r="AQ220" s="23"/>
    </row>
    <row r="221" spans="1:43">
      <c r="A221">
        <v>32</v>
      </c>
      <c r="B221" s="68">
        <v>2.6973174665433836E-2</v>
      </c>
      <c r="C221" s="32">
        <v>8.3623654979387771E-2</v>
      </c>
      <c r="D221" s="32">
        <v>2.1492333890227693E-2</v>
      </c>
      <c r="E221" s="32">
        <v>1.2998091117707198E-2</v>
      </c>
      <c r="F221" s="32">
        <v>0.10013841462161167</v>
      </c>
      <c r="G221" s="32">
        <v>-2.2264122628809703E-2</v>
      </c>
      <c r="H221" s="32">
        <v>-3.9828604138651552E-3</v>
      </c>
      <c r="I221" s="32">
        <v>1.2998065077850462E-2</v>
      </c>
      <c r="J221" s="32">
        <v>4.1132337341756205E-2</v>
      </c>
      <c r="K221" s="32">
        <v>2.5450760882092666E-3</v>
      </c>
      <c r="L221" s="32">
        <v>-2.9908960716224953E-2</v>
      </c>
      <c r="M221" s="32">
        <v>2.6973200117811919E-2</v>
      </c>
      <c r="N221" s="32">
        <v>4.0160161463694902E-2</v>
      </c>
      <c r="O221" s="32">
        <v>6.7705648589313466E-2</v>
      </c>
      <c r="P221" s="32">
        <v>-0.1421084268527536</v>
      </c>
      <c r="Q221" s="32">
        <v>9.1323407109838467E-2</v>
      </c>
      <c r="R221" s="32">
        <v>-0.11379416961042114</v>
      </c>
      <c r="S221" s="32">
        <v>-0.25124040342223769</v>
      </c>
      <c r="T221" s="32">
        <v>0.10785171587961803</v>
      </c>
      <c r="U221" s="32">
        <v>-2.933254648612094E-2</v>
      </c>
      <c r="V221" s="32">
        <v>-4.7222237280765411E-3</v>
      </c>
      <c r="W221" s="32">
        <v>5.8293592161404915E-2</v>
      </c>
      <c r="X221" s="32">
        <v>8.8016000404361777E-2</v>
      </c>
      <c r="Y221" s="32">
        <v>-7.600484343724534E-2</v>
      </c>
      <c r="Z221" s="32">
        <v>-5.5002596909939826E-2</v>
      </c>
      <c r="AA221" s="32">
        <v>-1.0579928490504847E-2</v>
      </c>
      <c r="AB221" s="32">
        <v>-4.490223860974913E-2</v>
      </c>
      <c r="AC221" s="32">
        <v>3.5041284324945701E-3</v>
      </c>
      <c r="AD221" s="32">
        <v>0.13075927228200718</v>
      </c>
      <c r="AE221" s="32">
        <v>-6.8777752001182926E-3</v>
      </c>
      <c r="AF221" s="32">
        <v>-8.4021377381095885E-2</v>
      </c>
      <c r="AG221" s="49">
        <v>0.25914628170266285</v>
      </c>
      <c r="AI221" s="3" cm="1">
        <f t="array" ref="AI221">SQRT(INDEX(_xlfn.ANCHORARRAY($B$190),A221,A221))</f>
        <v>0.5090641233701928</v>
      </c>
      <c r="AJ221" s="23"/>
      <c r="AK221" s="4">
        <f t="shared" si="29"/>
        <v>0.50962702426654471</v>
      </c>
      <c r="AL221" s="106">
        <f t="shared" si="30"/>
        <v>0.42778627236087874</v>
      </c>
      <c r="AM221" s="109" t="str">
        <f t="shared" si="31"/>
        <v>Spełniony</v>
      </c>
      <c r="AN221" s="23"/>
      <c r="AO221" s="23"/>
      <c r="AP221" s="23"/>
      <c r="AQ221" s="23"/>
    </row>
  </sheetData>
  <mergeCells count="18">
    <mergeCell ref="P3:R3"/>
    <mergeCell ref="B39:Q39"/>
    <mergeCell ref="S39:S41"/>
    <mergeCell ref="B75:Q75"/>
    <mergeCell ref="U91:AZ91"/>
    <mergeCell ref="A126:A128"/>
    <mergeCell ref="B130:Q130"/>
    <mergeCell ref="R130:T130"/>
    <mergeCell ref="A147:A149"/>
    <mergeCell ref="Y112:Y114"/>
    <mergeCell ref="B109:Q109"/>
    <mergeCell ref="R109:T109"/>
    <mergeCell ref="B154:AG154"/>
    <mergeCell ref="AK188:AM188"/>
    <mergeCell ref="B189:AG189"/>
    <mergeCell ref="AO189:AP189"/>
    <mergeCell ref="AO192:AP192"/>
    <mergeCell ref="AJ154:BO154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mc="http://schemas.openxmlformats.org/markup-compatibility/2006" xmlns:xr="http://schemas.microsoft.com/office/spreadsheetml/2014/revision" mc:Ignorable="x14ac xr xr2 xr3" xr:uid="{00000000-0001-0000-0600-000000000000}">
  <dimension ref="A1:W28"/>
  <sheetViews>
    <sheetView workbookViewId="0"/>
  </sheetViews>
  <sheetFormatPr baseColWidth="10" defaultColWidth="8.83203125" defaultRowHeight="15"/>
  <cols>
    <col min="1" max="1" width="5" customWidth="1"/>
    <col min="2" max="2" width="10" customWidth="1"/>
    <col min="3" max="6" width="12" customWidth="1"/>
    <col min="7" max="7" width="5" customWidth="1"/>
    <col min="8" max="8" width="5" customWidth="1"/>
    <col min="9" max="15" width="13" customWidth="1"/>
  </cols>
  <sheetData>
    <row r="1" spans="2:23" ht="18" customHeight="1">
      <c r="N1" s="475" t="s">
        <v>103</v>
      </c>
      <c r="O1" s="475" t="s">
        <v>104</v>
      </c>
    </row>
    <row r="2" spans="2:23" ht="18" customHeight="1">
      <c r="B2" s="23"/>
      <c r="C2" s="447" t="s">
        <v>105</v>
      </c>
      <c r="D2" s="448"/>
      <c r="E2" s="449" t="s">
        <v>106</v>
      </c>
      <c r="F2" s="450"/>
      <c r="H2" s="216" t="s">
        <v>51</v>
      </c>
      <c r="I2" s="457" t="s">
        <v>54</v>
      </c>
      <c r="J2" s="457" t="s">
        <v>93</v>
      </c>
      <c r="K2" s="458" t="s">
        <v>94</v>
      </c>
      <c r="L2" s="457" t="s">
        <v>55</v>
      </c>
      <c r="M2" s="457" t="s">
        <v>95</v>
      </c>
      <c r="N2" s="458" t="s">
        <v>96</v>
      </c>
      <c r="O2" s="459" t="s">
        <v>97</v>
      </c>
    </row>
    <row r="3" spans="2:23" ht="18" customHeight="1">
      <c r="B3" s="23"/>
      <c r="C3" s="451" t="s">
        <v>107</v>
      </c>
      <c r="D3" s="452" t="s">
        <v>108</v>
      </c>
      <c r="E3" s="452" t="s">
        <v>107</v>
      </c>
      <c r="F3" s="453" t="s">
        <v>108</v>
      </c>
      <c r="H3" s="16">
        <v>1</v>
      </c>
      <c r="I3" s="460">
        <v>8.9027072915154638E-3</v>
      </c>
      <c r="J3" s="461">
        <v>1.1440550310937239E-3</v>
      </c>
      <c r="K3" s="462" t="s">
        <v>100</v>
      </c>
      <c r="L3" s="461">
        <v>5.463514499218081E-3</v>
      </c>
      <c r="M3" s="461">
        <v>9.9603942330630667E-4</v>
      </c>
      <c r="N3" s="462" t="s">
        <v>100</v>
      </c>
      <c r="O3" s="463" t="s">
        <v>109</v>
      </c>
    </row>
    <row r="4" spans="2:23">
      <c r="B4" s="454">
        <v>1</v>
      </c>
      <c r="C4" s="197">
        <v>1.8821257157917526E-3</v>
      </c>
      <c r="D4" s="198">
        <v>7.8099653364237926E-4</v>
      </c>
      <c r="E4" s="198">
        <v>1.0784833007307216E-2</v>
      </c>
      <c r="F4" s="199">
        <v>8.3600617737517296E-4</v>
      </c>
      <c r="H4" s="201">
        <v>4</v>
      </c>
      <c r="I4" s="221">
        <v>7.2666613896549765E-3</v>
      </c>
      <c r="J4" s="222">
        <v>8.9892869417961289E-4</v>
      </c>
      <c r="K4" s="233" t="str">
        <f t="shared" ref="K4:K9" si="0">IF(ABS(ROUND(I4,8))&lt;=(J4*2.5),"SPEŁNIA","NIESPEŁNIA")</f>
        <v>NIESPEŁNIA</v>
      </c>
      <c r="L4" s="222">
        <v>-3.4965177335115668E-3</v>
      </c>
      <c r="M4" s="222">
        <v>8.690377137644665E-4</v>
      </c>
      <c r="N4" s="233" t="str">
        <f t="shared" ref="N4:N9" si="1">IF(ABS(ROUND(L4,8))&lt;=M4*2.5,"SPEŁNIA","NIESPEŁNIA")</f>
        <v>NIESPEŁNIA</v>
      </c>
      <c r="O4" s="234" t="str">
        <f t="shared" ref="O4:O9" si="2">IF(AND(K4="SPEŁNIA",N4="SPEŁNIA"),"NIEISTOTNE","ISTOTNE")</f>
        <v>ISTOTNE</v>
      </c>
    </row>
    <row r="5" spans="2:23">
      <c r="B5" s="455"/>
      <c r="C5" s="200">
        <v>3.2202782884276586E-4</v>
      </c>
      <c r="D5" s="118">
        <v>6.7270750521482921E-4</v>
      </c>
      <c r="E5" s="118">
        <v>5.785542328060847E-3</v>
      </c>
      <c r="F5" s="33">
        <v>7.3454689789556702E-4</v>
      </c>
      <c r="H5" s="201">
        <v>5</v>
      </c>
      <c r="I5" s="223">
        <v>1.0068018792949783E-4</v>
      </c>
      <c r="J5" s="224">
        <v>4.9824365354335094E-4</v>
      </c>
      <c r="K5" s="235" t="str">
        <f t="shared" si="0"/>
        <v>SPEŁNIA</v>
      </c>
      <c r="L5" s="224">
        <v>7.0006398975438751E-4</v>
      </c>
      <c r="M5" s="224">
        <v>4.7723836009874352E-4</v>
      </c>
      <c r="N5" s="235" t="str">
        <f t="shared" si="1"/>
        <v>SPEŁNIA</v>
      </c>
      <c r="O5" s="236" t="str">
        <f t="shared" si="2"/>
        <v>NIEISTOTNE</v>
      </c>
    </row>
    <row r="6" spans="2:23">
      <c r="B6" s="454">
        <v>2</v>
      </c>
      <c r="C6" s="197" t="s">
        <v>110</v>
      </c>
      <c r="D6" s="198" t="s">
        <v>110</v>
      </c>
      <c r="E6" s="198">
        <v>-3.3344940038167329E-3</v>
      </c>
      <c r="F6" s="199">
        <v>7.3070690531077016E-4</v>
      </c>
      <c r="H6" s="201">
        <v>6</v>
      </c>
      <c r="I6" s="242">
        <v>1.3791316941461036E-4</v>
      </c>
      <c r="J6" s="243">
        <v>5.0670559630555038E-4</v>
      </c>
      <c r="K6" s="235" t="str">
        <f t="shared" si="0"/>
        <v>SPEŁNIA</v>
      </c>
      <c r="L6" s="244">
        <v>-4.4207396175963305E-4</v>
      </c>
      <c r="M6" s="244">
        <v>4.4114081766750382E-4</v>
      </c>
      <c r="N6" s="235" t="str">
        <f t="shared" si="1"/>
        <v>SPEŁNIA</v>
      </c>
      <c r="O6" s="236" t="str">
        <f t="shared" si="2"/>
        <v>NIEISTOTNE</v>
      </c>
    </row>
    <row r="7" spans="2:23">
      <c r="B7" s="455"/>
      <c r="C7" s="200" t="s">
        <v>110</v>
      </c>
      <c r="D7" s="118" t="s">
        <v>110</v>
      </c>
      <c r="E7" s="118">
        <v>3.5353232577810946E-3</v>
      </c>
      <c r="F7" s="33">
        <v>8.6188658148322439E-4</v>
      </c>
      <c r="H7" s="201">
        <v>7</v>
      </c>
      <c r="I7" s="240">
        <v>-2.6636839439555895E-3</v>
      </c>
      <c r="J7" s="241">
        <v>5.5901569663589464E-4</v>
      </c>
      <c r="K7" s="233" t="str">
        <f t="shared" si="0"/>
        <v>NIESPEŁNIA</v>
      </c>
      <c r="L7" s="241">
        <v>-4.0519800672642195E-3</v>
      </c>
      <c r="M7" s="241">
        <v>6.0297494783370003E-4</v>
      </c>
      <c r="N7" s="233" t="str">
        <f t="shared" si="1"/>
        <v>NIESPEŁNIA</v>
      </c>
      <c r="O7" s="234" t="str">
        <f t="shared" si="2"/>
        <v>ISTOTNE</v>
      </c>
    </row>
    <row r="8" spans="2:23">
      <c r="B8" s="454">
        <v>3</v>
      </c>
      <c r="C8" s="197">
        <v>2.3344068788698182E-4</v>
      </c>
      <c r="D8" s="198">
        <v>8.424815044475115E-4</v>
      </c>
      <c r="E8" s="198" t="s">
        <v>110</v>
      </c>
      <c r="F8" s="199" t="s">
        <v>110</v>
      </c>
      <c r="H8" s="201">
        <v>8</v>
      </c>
      <c r="I8" s="240">
        <v>-2.7368454531639962E-3</v>
      </c>
      <c r="J8" s="241">
        <v>1.1258378608184261E-3</v>
      </c>
      <c r="K8" s="235" t="str">
        <f t="shared" si="0"/>
        <v>SPEŁNIA</v>
      </c>
      <c r="L8" s="241">
        <v>-3.0062278753841733E-3</v>
      </c>
      <c r="M8" s="241">
        <v>8.3876537955242399E-4</v>
      </c>
      <c r="N8" s="233" t="str">
        <f t="shared" si="1"/>
        <v>NIESPEŁNIA</v>
      </c>
      <c r="O8" s="234" t="str">
        <f t="shared" si="2"/>
        <v>ISTOTNE</v>
      </c>
    </row>
    <row r="9" spans="2:23">
      <c r="B9" s="455"/>
      <c r="C9" s="200">
        <v>8.918808347797584E-4</v>
      </c>
      <c r="D9" s="118">
        <v>6.8199592889793645E-4</v>
      </c>
      <c r="E9" s="118" t="s">
        <v>110</v>
      </c>
      <c r="F9" s="33" t="s">
        <v>110</v>
      </c>
      <c r="H9" s="17">
        <v>9</v>
      </c>
      <c r="I9" s="245">
        <v>-2.385933573441106E-4</v>
      </c>
      <c r="J9" s="246">
        <v>2.4305765100537469E-4</v>
      </c>
      <c r="K9" s="237" t="str">
        <f t="shared" si="0"/>
        <v>SPEŁNIA</v>
      </c>
      <c r="L9" s="246">
        <v>-2.5799002799475445E-4</v>
      </c>
      <c r="M9" s="246">
        <v>5.1685501974274215E-4</v>
      </c>
      <c r="N9" s="237" t="str">
        <f t="shared" si="1"/>
        <v>SPEŁNIA</v>
      </c>
      <c r="O9" s="238" t="str">
        <f t="shared" si="2"/>
        <v>NIEISTOTNE</v>
      </c>
    </row>
    <row r="10" spans="2:23">
      <c r="B10" s="454">
        <v>4</v>
      </c>
      <c r="C10" s="197">
        <v>6.2247979515101903E-4</v>
      </c>
      <c r="D10" s="198">
        <v>6.1086317138200322E-4</v>
      </c>
      <c r="E10" s="198">
        <v>7.8891411848059957E-3</v>
      </c>
      <c r="F10" s="199">
        <v>6.5948387627642977E-4</v>
      </c>
    </row>
    <row r="11" spans="2:23">
      <c r="B11" s="455"/>
      <c r="C11" s="200">
        <v>1.9281963235838828E-4</v>
      </c>
      <c r="D11" s="118">
        <v>5.8654746078622079E-4</v>
      </c>
      <c r="E11" s="118">
        <v>-3.3036981011531786E-3</v>
      </c>
      <c r="F11" s="33">
        <v>6.412399115699269E-4</v>
      </c>
      <c r="I11" s="206"/>
    </row>
    <row r="12" spans="2:23" ht="18" customHeight="1">
      <c r="B12" s="454">
        <v>5</v>
      </c>
      <c r="C12" s="197">
        <v>-1.5408055440751374E-5</v>
      </c>
      <c r="D12" s="198">
        <v>3.3804071060615769E-4</v>
      </c>
      <c r="E12" s="198">
        <v>8.5272132488746461E-5</v>
      </c>
      <c r="F12" s="199">
        <v>3.660262507923587E-4</v>
      </c>
      <c r="H12" s="23"/>
      <c r="I12" s="464" t="s">
        <v>111</v>
      </c>
      <c r="J12" s="465"/>
      <c r="K12" s="466" t="s">
        <v>112</v>
      </c>
      <c r="L12" s="467"/>
    </row>
    <row r="13" spans="1:23" ht="18" customHeight="1">
      <c r="A13" s="470"/>
      <c r="B13" s="471"/>
      <c r="C13" s="472">
        <v>-6.532521671825497E-4</v>
      </c>
      <c r="D13" s="473">
        <v>3.1740524115858463E-4</v>
      </c>
      <c r="E13" s="473">
        <v>4.6811822571837843E-5</v>
      </c>
      <c r="F13" s="474">
        <v>3.5638513610250185E-4</v>
      </c>
      <c r="G13" s="470"/>
      <c r="H13" s="175" t="s">
        <v>51</v>
      </c>
      <c r="I13" s="468" t="s">
        <v>113</v>
      </c>
      <c r="J13" s="468" t="s">
        <v>114</v>
      </c>
      <c r="K13" s="468" t="s">
        <v>113</v>
      </c>
      <c r="L13" s="469" t="s">
        <v>114</v>
      </c>
      <c r="N13" s="0"/>
      <c r="O13" s="0"/>
      <c r="P13" s="270"/>
      <c r="Q13" s="270"/>
      <c r="R13" s="270"/>
      <c r="S13" s="270"/>
      <c r="T13" s="270"/>
      <c r="U13" s="270"/>
      <c r="V13" s="270"/>
      <c r="W13" s="271"/>
    </row>
    <row r="14" spans="2:23">
      <c r="B14" s="454">
        <v>6</v>
      </c>
      <c r="C14" s="197">
        <v>-8.7538330031300074E-5</v>
      </c>
      <c r="D14" s="198">
        <v>3.4394303275502296E-4</v>
      </c>
      <c r="E14" s="198">
        <v>5.0374839383310277E-5</v>
      </c>
      <c r="F14" s="199">
        <v>3.7209374026801441E-4</v>
      </c>
      <c r="H14" s="205">
        <v>1</v>
      </c>
      <c r="I14" s="225">
        <v>240</v>
      </c>
      <c r="J14" s="226">
        <v>120</v>
      </c>
      <c r="K14" s="225">
        <f t="shared" ref="K14:K20" si="3">I14+I3</f>
        <v>240.00890270729153</v>
      </c>
      <c r="L14" s="226">
        <f t="shared" ref="L14:L20" si="4">J14+L3</f>
        <v>120.00546351449921</v>
      </c>
      <c r="N14" s="0"/>
      <c r="O14" s="0"/>
      <c r="P14" s="208"/>
      <c r="Q14" s="208"/>
      <c r="R14" s="208"/>
      <c r="S14" s="208"/>
      <c r="T14" s="208"/>
      <c r="U14" s="208"/>
      <c r="V14" s="208"/>
      <c r="W14" s="209"/>
    </row>
    <row r="15" spans="2:23">
      <c r="B15" s="455"/>
      <c r="C15" s="200">
        <v>2.40050798478477E-4</v>
      </c>
      <c r="D15" s="118">
        <v>2.9876191832800471E-4</v>
      </c>
      <c r="E15" s="118">
        <v>-2.0202316328115605E-4</v>
      </c>
      <c r="F15" s="33">
        <v>3.2457131291801578E-4</v>
      </c>
      <c r="H15" s="201">
        <v>4</v>
      </c>
      <c r="I15" s="227">
        <v>435</v>
      </c>
      <c r="J15" s="228">
        <v>435</v>
      </c>
      <c r="K15" s="227">
        <f t="shared" si="3"/>
        <v>435.00726666138968</v>
      </c>
      <c r="L15" s="228">
        <f t="shared" si="4"/>
        <v>434.99650348226646</v>
      </c>
      <c r="N15" s="0"/>
      <c r="W15" s="211"/>
    </row>
    <row r="16" spans="2:23">
      <c r="B16" s="454">
        <v>7</v>
      </c>
      <c r="C16" s="197">
        <v>-2.7258334834546328E-4</v>
      </c>
      <c r="D16" s="198">
        <v>3.8055782519401491E-4</v>
      </c>
      <c r="E16" s="198">
        <v>-2.9362672923010529E-3</v>
      </c>
      <c r="F16" s="199">
        <v>4.0948051329570769E-4</v>
      </c>
      <c r="H16" s="201">
        <v>5</v>
      </c>
      <c r="I16" s="227">
        <v>295</v>
      </c>
      <c r="J16" s="228">
        <v>490</v>
      </c>
      <c r="K16" s="227">
        <f t="shared" si="3"/>
        <v>295.00010068018793</v>
      </c>
      <c r="L16" s="228">
        <f t="shared" si="4"/>
        <v>490.00070006398977</v>
      </c>
      <c r="N16" s="0"/>
      <c r="W16" s="211"/>
    </row>
    <row r="17" spans="2:23">
      <c r="B17" s="455"/>
      <c r="C17" s="200">
        <v>-1.1685223490696848E-4</v>
      </c>
      <c r="D17" s="118">
        <v>4.0866615938457349E-4</v>
      </c>
      <c r="E17" s="118">
        <v>-4.1688323021711882E-3</v>
      </c>
      <c r="F17" s="33">
        <v>4.4336300915718668E-4</v>
      </c>
      <c r="H17" s="201">
        <v>6</v>
      </c>
      <c r="I17" s="227">
        <v>145</v>
      </c>
      <c r="J17" s="228">
        <v>560</v>
      </c>
      <c r="K17" s="227">
        <f t="shared" si="3"/>
        <v>145.00013791316943</v>
      </c>
      <c r="L17" s="228">
        <f t="shared" si="4"/>
        <v>559.99955792603828</v>
      </c>
      <c r="N17" s="0"/>
      <c r="W17" s="211"/>
    </row>
    <row r="18" spans="2:23">
      <c r="B18" s="454">
        <v>8</v>
      </c>
      <c r="C18" s="197">
        <v>-2.0141161866370064E-6</v>
      </c>
      <c r="D18" s="198">
        <v>8.0252315560392262E-4</v>
      </c>
      <c r="E18" s="198">
        <v>-2.7388595693506332E-3</v>
      </c>
      <c r="F18" s="199">
        <v>7.8959956533152431E-4</v>
      </c>
      <c r="H18" s="201">
        <v>7</v>
      </c>
      <c r="I18" s="227">
        <v>180</v>
      </c>
      <c r="J18" s="228">
        <v>385</v>
      </c>
      <c r="K18" s="227">
        <f t="shared" si="3"/>
        <v>179.99733631605605</v>
      </c>
      <c r="L18" s="228">
        <f t="shared" si="4"/>
        <v>384.99594801993271</v>
      </c>
      <c r="N18" s="0"/>
      <c r="W18" s="211"/>
    </row>
    <row r="19" spans="2:23">
      <c r="B19" s="455"/>
      <c r="C19" s="200">
        <v>-1.0974737317354722E-3</v>
      </c>
      <c r="D19" s="118">
        <v>5.6963847775766895E-4</v>
      </c>
      <c r="E19" s="118">
        <v>-4.1037016071196458E-3</v>
      </c>
      <c r="F19" s="33">
        <v>6.1566173065543675E-4</v>
      </c>
      <c r="H19" s="201">
        <v>8</v>
      </c>
      <c r="I19" s="227">
        <v>150</v>
      </c>
      <c r="J19" s="228">
        <v>240</v>
      </c>
      <c r="K19" s="227">
        <f t="shared" si="3"/>
        <v>149.99726315454683</v>
      </c>
      <c r="L19" s="228">
        <f t="shared" si="4"/>
        <v>239.99699377212463</v>
      </c>
      <c r="N19" s="0"/>
      <c r="W19" s="211"/>
    </row>
    <row r="20" spans="2:23">
      <c r="B20" s="456">
        <v>9</v>
      </c>
      <c r="C20" s="197">
        <v>1.0294638547205014E-4</v>
      </c>
      <c r="D20" s="198">
        <v>1.6398753807067294E-4</v>
      </c>
      <c r="E20" s="198">
        <v>-1.3564697187206046E-4</v>
      </c>
      <c r="F20" s="199">
        <v>1.7940208769624198E-4</v>
      </c>
      <c r="H20" s="17">
        <v>9</v>
      </c>
      <c r="I20" s="229">
        <v>313</v>
      </c>
      <c r="J20" s="230">
        <v>272</v>
      </c>
      <c r="K20" s="229">
        <f t="shared" si="3"/>
        <v>312.99976140664268</v>
      </c>
      <c r="L20" s="230">
        <f t="shared" si="4"/>
        <v>271.99974200997201</v>
      </c>
      <c r="N20" s="0"/>
      <c r="W20" s="211"/>
    </row>
    <row r="21" spans="2:23">
      <c r="B21" s="455"/>
      <c r="C21" s="200">
        <v>4.1320136870407235E-4</v>
      </c>
      <c r="D21" s="118">
        <v>3.4125396326799826E-4</v>
      </c>
      <c r="E21" s="118">
        <v>1.552113407093179E-4</v>
      </c>
      <c r="F21" s="33">
        <v>3.8818145755194715E-4</v>
      </c>
      <c r="N21" s="0"/>
      <c r="W21" s="211"/>
    </row>
    <row r="22" spans="2:23">
      <c r="N22" s="0"/>
      <c r="W22" s="211"/>
    </row>
    <row r="23" spans="2:23">
      <c r="N23" s="0"/>
      <c r="W23" s="211"/>
    </row>
    <row r="24" spans="2:23">
      <c r="N24" s="0"/>
      <c r="W24" s="211"/>
    </row>
    <row r="25" spans="2:23">
      <c r="N25" s="0"/>
      <c r="W25" s="211"/>
    </row>
    <row r="26" spans="2:23">
      <c r="N26" s="0"/>
      <c r="W26" s="211"/>
    </row>
    <row r="27" spans="2:23">
      <c r="N27" s="0"/>
      <c r="W27" s="211"/>
    </row>
    <row r="28" spans="2:23">
      <c r="N28" s="0"/>
      <c r="O28" s="0"/>
      <c r="P28" s="213"/>
      <c r="Q28" s="213"/>
      <c r="R28" s="213"/>
      <c r="S28" s="213"/>
      <c r="T28" s="213"/>
      <c r="U28" s="213"/>
      <c r="V28" s="213"/>
      <c r="W28" s="214"/>
    </row>
  </sheetData>
  <mergeCells count="14">
    <mergeCell ref="B18:B19"/>
    <mergeCell ref="B20:B21"/>
    <mergeCell ref="I12:J12"/>
    <mergeCell ref="C2:D2"/>
    <mergeCell ref="E2:F2"/>
    <mergeCell ref="B4:B5"/>
    <mergeCell ref="B6:B7"/>
    <mergeCell ref="B8:B9"/>
    <mergeCell ref="B10:B11"/>
    <mergeCell ref="K12:L12"/>
    <mergeCell ref="N13:W13"/>
    <mergeCell ref="B12:B13"/>
    <mergeCell ref="B14:B15"/>
    <mergeCell ref="B16:B17"/>
  </mergeCells>
  <conditionalFormatting sqref="O3:O9">
    <cfRule type="cellIs" dxfId="2" priority="1" operator="equal">
      <formula>"zle"</formula>
    </cfRule>
    <cfRule type="cellIs" dxfId="1" priority="2" operator="equal">
      <formula>"żle"</formula>
    </cfRule>
    <cfRule type="cellIs" dxfId="0" priority="3" operator="equal">
      <formula>"dobrze"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Dane</vt:lpstr>
      <vt:lpstr>Wyrównanie wstępne - wyjściowy</vt:lpstr>
      <vt:lpstr>Wyrównanie wstępne - aktualny</vt:lpstr>
      <vt:lpstr>Identyfikacja</vt:lpstr>
      <vt:lpstr>Baza - wyjściowy</vt:lpstr>
      <vt:lpstr>Baza - aktualny</vt:lpstr>
      <vt:lpstr>Przemieszczenia ostateczne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Świerk Jakub (STUD)</cp:lastModifiedBy>
  <dcterms:created xsi:type="dcterms:W3CDTF">2026-06-12T09:05:58Z</dcterms:created>
  <dcterms:modified xsi:type="dcterms:W3CDTF">2026-06-12T09:08:20Z</dcterms:modified>
</cp:coreProperties>
</file>